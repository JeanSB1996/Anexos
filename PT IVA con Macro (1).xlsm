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apel Base IVA\"/>
    </mc:Choice>
  </mc:AlternateContent>
  <xr:revisionPtr revIDLastSave="0" documentId="13_ncr:1_{C4B3003D-A270-4480-B617-177D54A2745C}" xr6:coauthVersionLast="47" xr6:coauthVersionMax="47" xr10:uidLastSave="{00000000-0000-0000-0000-000000000000}"/>
  <bookViews>
    <workbookView xWindow="-108" yWindow="-108" windowWidth="23256" windowHeight="12456" firstSheet="3" activeTab="8" xr2:uid="{4679C86B-4CF3-4980-8148-EB8DC812BB1E}"/>
  </bookViews>
  <sheets>
    <sheet name="Resumen" sheetId="15" r:id="rId1"/>
    <sheet name="LV Consolidado" sheetId="12" r:id="rId2"/>
    <sheet name="LC Consolidado" sheetId="9" r:id="rId3"/>
    <sheet name="Analisis NC" sheetId="14" r:id="rId4"/>
    <sheet name="LV" sheetId="2" r:id="rId5"/>
    <sheet name="LC" sheetId="1" r:id="rId6"/>
    <sheet name="Armado" sheetId="3" r:id="rId7"/>
    <sheet name="NC" sheetId="6" r:id="rId8"/>
    <sheet name="Panel control" sheetId="10" r:id="rId9"/>
    <sheet name="DATOS F-29" sheetId="18" r:id="rId10"/>
    <sheet name="BBDD f-29" sheetId="4" r:id="rId11"/>
    <sheet name="Analisis F-29" sheetId="17" r:id="rId12"/>
  </sheets>
  <definedNames>
    <definedName name="_xlnm._FilterDatabase" localSheetId="5" hidden="1">LC!$A$1:$AC$26</definedName>
    <definedName name="_xlnm._FilterDatabase" localSheetId="2" hidden="1">'LC Consolidado'!$A$1:$AG$211</definedName>
    <definedName name="_xlnm._FilterDatabase" localSheetId="4" hidden="1">LV!$A$1:$AT$1364</definedName>
    <definedName name="_xlnm._FilterDatabase" localSheetId="1" hidden="1">'LV Consolidado'!$A$1:$AX$3715</definedName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3" l="1"/>
  <c r="Q5" i="3"/>
  <c r="P5" i="3"/>
  <c r="O5" i="3"/>
  <c r="N5" i="3"/>
  <c r="M5" i="3"/>
  <c r="L5" i="3"/>
  <c r="Q4" i="3"/>
  <c r="P4" i="3"/>
  <c r="O4" i="3"/>
  <c r="O7" i="3" s="1"/>
  <c r="N4" i="3"/>
  <c r="M4" i="3"/>
  <c r="L4" i="3"/>
  <c r="Q3" i="3"/>
  <c r="Q7" i="3" s="1"/>
  <c r="P3" i="3"/>
  <c r="P7" i="3" s="1"/>
  <c r="O3" i="3"/>
  <c r="N3" i="3"/>
  <c r="N7" i="3" s="1"/>
  <c r="M3" i="3"/>
  <c r="M7" i="3" s="1"/>
  <c r="L3" i="3"/>
  <c r="H6" i="3"/>
  <c r="F6" i="3"/>
  <c r="E6" i="3"/>
  <c r="D6" i="3"/>
  <c r="C6" i="3"/>
  <c r="H5" i="3"/>
  <c r="F5" i="3"/>
  <c r="F8" i="3" s="1"/>
  <c r="E5" i="3"/>
  <c r="D5" i="3"/>
  <c r="C5" i="3"/>
  <c r="H4" i="3"/>
  <c r="F4" i="3"/>
  <c r="E4" i="3"/>
  <c r="D4" i="3"/>
  <c r="C4" i="3"/>
  <c r="H3" i="3"/>
  <c r="H8" i="3" s="1"/>
  <c r="F3" i="3"/>
  <c r="E3" i="3"/>
  <c r="E8" i="3" s="1"/>
  <c r="D3" i="3"/>
  <c r="D8" i="3" s="1"/>
  <c r="C3" i="3"/>
  <c r="C8" i="3" s="1"/>
  <c r="C10" i="18" l="1"/>
  <c r="C9" i="18"/>
  <c r="C7" i="18" l="1"/>
  <c r="C11" i="18"/>
  <c r="C8" i="18"/>
  <c r="G5" i="18"/>
  <c r="G4" i="18"/>
  <c r="G7" i="18"/>
  <c r="G9" i="18"/>
  <c r="G13" i="18"/>
  <c r="G11" i="18"/>
  <c r="E3" i="4"/>
  <c r="M23" i="4" l="1"/>
  <c r="C25" i="4" l="1"/>
  <c r="C26" i="4"/>
  <c r="C27" i="4"/>
  <c r="C24" i="4"/>
  <c r="K3" i="4"/>
  <c r="Q29" i="4"/>
  <c r="P29" i="4"/>
  <c r="O29" i="4"/>
  <c r="N29" i="4"/>
  <c r="M29" i="4"/>
  <c r="L29" i="4"/>
  <c r="Q28" i="4"/>
  <c r="P28" i="4"/>
  <c r="O28" i="4"/>
  <c r="N28" i="4"/>
  <c r="M28" i="4"/>
  <c r="L28" i="4"/>
  <c r="Q24" i="4"/>
  <c r="P24" i="4"/>
  <c r="O24" i="4"/>
  <c r="N24" i="4"/>
  <c r="M24" i="4"/>
  <c r="L24" i="4"/>
  <c r="H24" i="4"/>
  <c r="F24" i="4"/>
  <c r="E24" i="4"/>
  <c r="D24" i="4"/>
  <c r="Q23" i="4"/>
  <c r="P23" i="4"/>
  <c r="O23" i="4"/>
  <c r="N23" i="4"/>
  <c r="L23" i="4"/>
  <c r="H23" i="4"/>
  <c r="F23" i="4"/>
  <c r="E23" i="4"/>
  <c r="D23" i="4"/>
  <c r="C23" i="4"/>
  <c r="P38" i="17"/>
  <c r="O20" i="17"/>
  <c r="G20" i="17"/>
  <c r="Q11" i="4" s="1"/>
  <c r="Q8" i="4"/>
  <c r="Q7" i="4"/>
  <c r="H38" i="17"/>
  <c r="Q9" i="4" s="1"/>
  <c r="K13" i="4"/>
  <c r="K12" i="4"/>
  <c r="K11" i="4"/>
  <c r="K9" i="4"/>
  <c r="K8" i="4"/>
  <c r="K7" i="4"/>
  <c r="K5" i="4"/>
  <c r="K4" i="4"/>
  <c r="E11" i="4"/>
  <c r="E10" i="4"/>
  <c r="E9" i="4"/>
  <c r="E8" i="4"/>
  <c r="E7" i="4"/>
  <c r="E6" i="4"/>
  <c r="E5" i="4"/>
  <c r="E4" i="4"/>
  <c r="Q31" i="4" l="1"/>
  <c r="N31" i="4"/>
  <c r="F29" i="4"/>
  <c r="H29" i="4"/>
  <c r="D29" i="4"/>
  <c r="E29" i="4"/>
  <c r="C29" i="4"/>
  <c r="M31" i="4"/>
  <c r="L31" i="4"/>
  <c r="O31" i="4"/>
  <c r="P31" i="4"/>
  <c r="Q10" i="4"/>
  <c r="B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Gomez</author>
    <author>tc={A8D4785F-E5CA-4F90-BD6A-A4FE5071F846}</author>
    <author>tc={2D5602CF-F20E-4484-A964-1E701FD33AAA}</author>
  </authors>
  <commentList>
    <comment ref="K5" authorId="0" shapeId="0" xr:uid="{047687F7-63B6-4F8E-B758-C826B616D76D}">
      <text>
        <r>
          <rPr>
            <b/>
            <sz val="9"/>
            <color indexed="81"/>
            <rFont val="Tahoma"/>
            <family val="2"/>
          </rPr>
          <t>Nicolas Gomez:</t>
        </r>
        <r>
          <rPr>
            <sz val="9"/>
            <color indexed="81"/>
            <rFont val="Tahoma"/>
            <family val="2"/>
          </rPr>
          <t xml:space="preserve">
considera totales, o 33 IVA no recuperable?
</t>
        </r>
      </text>
    </comment>
    <comment ref="K8" authorId="1" shapeId="0" xr:uid="{A8D4785F-E5CA-4F90-BD6A-A4FE5071F8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f-29 octubre, sale la suma de cantidad entre las 33 y 61</t>
      </text>
    </comment>
    <comment ref="B10" authorId="2" shapeId="0" xr:uid="{2D5602CF-F20E-4484-A964-1E701FD33AA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OJO: Se excluyen las boletas, en columna Y de LV fijarse en los 33, excluir los 39, que se declaran en codigos 708 y 709</t>
      </text>
    </comment>
  </commentList>
</comments>
</file>

<file path=xl/sharedStrings.xml><?xml version="1.0" encoding="utf-8"?>
<sst xmlns="http://schemas.openxmlformats.org/spreadsheetml/2006/main" count="17755" uniqueCount="3832">
  <si>
    <t>Nombre cliente</t>
  </si>
  <si>
    <t>Sociedad Ejemplo SpA</t>
  </si>
  <si>
    <t>RUT</t>
  </si>
  <si>
    <t>99.999.999-9</t>
  </si>
  <si>
    <t>Giro</t>
  </si>
  <si>
    <t>Se dedica a figurar como sociedad ejemplo en multiples PT</t>
  </si>
  <si>
    <t>Mes de declaracion</t>
  </si>
  <si>
    <t>libro compras</t>
  </si>
  <si>
    <t>Hallazgos</t>
  </si>
  <si>
    <t>LIBRO VENTAS</t>
  </si>
  <si>
    <t>Nuevos proveedores del mes</t>
  </si>
  <si>
    <t>incorporar la bbdd cuando esté</t>
  </si>
  <si>
    <t>una vez se modifique la formula de AA para  NC LC, traer los que tengan info en columna AA.</t>
  </si>
  <si>
    <t>Tipo Doc</t>
  </si>
  <si>
    <t>Rut cliente</t>
  </si>
  <si>
    <t>Razon Social</t>
  </si>
  <si>
    <t>folio</t>
  </si>
  <si>
    <t>Fecha Docto</t>
  </si>
  <si>
    <t>Monto total</t>
  </si>
  <si>
    <t>Mensaje</t>
  </si>
  <si>
    <t>rut</t>
  </si>
  <si>
    <t>razon social</t>
  </si>
  <si>
    <t>dificil fiscalizacion</t>
  </si>
  <si>
    <t>como se categorizó antes</t>
  </si>
  <si>
    <t>76363534-1</t>
  </si>
  <si>
    <t>AVLA SEGURO DE CREDITO Y GARANTIA S.A.</t>
  </si>
  <si>
    <t>76077800-1</t>
  </si>
  <si>
    <t>76467620-3</t>
  </si>
  <si>
    <t>77965843-0</t>
  </si>
  <si>
    <t>60910000-1</t>
  </si>
  <si>
    <t>UNIVERSIDAD DE CHILE</t>
  </si>
  <si>
    <t>Nro</t>
  </si>
  <si>
    <t>Tipo Venta</t>
  </si>
  <si>
    <t>Folio</t>
  </si>
  <si>
    <t>Fecha Recepcion</t>
  </si>
  <si>
    <t>Fecha Acuse Recibo</t>
  </si>
  <si>
    <t>Fecha Reclamo</t>
  </si>
  <si>
    <t>Monto Exento</t>
  </si>
  <si>
    <t>Monto Neto</t>
  </si>
  <si>
    <t>Monto IVA</t>
  </si>
  <si>
    <t>IVA Retenido Total</t>
  </si>
  <si>
    <t>IVA Retenido Parcial</t>
  </si>
  <si>
    <t>IVA no retenido</t>
  </si>
  <si>
    <t>IVA propio</t>
  </si>
  <si>
    <t>IVA Terceros</t>
  </si>
  <si>
    <t>RUT Emisor Liquid. Factura</t>
  </si>
  <si>
    <t>Neto Comision Liquid. Factura</t>
  </si>
  <si>
    <t>Exento Comision Liquid. Factura</t>
  </si>
  <si>
    <t>IVA Comision Liquid. Factura</t>
  </si>
  <si>
    <t>IVA fuera de plazo</t>
  </si>
  <si>
    <t>Tipo Docto. Referencia</t>
  </si>
  <si>
    <t>Folio Docto. Referencia</t>
  </si>
  <si>
    <t>Num. Ident. Receptor Extranjero</t>
  </si>
  <si>
    <t>Nacionalidad Receptor Extranjero</t>
  </si>
  <si>
    <t>Credito empresa constructora</t>
  </si>
  <si>
    <t>Impto. Zona Franca (Ley 18211)</t>
  </si>
  <si>
    <t>Garantia Dep. Envases</t>
  </si>
  <si>
    <t>Indicador Venta sin Costo</t>
  </si>
  <si>
    <t>Indicador Servicio Periodico</t>
  </si>
  <si>
    <t>Total Monto Periodo</t>
  </si>
  <si>
    <t>Venta Pasajes Transporte Nacional</t>
  </si>
  <si>
    <t>Venta Pasajes Transporte Internacional</t>
  </si>
  <si>
    <t>Numero Interno</t>
  </si>
  <si>
    <t>Codigo Sucursal</t>
  </si>
  <si>
    <t>NCE o NDE sobre Fact. de Compra</t>
  </si>
  <si>
    <t>Codigo Otro Imp.</t>
  </si>
  <si>
    <t>Valor Otro Imp.</t>
  </si>
  <si>
    <t>Tasa Otro Imp.</t>
  </si>
  <si>
    <t>nombre archivo</t>
  </si>
  <si>
    <t>rut cliente</t>
  </si>
  <si>
    <t>año</t>
  </si>
  <si>
    <t>mes</t>
  </si>
  <si>
    <t>llave</t>
  </si>
  <si>
    <t>Llave secundaria</t>
  </si>
  <si>
    <t>Del Giro</t>
  </si>
  <si>
    <t>89696400-3</t>
  </si>
  <si>
    <t>RESITER S.A.</t>
  </si>
  <si>
    <t>-</t>
  </si>
  <si>
    <t>33Del Giro</t>
  </si>
  <si>
    <t>96933310-4</t>
  </si>
  <si>
    <t>PLAN OK S A</t>
  </si>
  <si>
    <t>90413000-1</t>
  </si>
  <si>
    <t>COMPANIA CERVECERIAS UNIDAS S.A.</t>
  </si>
  <si>
    <t>76532599-4</t>
  </si>
  <si>
    <t>BRAIN FOOD SPA</t>
  </si>
  <si>
    <t>76741416-1</t>
  </si>
  <si>
    <t>ALAS SPA</t>
  </si>
  <si>
    <t>96522880-2</t>
  </si>
  <si>
    <t>LUBRICANTES Y SERVICIOS BELRAY CHILE LIMITADA</t>
  </si>
  <si>
    <t>87930900-K</t>
  </si>
  <si>
    <t>CYD INGENIERIA LIMITADA</t>
  </si>
  <si>
    <t>76094235-9</t>
  </si>
  <si>
    <t>CARPETRES PRODUCCIONES AUDIOVISUALES LIMITADA</t>
  </si>
  <si>
    <t>92083000-5</t>
  </si>
  <si>
    <t>DIMACOFI S A</t>
  </si>
  <si>
    <t>69061000-0</t>
  </si>
  <si>
    <t>ILUSTRE MUNICIPALIDAD DE VINA DEL MAR</t>
  </si>
  <si>
    <t>76055126-0</t>
  </si>
  <si>
    <t>TEPILLE SPA</t>
  </si>
  <si>
    <t>76322590-9</t>
  </si>
  <si>
    <t>MATRIZ IDEAS S.A.</t>
  </si>
  <si>
    <t>96568780-7</t>
  </si>
  <si>
    <t>FRIGORIFICO TEMUCO  SA</t>
  </si>
  <si>
    <t>76271374-8</t>
  </si>
  <si>
    <t>RSM CHILE ADVISORY LIMITADA</t>
  </si>
  <si>
    <t>77205551-K</t>
  </si>
  <si>
    <t>RSM CHILE AUDITORES Y CONSULTORES SPA</t>
  </si>
  <si>
    <t>77716312-4</t>
  </si>
  <si>
    <t>RSM CHILE CONTABILIDAD Y PROCESOS LIMITADA</t>
  </si>
  <si>
    <t>76409505-7</t>
  </si>
  <si>
    <t>MAGNUS SPA</t>
  </si>
  <si>
    <t>93129000-2</t>
  </si>
  <si>
    <t>COLCHONES ROSEN S.A.I.C.</t>
  </si>
  <si>
    <t>61979440-0</t>
  </si>
  <si>
    <t>INSTITUTO DE PREVISION SOCIAL</t>
  </si>
  <si>
    <t>78933950-3</t>
  </si>
  <si>
    <t>MARSH RISK CONSULTING LIMITADA</t>
  </si>
  <si>
    <t>77845530-7</t>
  </si>
  <si>
    <t>PENTA ANALYTICS S A</t>
  </si>
  <si>
    <t>85218000-5</t>
  </si>
  <si>
    <t>REICH COMERCIO EXTERIOR SPA</t>
  </si>
  <si>
    <t>92176000-0</t>
  </si>
  <si>
    <t>ACEROS AZA S.A.</t>
  </si>
  <si>
    <t>80116100-6</t>
  </si>
  <si>
    <t>BLANCO VIAJES LIMITADA</t>
  </si>
  <si>
    <t>96726970-0</t>
  </si>
  <si>
    <t>CHILEMAT SPA</t>
  </si>
  <si>
    <t>91913000-8</t>
  </si>
  <si>
    <t>LABORATORIO DURANDIN SA</t>
  </si>
  <si>
    <t>69010100-9</t>
  </si>
  <si>
    <t>I MUNICIPALIDAD DE ARICA</t>
  </si>
  <si>
    <t>77197843-6</t>
  </si>
  <si>
    <t>THE BASTARDS SPA</t>
  </si>
  <si>
    <t>77182500-1</t>
  </si>
  <si>
    <t>TASTETS SYSTEM S.A.</t>
  </si>
  <si>
    <t>96872930-6</t>
  </si>
  <si>
    <t>SOC ADMINISTRADORA DE CASINOS Y SERVICIOS ALISERVICE S A</t>
  </si>
  <si>
    <t>96999930-7</t>
  </si>
  <si>
    <t>KITCHEN CENTER SPA</t>
  </si>
  <si>
    <t>76722143-6</t>
  </si>
  <si>
    <t>KASTOR SPA</t>
  </si>
  <si>
    <t>96577470-K</t>
  </si>
  <si>
    <t>ITALMOD S A</t>
  </si>
  <si>
    <t>76993801-K</t>
  </si>
  <si>
    <t>WEFLOW.COM SPA</t>
  </si>
  <si>
    <t>85325100-3</t>
  </si>
  <si>
    <t>INVERSIONES Y TARJETAS S A</t>
  </si>
  <si>
    <t>76005024-5</t>
  </si>
  <si>
    <t>INVERSIONES TECNOLOGICAS S.A</t>
  </si>
  <si>
    <t>96711760-9</t>
  </si>
  <si>
    <t>EDITRADE CHILE S.A</t>
  </si>
  <si>
    <t>96711760-9_</t>
  </si>
  <si>
    <t>96940260-2</t>
  </si>
  <si>
    <t>GAXU SOLUCIONES S A</t>
  </si>
  <si>
    <t>76392452-1</t>
  </si>
  <si>
    <t>FINTREE SERVICIOS Y ASESORIAS FINANCIERAS SPA</t>
  </si>
  <si>
    <t>76356103-8</t>
  </si>
  <si>
    <t>76351957-0</t>
  </si>
  <si>
    <t>EASYSUPPLY COMERCIAL LIMITADA</t>
  </si>
  <si>
    <t>78006660-1</t>
  </si>
  <si>
    <t>AGENCIA DE PUBLICIDAD PUERTO GRaFICO S.A</t>
  </si>
  <si>
    <t>76130919-6</t>
  </si>
  <si>
    <t>CUPONATIC LATAM SPA</t>
  </si>
  <si>
    <t>96551730-8</t>
  </si>
  <si>
    <t>BOLSA ELECTRONICA DE CHILE. BOLSA DE VALORES</t>
  </si>
  <si>
    <t>92048000-4</t>
  </si>
  <si>
    <t>SAAM S.A.</t>
  </si>
  <si>
    <t>76008587-1</t>
  </si>
  <si>
    <t>FLEISCHMANN IOT SA</t>
  </si>
  <si>
    <t>76596620-5</t>
  </si>
  <si>
    <t>SOC. COM. DE PRODUCTO AL DETALLE SA  ERBI</t>
  </si>
  <si>
    <t>76224805-0</t>
  </si>
  <si>
    <t>GAMBOA FUENZALIDA SANFELIU Y UGARTE LTDA.</t>
  </si>
  <si>
    <t>76051189-7</t>
  </si>
  <si>
    <t>SERVICIOS INFORMATICOS IWCHILE LIMITADA</t>
  </si>
  <si>
    <t>84650700-0</t>
  </si>
  <si>
    <t>PIBAMOUR SOCIEDAD COMERCIAL Y DE REPRESENTACIONES LIMITADA</t>
  </si>
  <si>
    <t>76120914-0</t>
  </si>
  <si>
    <t>SERVICIOS DE ASESORIA INFORMATICA JAIME ROMERO FIGUEROA EMPRESA INDIVIDUAL DE RESPONSABILIDAD  LIMI</t>
  </si>
  <si>
    <t>96812960-0</t>
  </si>
  <si>
    <t>PENTA VIDA COMPANIA DE SEGUROS VIDA S A</t>
  </si>
  <si>
    <t>96838520-8</t>
  </si>
  <si>
    <t>INVERSIONES Y TURISMO S.A.</t>
  </si>
  <si>
    <t>61104000-8</t>
  </si>
  <si>
    <t>DIRECCION GENERAL DE AERONAUTICA CIVIL</t>
  </si>
  <si>
    <t>96802690-9</t>
  </si>
  <si>
    <t>MASISA S.A.</t>
  </si>
  <si>
    <t>60803000-K</t>
  </si>
  <si>
    <t>SERVICIO DE IMPUESTOS INTERNOS DIRECCION</t>
  </si>
  <si>
    <t>99598660-4</t>
  </si>
  <si>
    <t>CASINO DE COLCHAGUA SOCIEDAD ANONIMA</t>
  </si>
  <si>
    <t>76411758-1</t>
  </si>
  <si>
    <t>TI RED SPA</t>
  </si>
  <si>
    <t>84439900-6</t>
  </si>
  <si>
    <t>CONSTRUCTORA PACAL S A</t>
  </si>
  <si>
    <t>99523260-K</t>
  </si>
  <si>
    <t>TURISMO ANTARTICA XXI S A</t>
  </si>
  <si>
    <t>65195675-7</t>
  </si>
  <si>
    <t>FUNDACION ANTARTICA 21</t>
  </si>
  <si>
    <t>77324649-1</t>
  </si>
  <si>
    <t>RSM HUMAN CAPITAL SPA</t>
  </si>
  <si>
    <t>76618784-6</t>
  </si>
  <si>
    <t>89862200-2</t>
  </si>
  <si>
    <t>LATAM AIRLINES GROUP S.A.</t>
  </si>
  <si>
    <t>76415706-0</t>
  </si>
  <si>
    <t>ECCOFEED SPA</t>
  </si>
  <si>
    <t>76292214-2</t>
  </si>
  <si>
    <t>VERDE CORP SPA</t>
  </si>
  <si>
    <t>76657718-0</t>
  </si>
  <si>
    <t>GREENSPOT SPA</t>
  </si>
  <si>
    <t>99563840-1</t>
  </si>
  <si>
    <t>INVERSIONES LAS GARZAS SA</t>
  </si>
  <si>
    <t>92177000-6</t>
  </si>
  <si>
    <t>LAVANDERIA LE GRAND CHIC S A</t>
  </si>
  <si>
    <t>91502000-3</t>
  </si>
  <si>
    <t>SALINAS Y FABRES S. A.</t>
  </si>
  <si>
    <t>77260520-K</t>
  </si>
  <si>
    <t>KOMATSU CUMMINS CHILE LIMITADA</t>
  </si>
  <si>
    <t>96776000-5</t>
  </si>
  <si>
    <t>SOLVENTA TARJETAS S.A.</t>
  </si>
  <si>
    <t>99558330-5</t>
  </si>
  <si>
    <t>PRODUCTOS E INSUMOS BIOTECNOLOGICOS S A</t>
  </si>
  <si>
    <t>96858720-K</t>
  </si>
  <si>
    <t>ADMINISTRADORA DE ACTIVOS FINANCIEROS S A</t>
  </si>
  <si>
    <t>91755000-K</t>
  </si>
  <si>
    <t>CEMENTOS BIO BIO S A</t>
  </si>
  <si>
    <t>90844000-5</t>
  </si>
  <si>
    <t>KUPFER HERMANOS S A</t>
  </si>
  <si>
    <t>76133859-5</t>
  </si>
  <si>
    <t>COMERCIALIZADORA DH LIMITADA</t>
  </si>
  <si>
    <t>80860400-0</t>
  </si>
  <si>
    <t>BLUMAR S.A.</t>
  </si>
  <si>
    <t>77851150-9</t>
  </si>
  <si>
    <t>EMPRESA DE INGENIERIA Y COMUNICACIONES GLOBALDATA S.A.</t>
  </si>
  <si>
    <t>76415712-5</t>
  </si>
  <si>
    <t>AKI KB MINIBODEGAS SPA</t>
  </si>
  <si>
    <t>86963200-7</t>
  </si>
  <si>
    <t>FORUS S A</t>
  </si>
  <si>
    <t>65290590-0</t>
  </si>
  <si>
    <t>DIRECCION NACIONAL DEL SERVICIO CIVIL</t>
  </si>
  <si>
    <t>77431760-0</t>
  </si>
  <si>
    <t>LAGO SOFIA SPA</t>
  </si>
  <si>
    <t>79775100-6</t>
  </si>
  <si>
    <t>CONSTRUCTORA EL SAUCE S A</t>
  </si>
  <si>
    <t>76155732-7</t>
  </si>
  <si>
    <t>FONDO DESARROLLO EBCO PERU NUMERO 1</t>
  </si>
  <si>
    <t>92999000-5</t>
  </si>
  <si>
    <t>IMPORTADORA Y DISTRIBUIDORA ARQUIMED LTDA</t>
  </si>
  <si>
    <t>79797990-2</t>
  </si>
  <si>
    <t>INVERMAR S.A.</t>
  </si>
  <si>
    <t>96947020-9</t>
  </si>
  <si>
    <t>EMPRESAS HITES S A</t>
  </si>
  <si>
    <t>90222000-3</t>
  </si>
  <si>
    <t>EMPRESAS CMPC S A</t>
  </si>
  <si>
    <t>80313300-K</t>
  </si>
  <si>
    <t>EMPRESA ELECTRICA PUENTE ALTO S.A.</t>
  </si>
  <si>
    <t>99577790-8</t>
  </si>
  <si>
    <t>COMERCIAL HIDROMOBILE S.A</t>
  </si>
  <si>
    <t>77266680-2</t>
  </si>
  <si>
    <t>PUENTE ALTO INGENIERIA Y SERVICIOS S.A.</t>
  </si>
  <si>
    <t>69071300-4</t>
  </si>
  <si>
    <t>I MUNICIPALIDAD DE QUILICURA</t>
  </si>
  <si>
    <t>69080200-7</t>
  </si>
  <si>
    <t>ILUSTRE MUNICIPALIDAD DE MACHALI</t>
  </si>
  <si>
    <t>69190800-3</t>
  </si>
  <si>
    <t>MUNICIPALIDAD DE VILCUN</t>
  </si>
  <si>
    <t>76227320-9</t>
  </si>
  <si>
    <t>SISTEMAS E INFORMATICA TIBOX CHILE LIMITADA</t>
  </si>
  <si>
    <t>96770100-9</t>
  </si>
  <si>
    <t>CLINICA ALEMANA DE SANTIAGO S A</t>
  </si>
  <si>
    <t>96774640-1</t>
  </si>
  <si>
    <t>MELON SERVICIOS COMPARTIDOS S.A.</t>
  </si>
  <si>
    <t>76572527-5</t>
  </si>
  <si>
    <t>MT LOGISTICA SPA</t>
  </si>
  <si>
    <t>61606200-K</t>
  </si>
  <si>
    <t>SERVICIO DE SALUD ANTOFAGASTA</t>
  </si>
  <si>
    <t>61102015-5</t>
  </si>
  <si>
    <t>SERVICIO HIDROGRAFICO Y OCEANOGRAFICO DE LA ARMADA</t>
  </si>
  <si>
    <t>93458000-1</t>
  </si>
  <si>
    <t>CELULOSA ARAUCO Y CONSTITUCION S A</t>
  </si>
  <si>
    <t>91584000-0</t>
  </si>
  <si>
    <t>ALIMENTOS MARINOS S.A</t>
  </si>
  <si>
    <t>99579230-3</t>
  </si>
  <si>
    <t>INDUSTRIAS ISLA QUIHUA SA</t>
  </si>
  <si>
    <t>96798550-3</t>
  </si>
  <si>
    <t>MULTIACEROS SOCIEDAD ANONIMA</t>
  </si>
  <si>
    <t>69255400-0</t>
  </si>
  <si>
    <t>MUNICIPALIDAD DE HUECHURABA</t>
  </si>
  <si>
    <t>91510000-7</t>
  </si>
  <si>
    <t>EDYCE METALURGICA S.A.</t>
  </si>
  <si>
    <t>96667520-9</t>
  </si>
  <si>
    <t>GEOCOM S A</t>
  </si>
  <si>
    <t>76148224-6</t>
  </si>
  <si>
    <t>TRANSMISION Y ALMACENAMIENTO A MAS V SA</t>
  </si>
  <si>
    <t>76258385-2</t>
  </si>
  <si>
    <t>ADMINISTRADORA ARDAC LIMITADA</t>
  </si>
  <si>
    <t>76735770-2</t>
  </si>
  <si>
    <t>EVENTOS PRODUCCION PUBLICIDAD TOMATE LIMITADA</t>
  </si>
  <si>
    <t>96978530-7</t>
  </si>
  <si>
    <t>SOC DE DESARROLLOS DE MONTANAS A</t>
  </si>
  <si>
    <t>79897420-3</t>
  </si>
  <si>
    <t>PATRICIO GRACIA Y CIA LTDA</t>
  </si>
  <si>
    <t>77899910-2</t>
  </si>
  <si>
    <t>SERVICIOS PATRICIO GRACIA Y COMPANIA LIMITADA</t>
  </si>
  <si>
    <t>77662790-9</t>
  </si>
  <si>
    <t>AGENCIA DELFIN DEL LEJANO ORIENTE LIMITADA</t>
  </si>
  <si>
    <t>76361301-1</t>
  </si>
  <si>
    <t>ETERSOL SPA</t>
  </si>
  <si>
    <t>97029000-1</t>
  </si>
  <si>
    <t>BANCO CENTRAL DE CHILE</t>
  </si>
  <si>
    <t>69090500-0</t>
  </si>
  <si>
    <t>I MUNICIPALIDAD DE LOLOL</t>
  </si>
  <si>
    <t>76534047-0</t>
  </si>
  <si>
    <t>RETARGETING SPA</t>
  </si>
  <si>
    <t>94141000-6</t>
  </si>
  <si>
    <t>DERCO SPA</t>
  </si>
  <si>
    <t>76908682-K</t>
  </si>
  <si>
    <t>TAWA RECURSOS HUMANOS SPA</t>
  </si>
  <si>
    <t>61Del Giro</t>
  </si>
  <si>
    <t>55555555-5</t>
  </si>
  <si>
    <t>ORION PERU S.A.C.</t>
  </si>
  <si>
    <t>70017820-K</t>
  </si>
  <si>
    <t>CAMARA DE COMERCIO DE SANTIAGO A.G.</t>
  </si>
  <si>
    <t>69070300-9</t>
  </si>
  <si>
    <t>I MUNICIPALIDAD DE PROVIDENCIA</t>
  </si>
  <si>
    <t>76034117-7</t>
  </si>
  <si>
    <t>INVERSIONES SB S.A.</t>
  </si>
  <si>
    <t>94627000-8</t>
  </si>
  <si>
    <t>PARQUE ARAUCO S A</t>
  </si>
  <si>
    <t>76485515-9</t>
  </si>
  <si>
    <t>FEMSA SALUD SPA</t>
  </si>
  <si>
    <t>65028707-K</t>
  </si>
  <si>
    <t>INSTITUTO NACIONAL DE DERECHOS HUMANOS</t>
  </si>
  <si>
    <t>78162940-5</t>
  </si>
  <si>
    <t>COMERCIAL INTERLAKEN S A</t>
  </si>
  <si>
    <t>76926371-3</t>
  </si>
  <si>
    <t>CDZ MINERIA LIMITADA</t>
  </si>
  <si>
    <t>90227000-0</t>
  </si>
  <si>
    <t>VInA CONCHA Y TORO S.A.</t>
  </si>
  <si>
    <t>89003900-6</t>
  </si>
  <si>
    <t>PUGA MUJICA ASOCIADOS S A</t>
  </si>
  <si>
    <t>96843140-4</t>
  </si>
  <si>
    <t>DISTRIBUIDORA CUMMINS CHILE S A</t>
  </si>
  <si>
    <t>99586280-8</t>
  </si>
  <si>
    <t>COMPANIA PISQUERA DE CHILE S A</t>
  </si>
  <si>
    <t>77626526-8</t>
  </si>
  <si>
    <t>ROM RETAIL SPA</t>
  </si>
  <si>
    <t>60901000-2</t>
  </si>
  <si>
    <t>SUBSECRETARIA DEL MINISTERIO DE EDUCACION PUBLICA</t>
  </si>
  <si>
    <t>EMPRESA TECNOLOGICA RETAIL COMPASS SPA</t>
  </si>
  <si>
    <t>76697988-2</t>
  </si>
  <si>
    <t>IT APPS BUSINESS SOLUTIONS SPA</t>
  </si>
  <si>
    <t>77887800-3</t>
  </si>
  <si>
    <t>SOC RODRIGUEZ Y ALVAREZ LIMITADA</t>
  </si>
  <si>
    <t>76389710-9</t>
  </si>
  <si>
    <t>INVERSIONES BLUMEL. PISELLO Y KURTEL LTDA</t>
  </si>
  <si>
    <t>99554560-8</t>
  </si>
  <si>
    <t>COMERCIAL CCU SA</t>
  </si>
  <si>
    <t>76788050-2</t>
  </si>
  <si>
    <t>ANDES LOGISTICS DE CHILE SA</t>
  </si>
  <si>
    <t>SOLUCIONES ORION SUCURSAL COLOMBIA</t>
  </si>
  <si>
    <t>99509000-7</t>
  </si>
  <si>
    <t>IMED S A</t>
  </si>
  <si>
    <t>77005409-5</t>
  </si>
  <si>
    <t>TENPO SPA</t>
  </si>
  <si>
    <t>99575550-5</t>
  </si>
  <si>
    <t>BOLSA DE PRODUCTOS DE CHILE BOLSA DE PRODUCTOS AGROPECUARIOS S A</t>
  </si>
  <si>
    <t>77101893-9</t>
  </si>
  <si>
    <t>IMPORTADORA Y COMERCIALIZADORA PARTNER S.A</t>
  </si>
  <si>
    <t>77320354-7</t>
  </si>
  <si>
    <t>BOXIA SPA</t>
  </si>
  <si>
    <t>96613220-5</t>
  </si>
  <si>
    <t>CORPORACIoN MeDICA DE ARICA S.A.</t>
  </si>
  <si>
    <t>99532160-2</t>
  </si>
  <si>
    <t>KOMATSU CUMMINS CHILE ARRIENDA SA</t>
  </si>
  <si>
    <t>76525290-3</t>
  </si>
  <si>
    <t>EBCO S.A.</t>
  </si>
  <si>
    <t>76384016-6</t>
  </si>
  <si>
    <t>COMERCIALIZADORA CHILEMAT.COM SPA</t>
  </si>
  <si>
    <t>60515000-4</t>
  </si>
  <si>
    <t>SUBSECRETARIA DE DESARROLLO REGIONAL Y ADMINISTRATIVO</t>
  </si>
  <si>
    <t>76296863-0</t>
  </si>
  <si>
    <t>AUTOMOTRIZ PORTILLO SUR LIMITADA</t>
  </si>
  <si>
    <t>76028141-7</t>
  </si>
  <si>
    <t>HPDM ENTRETENSION</t>
  </si>
  <si>
    <t>76284040-5</t>
  </si>
  <si>
    <t>KR CONSULTING LTDA.</t>
  </si>
  <si>
    <t>91650000-9</t>
  </si>
  <si>
    <t>LABORATORIOS SAVAL S A</t>
  </si>
  <si>
    <t>60513000-3</t>
  </si>
  <si>
    <t>SUBSECRETARIA DE TELECOMUNICACIONES</t>
  </si>
  <si>
    <t>78933950-3_52562</t>
  </si>
  <si>
    <t>78757320-7</t>
  </si>
  <si>
    <t>ALFREDO CRUZ Y COMPANIA S.A</t>
  </si>
  <si>
    <t>73043500-2</t>
  </si>
  <si>
    <t>CORPORACION DE ACTORES DE CHILE</t>
  </si>
  <si>
    <t>31-05-2024</t>
  </si>
  <si>
    <t>91584000-0_52811</t>
  </si>
  <si>
    <t>90222000-3_52826</t>
  </si>
  <si>
    <t>76572527-5_52828</t>
  </si>
  <si>
    <t>88987500-3</t>
  </si>
  <si>
    <t>LABORATORIO LIVIO BARNAFI S.A.</t>
  </si>
  <si>
    <t>96776000-5_52835</t>
  </si>
  <si>
    <t>72059900-7</t>
  </si>
  <si>
    <t>FUND PAZ CIUDADANA</t>
  </si>
  <si>
    <t>72038400-0</t>
  </si>
  <si>
    <t>FUNDACIoN NUESTROS HIJOS</t>
  </si>
  <si>
    <t>13/06/2024 23:30:54</t>
  </si>
  <si>
    <t>90413000-1_52861</t>
  </si>
  <si>
    <t>14/06/2024 09:11:52</t>
  </si>
  <si>
    <t>92147000-2</t>
  </si>
  <si>
    <t>WENCO S A</t>
  </si>
  <si>
    <t>84542800-K</t>
  </si>
  <si>
    <t>COMPANIA MINERA LA PATAGUA</t>
  </si>
  <si>
    <t>96935700-3</t>
  </si>
  <si>
    <t>IT CONSULTING S.A</t>
  </si>
  <si>
    <t>77044745-3</t>
  </si>
  <si>
    <t>CINCO CINCO SPA</t>
  </si>
  <si>
    <t>76081982-4</t>
  </si>
  <si>
    <t>COMERCIAL NATUFEED LIMITADA</t>
  </si>
  <si>
    <t>76768500-9</t>
  </si>
  <si>
    <t>BPO AUSTRAL SA</t>
  </si>
  <si>
    <t>13/06/2024 09:44:10</t>
  </si>
  <si>
    <t>13/06/2024 18:50:33</t>
  </si>
  <si>
    <t>17/06/2024 11:53:48</t>
  </si>
  <si>
    <t>18/06/2024 13:40:47</t>
  </si>
  <si>
    <t>17/06/2024 16:44:27</t>
  </si>
  <si>
    <t>17/06/2024 10:48:15</t>
  </si>
  <si>
    <t>13/06/2024 09:58:09</t>
  </si>
  <si>
    <t>18/06/2024 10:54:06</t>
  </si>
  <si>
    <t>13/06/2024 12:52:08</t>
  </si>
  <si>
    <t>19/06/2024 15:03:19</t>
  </si>
  <si>
    <t>18/06/2024 12:16:41</t>
  </si>
  <si>
    <t>13-06-2024</t>
  </si>
  <si>
    <t>13/06/2024 16:47:25</t>
  </si>
  <si>
    <t>13/06/2024 17:49:50</t>
  </si>
  <si>
    <t>13/06/2024 18:00:47</t>
  </si>
  <si>
    <t>13/06/2024 18:02:40</t>
  </si>
  <si>
    <t>19/06/2024 13:48:29</t>
  </si>
  <si>
    <t>76008587-1_52930</t>
  </si>
  <si>
    <t>13/06/2024 18:16:46</t>
  </si>
  <si>
    <t>17/06/2024 09:20:22</t>
  </si>
  <si>
    <t>13/06/2024 18:22:54</t>
  </si>
  <si>
    <t>14-06-2024</t>
  </si>
  <si>
    <t>14/06/2024 09:11:59</t>
  </si>
  <si>
    <t>14/06/2024 11:09:32</t>
  </si>
  <si>
    <t>77693940-4</t>
  </si>
  <si>
    <t>SOC DE SERVICIOS DE ASCENSORES TRANSVERT LIMITADA</t>
  </si>
  <si>
    <t>14/06/2024 11:53:22</t>
  </si>
  <si>
    <t>17/06/2024 09:19:15</t>
  </si>
  <si>
    <t>14/06/2024 13:31:10</t>
  </si>
  <si>
    <t>14/06/2024 13:33:02</t>
  </si>
  <si>
    <t>17/06/2024 14:45:24</t>
  </si>
  <si>
    <t>60803000-K_52936</t>
  </si>
  <si>
    <t>96521240-K</t>
  </si>
  <si>
    <t>INVERSIONES TREBULCO S A</t>
  </si>
  <si>
    <t>14/06/2024 13:36:26</t>
  </si>
  <si>
    <t>14/06/2024 17:23:37</t>
  </si>
  <si>
    <t>17/06/2024 08:31:43</t>
  </si>
  <si>
    <t>14/06/2024 17:30:39</t>
  </si>
  <si>
    <t>17/06/2024 11:31:37</t>
  </si>
  <si>
    <t>14/06/2024 17:37:33</t>
  </si>
  <si>
    <t>14/06/2024 17:39:40</t>
  </si>
  <si>
    <t>14/06/2024 17:41:34</t>
  </si>
  <si>
    <t>18/06/2024 13:11:54</t>
  </si>
  <si>
    <t>14/06/2024 17:44:00</t>
  </si>
  <si>
    <t>14/06/2024 17:44:46</t>
  </si>
  <si>
    <t>14/06/2024 17:45:58</t>
  </si>
  <si>
    <t>14/06/2024 17:47:30</t>
  </si>
  <si>
    <t>14/06/2024 17:49:42</t>
  </si>
  <si>
    <t>17/06/2024 16:04:19</t>
  </si>
  <si>
    <t>14/06/2024 17:51:40</t>
  </si>
  <si>
    <t>14/06/2024 17:53:12</t>
  </si>
  <si>
    <t>17/06/2024 17:42:04</t>
  </si>
  <si>
    <t>14/06/2024 18:02:09</t>
  </si>
  <si>
    <t>14/06/2024 18:05:02</t>
  </si>
  <si>
    <t>14/06/2024 18:10:50</t>
  </si>
  <si>
    <t>14/06/2024 19:17:53</t>
  </si>
  <si>
    <t>17-06-2024</t>
  </si>
  <si>
    <t>17/06/2024 10:25:19</t>
  </si>
  <si>
    <t>17/06/2024 17:42:25</t>
  </si>
  <si>
    <t>17/06/2024 10:36:33</t>
  </si>
  <si>
    <t>17/06/2024 15:13:20</t>
  </si>
  <si>
    <t>17/06/2024 16:35:03</t>
  </si>
  <si>
    <t>17/06/2024 17:43:47</t>
  </si>
  <si>
    <t>17/06/2024 22:09:12</t>
  </si>
  <si>
    <t>21/06/2024 10:06:37</t>
  </si>
  <si>
    <t>69255400-0_52958</t>
  </si>
  <si>
    <t>17/06/2024 22:11:24</t>
  </si>
  <si>
    <t>93281000-K</t>
  </si>
  <si>
    <t>COCA COLA EMBONOR S A</t>
  </si>
  <si>
    <t>17/06/2024 22:14:58</t>
  </si>
  <si>
    <t>18-06-2024</t>
  </si>
  <si>
    <t>18/06/2024 10:47:56</t>
  </si>
  <si>
    <t>18/06/2024 13:46:15</t>
  </si>
  <si>
    <t>18/06/2024 16:44:22</t>
  </si>
  <si>
    <t>18/06/2024 17:01:39</t>
  </si>
  <si>
    <t>18/06/2024 18:15:42</t>
  </si>
  <si>
    <t>19-06-2024</t>
  </si>
  <si>
    <t>19/06/2024 12:14:46</t>
  </si>
  <si>
    <t>19/06/2024 12:16:53</t>
  </si>
  <si>
    <t>19/06/2024 12:19:46</t>
  </si>
  <si>
    <t>19/06/2024 15:00:27</t>
  </si>
  <si>
    <t>19/06/2024 15:46:19</t>
  </si>
  <si>
    <t>19/06/2024 17:00:23</t>
  </si>
  <si>
    <t>19/06/2024 17:21:59</t>
  </si>
  <si>
    <t>19/06/2024 17:28:58</t>
  </si>
  <si>
    <t>27/06/2024 17:22:52</t>
  </si>
  <si>
    <t>76008587-1_52971</t>
  </si>
  <si>
    <t>19/06/2024 17:33:18</t>
  </si>
  <si>
    <t>19/06/2024 17:40:32</t>
  </si>
  <si>
    <t>20/06/2024 20:55:19</t>
  </si>
  <si>
    <t>19/06/2024 21:12:47</t>
  </si>
  <si>
    <t>19/06/2024 21:14:44</t>
  </si>
  <si>
    <t>19/06/2024 21:16:01</t>
  </si>
  <si>
    <t>19/06/2024 21:28:56</t>
  </si>
  <si>
    <t>19/06/2024 21:29:58</t>
  </si>
  <si>
    <t>19/06/2024 21:32:00</t>
  </si>
  <si>
    <t>19/06/2024 21:33:52</t>
  </si>
  <si>
    <t>19/06/2024 21:35:24</t>
  </si>
  <si>
    <t>19/06/2024 21:38:48</t>
  </si>
  <si>
    <t>19/06/2024 21:52:45</t>
  </si>
  <si>
    <t>19/06/2024 21:54:12</t>
  </si>
  <si>
    <t>19/06/2024 22:05:53</t>
  </si>
  <si>
    <t>19/06/2024 22:07:20</t>
  </si>
  <si>
    <t>19/06/2024 22:11:10</t>
  </si>
  <si>
    <t>19/06/2024 22:13:17</t>
  </si>
  <si>
    <t>19/06/2024 22:50:07</t>
  </si>
  <si>
    <t>21-06-2024</t>
  </si>
  <si>
    <t>21/06/2024 16:20:02</t>
  </si>
  <si>
    <t>21/06/2024 16:21:44</t>
  </si>
  <si>
    <t>26/06/2024 11:50:39</t>
  </si>
  <si>
    <t>21/06/2024 16:22:55</t>
  </si>
  <si>
    <t>21/06/2024 16:23:52</t>
  </si>
  <si>
    <t>21/06/2024 16:24:53</t>
  </si>
  <si>
    <t>28/06/2024 18:45:21</t>
  </si>
  <si>
    <t>21/06/2024 16:25:49</t>
  </si>
  <si>
    <t>26/06/2024 09:43:49</t>
  </si>
  <si>
    <t>21/06/2024 16:26:50</t>
  </si>
  <si>
    <t>25/06/2024 09:53:16</t>
  </si>
  <si>
    <t>21/06/2024 16:29:49</t>
  </si>
  <si>
    <t>24/06/2024 11:45:53</t>
  </si>
  <si>
    <t>21/06/2024 16:31:06</t>
  </si>
  <si>
    <t>21/06/2024 16:33:23</t>
  </si>
  <si>
    <t>28/06/2024 15:22:24</t>
  </si>
  <si>
    <t>21/06/2024 16:35:01</t>
  </si>
  <si>
    <t>24/06/2024 16:13:49</t>
  </si>
  <si>
    <t>21/06/2024 16:38:14</t>
  </si>
  <si>
    <t>24/06/2024 07:53:21</t>
  </si>
  <si>
    <t>21/06/2024 16:52:22</t>
  </si>
  <si>
    <t>28/06/2024 14:12:15</t>
  </si>
  <si>
    <t>96776000-5_53002</t>
  </si>
  <si>
    <t>21/06/2024 16:54:14</t>
  </si>
  <si>
    <t>24/06/2024 12:23:19</t>
  </si>
  <si>
    <t>21/06/2024 16:55:20</t>
  </si>
  <si>
    <t>24/06/2024 12:26:38</t>
  </si>
  <si>
    <t>21/06/2024 16:57:43</t>
  </si>
  <si>
    <t>28/06/2024 08:52:07</t>
  </si>
  <si>
    <t>21/06/2024 17:08:38</t>
  </si>
  <si>
    <t>21/06/2024 17:12:32</t>
  </si>
  <si>
    <t>28/06/2024 10:41:31</t>
  </si>
  <si>
    <t>21/06/2024 17:20:53</t>
  </si>
  <si>
    <t>28/06/2024 10:09:26</t>
  </si>
  <si>
    <t>21/06/2024 17:36:37</t>
  </si>
  <si>
    <t>25/06/2024 16:07:07</t>
  </si>
  <si>
    <t>21/06/2024 18:12:01</t>
  </si>
  <si>
    <t>21/06/2024 18:15:46</t>
  </si>
  <si>
    <t>21/06/2024 18:17:58</t>
  </si>
  <si>
    <t>21/06/2024 18:28:32</t>
  </si>
  <si>
    <t>24-06-2024</t>
  </si>
  <si>
    <t>24/06/2024 09:33:15</t>
  </si>
  <si>
    <t>30/06/2024 23:05:25</t>
  </si>
  <si>
    <t>24/06/2024 09:37:22</t>
  </si>
  <si>
    <t>27/06/2024 18:24:03</t>
  </si>
  <si>
    <t>24/06/2024 09:38:19</t>
  </si>
  <si>
    <t>27/06/2024 18:24:06</t>
  </si>
  <si>
    <t>24/06/2024 09:39:14</t>
  </si>
  <si>
    <t>27/06/2024 18:24:04</t>
  </si>
  <si>
    <t>24/06/2024 09:40:11</t>
  </si>
  <si>
    <t>27/06/2024 18:24:07</t>
  </si>
  <si>
    <t>24/06/2024 09:42:13</t>
  </si>
  <si>
    <t>24/06/2024 10:38:58</t>
  </si>
  <si>
    <t>24/06/2024 09:43:21</t>
  </si>
  <si>
    <t>28/06/2024 18:38:49</t>
  </si>
  <si>
    <t>24/06/2024 12:38:14</t>
  </si>
  <si>
    <t>24/06/2024 12:57:42</t>
  </si>
  <si>
    <t>24/06/2024 13:00:44</t>
  </si>
  <si>
    <t>24/06/2024 15:58:54</t>
  </si>
  <si>
    <t>69150300-3</t>
  </si>
  <si>
    <t>ILUSTRE MUNICIPALIDAD DE RANQUIL</t>
  </si>
  <si>
    <t>24/06/2024 17:07:32</t>
  </si>
  <si>
    <t>24/06/2024 17:24:47</t>
  </si>
  <si>
    <t>60801000-9</t>
  </si>
  <si>
    <t>SUBSECRETARIA DEL MINISTERIO DE HACIENDA</t>
  </si>
  <si>
    <t>24/06/2024 17:26:14</t>
  </si>
  <si>
    <t>25/06/2024 16:40:06</t>
  </si>
  <si>
    <t>60801000-9_53027</t>
  </si>
  <si>
    <t>25-06-2024</t>
  </si>
  <si>
    <t>25/06/2024 10:25:56</t>
  </si>
  <si>
    <t>25/06/2024 16:42:35</t>
  </si>
  <si>
    <t>60801000-9_53028</t>
  </si>
  <si>
    <t>25/06/2024 11:00:45</t>
  </si>
  <si>
    <t>25/06/2024 12:13:10</t>
  </si>
  <si>
    <t>25/06/2024 14:11:47</t>
  </si>
  <si>
    <t>28/06/2024 16:32:00</t>
  </si>
  <si>
    <t>25/06/2024 14:12:37</t>
  </si>
  <si>
    <t>25/06/2024 14:23:45</t>
  </si>
  <si>
    <t>26/06/2024 12:14:02</t>
  </si>
  <si>
    <t>25/06/2024 14:25:07</t>
  </si>
  <si>
    <t>26/06/2024 12:15:06</t>
  </si>
  <si>
    <t>25/06/2024 14:26:13</t>
  </si>
  <si>
    <t>26/06/2024 12:15:07</t>
  </si>
  <si>
    <t>25/06/2024 14:27:19</t>
  </si>
  <si>
    <t>25/06/2024 14:28:31</t>
  </si>
  <si>
    <t>26/06/2024 12:15:08</t>
  </si>
  <si>
    <t>25/06/2024 14:29:43</t>
  </si>
  <si>
    <t>25/06/2024 14:31:14</t>
  </si>
  <si>
    <t>25/06/2024 14:32:10</t>
  </si>
  <si>
    <t>25/06/2024 14:32:57</t>
  </si>
  <si>
    <t>25/06/2024 14:33:48</t>
  </si>
  <si>
    <t>29/06/2024 12:11:18</t>
  </si>
  <si>
    <t>25/06/2024 14:35:04</t>
  </si>
  <si>
    <t>25/06/2024 15:11:06</t>
  </si>
  <si>
    <t>28/06/2024 13:34:51</t>
  </si>
  <si>
    <t>25/06/2024 15:12:12</t>
  </si>
  <si>
    <t>25/06/2024 15:13:18</t>
  </si>
  <si>
    <t>30/06/2024 15:44:18</t>
  </si>
  <si>
    <t>25/06/2024 15:14:14</t>
  </si>
  <si>
    <t>30/06/2024 15:44:36</t>
  </si>
  <si>
    <t>69251600-1</t>
  </si>
  <si>
    <t>ILUSTRE MUNICIPALIDAD DE TIMAUKEL</t>
  </si>
  <si>
    <t>25/06/2024 16:05:23</t>
  </si>
  <si>
    <t>25/06/2024 16:35:20</t>
  </si>
  <si>
    <t>30/06/2024 13:49:53</t>
  </si>
  <si>
    <t>25/06/2024 16:59:20</t>
  </si>
  <si>
    <t>26/06/2024 15:39:16</t>
  </si>
  <si>
    <t>60901000-2_53050</t>
  </si>
  <si>
    <t>25/06/2024 18:18:35</t>
  </si>
  <si>
    <t>25/06/2024 18:41:28</t>
  </si>
  <si>
    <t>25/06/2024 18:45:07</t>
  </si>
  <si>
    <t>27/06/2024 19:00:13</t>
  </si>
  <si>
    <t>78298010-6</t>
  </si>
  <si>
    <t>ENRIQUE CONCHA MUEBLES S.A.</t>
  </si>
  <si>
    <t>26-06-2024</t>
  </si>
  <si>
    <t>26/06/2024 09:15:03</t>
  </si>
  <si>
    <t>26/06/2024 10:13:49</t>
  </si>
  <si>
    <t>26/06/2024 09:31:26</t>
  </si>
  <si>
    <t>26/06/2024 16:21:14</t>
  </si>
  <si>
    <t>26/06/2024 09:53:17</t>
  </si>
  <si>
    <t>28/06/2024 13:12:09</t>
  </si>
  <si>
    <t>26/06/2024 09:59:04</t>
  </si>
  <si>
    <t>28/06/2024 12:49:36</t>
  </si>
  <si>
    <t>26/06/2024 10:54:40</t>
  </si>
  <si>
    <t>96613220-5_53058</t>
  </si>
  <si>
    <t>26/06/2024 11:45:54</t>
  </si>
  <si>
    <t>28/06/2024 12:49:40</t>
  </si>
  <si>
    <t>26/06/2024 11:54:28</t>
  </si>
  <si>
    <t>28/06/2024 05:08:15</t>
  </si>
  <si>
    <t>26/06/2024 12:03:46</t>
  </si>
  <si>
    <t>26/06/2024 12:17:04</t>
  </si>
  <si>
    <t>26/06/2024 13:05:45</t>
  </si>
  <si>
    <t>28/06/2024 11:33:19</t>
  </si>
  <si>
    <t>26/06/2024 13:06:45</t>
  </si>
  <si>
    <t>28/06/2024 11:33:27</t>
  </si>
  <si>
    <t>26/06/2024 13:08:33</t>
  </si>
  <si>
    <t>28/06/2024 11:33:34</t>
  </si>
  <si>
    <t>26/06/2024 14:25:50</t>
  </si>
  <si>
    <t>26/06/2024 14:27:51</t>
  </si>
  <si>
    <t>26/06/2024 14:38:50</t>
  </si>
  <si>
    <t>28/06/2024 20:09:05</t>
  </si>
  <si>
    <t>26/06/2024 15:31:04</t>
  </si>
  <si>
    <t>26/06/2024 17:19:55</t>
  </si>
  <si>
    <t>28/06/2024 15:12:13</t>
  </si>
  <si>
    <t>91510000-7_53070</t>
  </si>
  <si>
    <t>26/06/2024 17:34:01</t>
  </si>
  <si>
    <t>26/06/2024 18:49:19</t>
  </si>
  <si>
    <t>27-06-2024</t>
  </si>
  <si>
    <t>27/06/2024 10:36:07</t>
  </si>
  <si>
    <t>27/06/2024 10:39:40</t>
  </si>
  <si>
    <t>27/06/2024 10:42:04</t>
  </si>
  <si>
    <t>27/06/2024 12:03:42</t>
  </si>
  <si>
    <t>27/06/2024 11:17:34</t>
  </si>
  <si>
    <t>28/06/2024 09:58:58</t>
  </si>
  <si>
    <t>27/06/2024 12:15:32</t>
  </si>
  <si>
    <t>27/06/2024 13:05:13</t>
  </si>
  <si>
    <t>30/06/2024 13:43:55</t>
  </si>
  <si>
    <t>27/06/2024 13:13:34</t>
  </si>
  <si>
    <t>27/06/2024 13:32:51</t>
  </si>
  <si>
    <t>27/06/2024 13:33:58</t>
  </si>
  <si>
    <t>27/06/2024 13:35:30</t>
  </si>
  <si>
    <t>27/06/2024 13:36:56</t>
  </si>
  <si>
    <t>27/06/2024 13:41:11</t>
  </si>
  <si>
    <t>27/06/2024 13:42:34</t>
  </si>
  <si>
    <t>96610780-4</t>
  </si>
  <si>
    <t>PORTUARIA CORRAL S.A</t>
  </si>
  <si>
    <t>27/06/2024 13:44:31</t>
  </si>
  <si>
    <t>27/06/2024 15:04:33</t>
  </si>
  <si>
    <t>27/06/2024 16:42:46</t>
  </si>
  <si>
    <t>28/06/2024 15:51:59</t>
  </si>
  <si>
    <t>27/06/2024 16:48:52</t>
  </si>
  <si>
    <t>28/06/2024 14:08:49</t>
  </si>
  <si>
    <t>27/06/2024 16:51:51</t>
  </si>
  <si>
    <t>27/06/2024 16:53:23</t>
  </si>
  <si>
    <t>27/06/2024 16:54:40</t>
  </si>
  <si>
    <t>27/06/2024 17:10:14</t>
  </si>
  <si>
    <t>27/06/2024 17:16:42</t>
  </si>
  <si>
    <t>28-06-2024</t>
  </si>
  <si>
    <t>28/06/2024 08:51:34</t>
  </si>
  <si>
    <t>30/06/2024 23:09:52</t>
  </si>
  <si>
    <t>28/06/2024 08:52:20</t>
  </si>
  <si>
    <t>28/06/2024 09:13:43</t>
  </si>
  <si>
    <t>28/06/2024 08:56:25</t>
  </si>
  <si>
    <t>28/06/2024 12:33:20</t>
  </si>
  <si>
    <t>28/06/2024 08:57:22</t>
  </si>
  <si>
    <t>30/06/2024 18:42:40</t>
  </si>
  <si>
    <t>28/06/2024 12:23:26</t>
  </si>
  <si>
    <t>76942020-7</t>
  </si>
  <si>
    <t>HBC LATINA SPA</t>
  </si>
  <si>
    <t>28/06/2024 13:07:57</t>
  </si>
  <si>
    <t>28/06/2024 13:13:54</t>
  </si>
  <si>
    <t>28/06/2024 16:05:40</t>
  </si>
  <si>
    <t>30/06/2024 23:09:28</t>
  </si>
  <si>
    <t>28/06/2024 16:08:12</t>
  </si>
  <si>
    <t>30/06/2024 13:41:34</t>
  </si>
  <si>
    <t>28/06/2024 16:09:08</t>
  </si>
  <si>
    <t>28/06/2024 16:10:35</t>
  </si>
  <si>
    <t>28/06/2024 16:12:13</t>
  </si>
  <si>
    <t>28/06/2024 16:22:19</t>
  </si>
  <si>
    <t>76270561-3</t>
  </si>
  <si>
    <t>NATPHOTO SERVICIOS SPA</t>
  </si>
  <si>
    <t>28/06/2024 16:28:52</t>
  </si>
  <si>
    <t>96600850-4</t>
  </si>
  <si>
    <t>SERVISALUD S A</t>
  </si>
  <si>
    <t>28/06/2024 16:39:51</t>
  </si>
  <si>
    <t>28/06/2024 16:42:14</t>
  </si>
  <si>
    <t>29/06/2024 14:02:06</t>
  </si>
  <si>
    <t>96600850-4_53110</t>
  </si>
  <si>
    <t>96674170-8</t>
  </si>
  <si>
    <t>SERVICLINICA S A</t>
  </si>
  <si>
    <t>28/06/2024 16:47:01</t>
  </si>
  <si>
    <t>28/06/2024 16:50:05</t>
  </si>
  <si>
    <t>28/06/2024 17:09:25</t>
  </si>
  <si>
    <t>28/06/2024 17:17:29</t>
  </si>
  <si>
    <t>30/06/2024 13:41:49</t>
  </si>
  <si>
    <t>28/06/2024 17:23:31</t>
  </si>
  <si>
    <t>96896610-3</t>
  </si>
  <si>
    <t>ACMANET S.A</t>
  </si>
  <si>
    <t>28/06/2024 18:05:13</t>
  </si>
  <si>
    <t>28/06/2024 18:09:44</t>
  </si>
  <si>
    <t>76266276-0</t>
  </si>
  <si>
    <t>SERVICLINICA IQUIQUE S.A.</t>
  </si>
  <si>
    <t>28/06/2024 18:31:25</t>
  </si>
  <si>
    <t>29/06/2024 21:49:01</t>
  </si>
  <si>
    <t>29/06/2024 22:00:26</t>
  </si>
  <si>
    <t>29/06/2024 22:03:40</t>
  </si>
  <si>
    <t>29/06/2024 22:08:52</t>
  </si>
  <si>
    <t>29/06/2024 22:34:33</t>
  </si>
  <si>
    <t>29/06/2024 22:38:28</t>
  </si>
  <si>
    <t>76871990-K</t>
  </si>
  <si>
    <t>NUEVA CLINICA CORDILLERA PRESTACIONES HOSPITALIZADAS SA</t>
  </si>
  <si>
    <t>14/06/2024 17:35:45</t>
  </si>
  <si>
    <t>17/06/2024 11:26:56</t>
  </si>
  <si>
    <t>19/06/2024 15:54:44</t>
  </si>
  <si>
    <t>19/06/2024 17:18:55</t>
  </si>
  <si>
    <t>19/06/2024 22:41:11</t>
  </si>
  <si>
    <t>25/06/2024 17:24:22</t>
  </si>
  <si>
    <t>25/06/2024 18:25:23</t>
  </si>
  <si>
    <t>25/06/2024 18:26:35</t>
  </si>
  <si>
    <t>28/06/2024 18:06:55</t>
  </si>
  <si>
    <t>28/06/2024 18:08:22</t>
  </si>
  <si>
    <t>28/06/2024 19:23:45</t>
  </si>
  <si>
    <t>28/06/2024 19:25:53</t>
  </si>
  <si>
    <t>28/06/2024 19:27:09</t>
  </si>
  <si>
    <t>28/06/2024 16:02:05</t>
  </si>
  <si>
    <t>28/06/2024 16:04:32</t>
  </si>
  <si>
    <t>28/06/2024 17:20:07</t>
  </si>
  <si>
    <t>28/06/2024 17:22:30</t>
  </si>
  <si>
    <t>15-07-2024</t>
  </si>
  <si>
    <t>17-07-2024</t>
  </si>
  <si>
    <t>18-07-2024</t>
  </si>
  <si>
    <t>22-07-2024</t>
  </si>
  <si>
    <t>23-07-2024</t>
  </si>
  <si>
    <t>24-07-2024</t>
  </si>
  <si>
    <t>25-07-2024</t>
  </si>
  <si>
    <t>26-07-2024</t>
  </si>
  <si>
    <t>29-07-2024</t>
  </si>
  <si>
    <t>30-07-2024</t>
  </si>
  <si>
    <t>31-07-2024</t>
  </si>
  <si>
    <t>13-08-2024</t>
  </si>
  <si>
    <t>14-08-2024</t>
  </si>
  <si>
    <t>19-08-2024</t>
  </si>
  <si>
    <t>20-08-2024</t>
  </si>
  <si>
    <t>21-08-2024</t>
  </si>
  <si>
    <t>22-08-2024</t>
  </si>
  <si>
    <t>23-08-2024</t>
  </si>
  <si>
    <t>26-08-2024</t>
  </si>
  <si>
    <t>27-08-2024</t>
  </si>
  <si>
    <t>28-08-2024</t>
  </si>
  <si>
    <t>29-08-2024</t>
  </si>
  <si>
    <t>30-08-2024</t>
  </si>
  <si>
    <t>13-09-2024</t>
  </si>
  <si>
    <t>16-09-2024</t>
  </si>
  <si>
    <t>17-09-2024</t>
  </si>
  <si>
    <t>23-09-2024</t>
  </si>
  <si>
    <t>24-09-2024</t>
  </si>
  <si>
    <t>25-09-2024</t>
  </si>
  <si>
    <t>26-09-2024</t>
  </si>
  <si>
    <t>30-09-2024</t>
  </si>
  <si>
    <t>14-10-2024</t>
  </si>
  <si>
    <t>15-10-2024</t>
  </si>
  <si>
    <t>16-10-2024</t>
  </si>
  <si>
    <t>17-10-2024</t>
  </si>
  <si>
    <t>18-10-2024</t>
  </si>
  <si>
    <t>21-10-2024</t>
  </si>
  <si>
    <t>22-10-2024</t>
  </si>
  <si>
    <t>23-10-2024</t>
  </si>
  <si>
    <t>24-10-2024</t>
  </si>
  <si>
    <t>25-10-2024</t>
  </si>
  <si>
    <t>28-10-2024</t>
  </si>
  <si>
    <t>28/10/2024 12:15:47</t>
  </si>
  <si>
    <t>29-10-2024</t>
  </si>
  <si>
    <t>30-10-2024</t>
  </si>
  <si>
    <t>14-11-2024</t>
  </si>
  <si>
    <t>15-11-2024</t>
  </si>
  <si>
    <t>18-11-2024</t>
  </si>
  <si>
    <t>19-11-2024</t>
  </si>
  <si>
    <t>20-11-2024</t>
  </si>
  <si>
    <t>21-11-2024</t>
  </si>
  <si>
    <t>22-11-2024</t>
  </si>
  <si>
    <t>25-11-2024</t>
  </si>
  <si>
    <t>26-11-2024</t>
  </si>
  <si>
    <t>27-11-2024</t>
  </si>
  <si>
    <t>28-11-2024</t>
  </si>
  <si>
    <t>29-11-2024</t>
  </si>
  <si>
    <t>13-12-2024</t>
  </si>
  <si>
    <t>16-12-2024</t>
  </si>
  <si>
    <t>17-12-2024</t>
  </si>
  <si>
    <t>18-12-2024</t>
  </si>
  <si>
    <t>19-12-2024</t>
  </si>
  <si>
    <t>20-12-2024</t>
  </si>
  <si>
    <t>23-12-2024</t>
  </si>
  <si>
    <t>26-12-2024</t>
  </si>
  <si>
    <t>27-12-2024</t>
  </si>
  <si>
    <t>30-12-2024</t>
  </si>
  <si>
    <t>60805000-0</t>
  </si>
  <si>
    <t>TESORERIA GENERAL DE LA REPUBLICA</t>
  </si>
  <si>
    <t>31-12-2024</t>
  </si>
  <si>
    <t>N°</t>
  </si>
  <si>
    <t>Tipo Compra</t>
  </si>
  <si>
    <t>RUT Proveedor</t>
  </si>
  <si>
    <t>Fecha Acuse</t>
  </si>
  <si>
    <t>Monto IVA Recuperable</t>
  </si>
  <si>
    <t>Monto Iva No Recuperable</t>
  </si>
  <si>
    <t>Codigo IVA No Rec.</t>
  </si>
  <si>
    <t>Monto Total</t>
  </si>
  <si>
    <t>Monto Neto Activo Fijo</t>
  </si>
  <si>
    <t>IVA Activo Fijo</t>
  </si>
  <si>
    <t>IVA uso Comun</t>
  </si>
  <si>
    <t>Impto. Sin Derecho a Credito</t>
  </si>
  <si>
    <t>IVA No Retenido</t>
  </si>
  <si>
    <t>Tabacos Puros</t>
  </si>
  <si>
    <t>Tabacos Cigarrillos</t>
  </si>
  <si>
    <t>Tabacos Elaborados</t>
  </si>
  <si>
    <t>Codigo Otro Impuesto</t>
  </si>
  <si>
    <t>Valor Otro Impuesto</t>
  </si>
  <si>
    <t>Tasa Otro Impuesto</t>
  </si>
  <si>
    <t>Nombre Archivo</t>
  </si>
  <si>
    <t>Empresa</t>
  </si>
  <si>
    <t>Año</t>
  </si>
  <si>
    <t>Mes</t>
  </si>
  <si>
    <t>Llave</t>
  </si>
  <si>
    <t>REGISTRO</t>
  </si>
  <si>
    <t>33 Del Giro</t>
  </si>
  <si>
    <t>97036000-K</t>
  </si>
  <si>
    <t>Santander - Chile</t>
  </si>
  <si>
    <t>RSM CHILE MAGNUS TECHNOLOGY SPA</t>
  </si>
  <si>
    <t>99231000-6</t>
  </si>
  <si>
    <t>HDI SEGUROS S.A.</t>
  </si>
  <si>
    <t>90635000-9</t>
  </si>
  <si>
    <t>33 IVA no Recuperable</t>
  </si>
  <si>
    <t>34 Del Giro</t>
  </si>
  <si>
    <t>61 Del Giro</t>
  </si>
  <si>
    <t>30-06-2024</t>
  </si>
  <si>
    <t>16-08-2024</t>
  </si>
  <si>
    <t>31-08-2024</t>
  </si>
  <si>
    <t>31-10-2024</t>
  </si>
  <si>
    <t>30-11-2024</t>
  </si>
  <si>
    <t>RSM CHILE ACCOUNTING TAX AND CONSULTING SERVICES LIMITADA</t>
  </si>
  <si>
    <t>Libro ventas (actual)</t>
  </si>
  <si>
    <t>Libro venta (consolidado)</t>
  </si>
  <si>
    <t>Cruce informativo Libro Ventas</t>
  </si>
  <si>
    <t>LIBRO DE COMPRAS</t>
  </si>
  <si>
    <t>76556197-3</t>
  </si>
  <si>
    <t>LC del mes</t>
  </si>
  <si>
    <t>LC historico</t>
  </si>
  <si>
    <t>Monto vs monto</t>
  </si>
  <si>
    <t>Corresponde a</t>
  </si>
  <si>
    <t>Dias de diferencia</t>
  </si>
  <si>
    <t>Se puede usar IVA?</t>
  </si>
  <si>
    <t>Rut proveedores</t>
  </si>
  <si>
    <t>Mes de consulta</t>
  </si>
  <si>
    <t>buscar el rut en consolidado</t>
  </si>
  <si>
    <t>Estado del proveedor</t>
  </si>
  <si>
    <t>Como se categorizó antes</t>
  </si>
  <si>
    <t>modificar, que evalue si es del giro, que lo omita y siga buscando, en caso que no encuentre alguna diferencia, coloca el primer dato que encuentra</t>
  </si>
  <si>
    <t>habria que señalar que al evaluar AA, aplique un filtro y quite todas las que dicen "Del giro", y al aplicar el filtro, que haga el analisis, una vez terminado el analisis, que quite el filtro sin dañar la informacion de AA.</t>
  </si>
  <si>
    <t>Razon social</t>
  </si>
  <si>
    <t>Tipo documento</t>
  </si>
  <si>
    <t>Como se categorizó</t>
  </si>
  <si>
    <t>Anulacion</t>
  </si>
  <si>
    <t>Alerta: IVA utilizable</t>
  </si>
  <si>
    <t>Proveedor recurrente</t>
  </si>
  <si>
    <t>97043000-8</t>
  </si>
  <si>
    <t>Proveedor nuevo</t>
  </si>
  <si>
    <t>76646770-9</t>
  </si>
  <si>
    <t>76859443-0</t>
  </si>
  <si>
    <t>77314510-5</t>
  </si>
  <si>
    <t>78951270-1</t>
  </si>
  <si>
    <t>99289000-2</t>
  </si>
  <si>
    <t>Nombre</t>
  </si>
  <si>
    <t>Exento</t>
  </si>
  <si>
    <t>Neto</t>
  </si>
  <si>
    <t>IVA</t>
  </si>
  <si>
    <t>Total</t>
  </si>
  <si>
    <t>%</t>
  </si>
  <si>
    <t>Monto No facturable</t>
  </si>
  <si>
    <t>Llave primaria</t>
  </si>
  <si>
    <t>76055126-0_</t>
  </si>
  <si>
    <t>76271374-8_</t>
  </si>
  <si>
    <t>77205551-K_</t>
  </si>
  <si>
    <t>90844000-5_</t>
  </si>
  <si>
    <t>77716312-4_</t>
  </si>
  <si>
    <t>76409505-7_</t>
  </si>
  <si>
    <t>76322590-9_</t>
  </si>
  <si>
    <t>70017820-K_</t>
  </si>
  <si>
    <t>89862200-2_</t>
  </si>
  <si>
    <t>96774640-1_</t>
  </si>
  <si>
    <t>96776000-5_</t>
  </si>
  <si>
    <t>69070300-9_</t>
  </si>
  <si>
    <t>84439900-6_</t>
  </si>
  <si>
    <t>69061000-0_</t>
  </si>
  <si>
    <t>96568780-7_</t>
  </si>
  <si>
    <t>93129000-2_</t>
  </si>
  <si>
    <t>85218000-5_</t>
  </si>
  <si>
    <t>77260520-K_</t>
  </si>
  <si>
    <t>96667520-9_</t>
  </si>
  <si>
    <t>96726970-0_</t>
  </si>
  <si>
    <t>80116100-6_</t>
  </si>
  <si>
    <t>76034117-7_</t>
  </si>
  <si>
    <t>94627000-8_</t>
  </si>
  <si>
    <t>76741416-1_</t>
  </si>
  <si>
    <t>96522880-2_</t>
  </si>
  <si>
    <t>87930900-K_</t>
  </si>
  <si>
    <t>76094235-9_</t>
  </si>
  <si>
    <t>92083000-5_</t>
  </si>
  <si>
    <t>78933950-3_</t>
  </si>
  <si>
    <t>76120914-0_</t>
  </si>
  <si>
    <t>84650700-0_</t>
  </si>
  <si>
    <t>76051189-7_</t>
  </si>
  <si>
    <t>96551730-8_</t>
  </si>
  <si>
    <t>76130919-6_</t>
  </si>
  <si>
    <t>78006660-1_</t>
  </si>
  <si>
    <t>76351957-0_</t>
  </si>
  <si>
    <t>76356103-8_</t>
  </si>
  <si>
    <t>76392452-1_</t>
  </si>
  <si>
    <t>76485515-9_</t>
  </si>
  <si>
    <t>96872930-6_</t>
  </si>
  <si>
    <t>96999930-7_</t>
  </si>
  <si>
    <t>76722143-6_</t>
  </si>
  <si>
    <t>96577470-K_</t>
  </si>
  <si>
    <t>76993801-K_</t>
  </si>
  <si>
    <t>85325100-3_</t>
  </si>
  <si>
    <t>76005024-5_</t>
  </si>
  <si>
    <t>96940260-2_</t>
  </si>
  <si>
    <t>60803000-K_</t>
  </si>
  <si>
    <t>60910000-1_</t>
  </si>
  <si>
    <t>61102015-5_</t>
  </si>
  <si>
    <t>65028707-K_</t>
  </si>
  <si>
    <t>61979440-0_</t>
  </si>
  <si>
    <t>77182500-1_</t>
  </si>
  <si>
    <t>76415712-5_</t>
  </si>
  <si>
    <t>76908682-K_</t>
  </si>
  <si>
    <t>96838520-8_</t>
  </si>
  <si>
    <t>96812960-0_</t>
  </si>
  <si>
    <t>78162940-5_</t>
  </si>
  <si>
    <t>76926371-3_</t>
  </si>
  <si>
    <t>76596620-5_</t>
  </si>
  <si>
    <t>91913000-8_</t>
  </si>
  <si>
    <t>99523260-K_</t>
  </si>
  <si>
    <t>65195675-7_</t>
  </si>
  <si>
    <t>90227000-0_</t>
  </si>
  <si>
    <t>89003900-6_</t>
  </si>
  <si>
    <t>65290590-0_</t>
  </si>
  <si>
    <t>61104000-8_</t>
  </si>
  <si>
    <t>96843140-4_</t>
  </si>
  <si>
    <t>76363534-1_</t>
  </si>
  <si>
    <t>77324649-1_</t>
  </si>
  <si>
    <t>76532599-4_</t>
  </si>
  <si>
    <t>86963200-7_</t>
  </si>
  <si>
    <t>76534047-0_</t>
  </si>
  <si>
    <t>92999000-5_</t>
  </si>
  <si>
    <t>77626526-8_</t>
  </si>
  <si>
    <t>60901000-2_</t>
  </si>
  <si>
    <t>77431760-0_</t>
  </si>
  <si>
    <t>79775100-6_</t>
  </si>
  <si>
    <t>76415706-0_</t>
  </si>
  <si>
    <t>76292214-2_</t>
  </si>
  <si>
    <t>76657718-0_</t>
  </si>
  <si>
    <t>99563840-1_</t>
  </si>
  <si>
    <t>92177000-6_</t>
  </si>
  <si>
    <t>96802690-9_</t>
  </si>
  <si>
    <t>80313300-K_</t>
  </si>
  <si>
    <t>77266680-2_</t>
  </si>
  <si>
    <t>96933310-4_</t>
  </si>
  <si>
    <t>76224805-0_</t>
  </si>
  <si>
    <t>76697988-2_</t>
  </si>
  <si>
    <t>96798550-3_</t>
  </si>
  <si>
    <t>76133859-5_</t>
  </si>
  <si>
    <t>76008587-1_</t>
  </si>
  <si>
    <t>92176000-0_</t>
  </si>
  <si>
    <t>89696400-3_</t>
  </si>
  <si>
    <t>96978530-7_</t>
  </si>
  <si>
    <t>76258385-2_</t>
  </si>
  <si>
    <t>76148224-6_</t>
  </si>
  <si>
    <t>99579230-3_</t>
  </si>
  <si>
    <t>91584000-0_</t>
  </si>
  <si>
    <t>77845530-7_</t>
  </si>
  <si>
    <t>77887800-3_</t>
  </si>
  <si>
    <t>96947020-9_</t>
  </si>
  <si>
    <t>76389710-9_</t>
  </si>
  <si>
    <t>79897420-3_</t>
  </si>
  <si>
    <t>76411758-1_</t>
  </si>
  <si>
    <t>77899910-2_</t>
  </si>
  <si>
    <t>77662790-9_</t>
  </si>
  <si>
    <t>76361301-1_</t>
  </si>
  <si>
    <t>76227320-9_</t>
  </si>
  <si>
    <t>90413000-1_</t>
  </si>
  <si>
    <t>76788050-2_</t>
  </si>
  <si>
    <t>69071300-4_</t>
  </si>
  <si>
    <t>91502000-3_</t>
  </si>
  <si>
    <t>97029000-1_</t>
  </si>
  <si>
    <t>96770100-9_</t>
  </si>
  <si>
    <t>69090500-0_</t>
  </si>
  <si>
    <t>61606200-K_</t>
  </si>
  <si>
    <t>76572527-5_</t>
  </si>
  <si>
    <t>110 Del Giro</t>
  </si>
  <si>
    <t>55555555-5_</t>
  </si>
  <si>
    <t xml:space="preserve"> RESUMEN REGISTRO DE VENTAS </t>
  </si>
  <si>
    <t>RESUMEN REGISTRO DE COMPRAS</t>
  </si>
  <si>
    <t>Tipo Doc.</t>
  </si>
  <si>
    <t>Cantidad</t>
  </si>
  <si>
    <t>IVA no ret.</t>
  </si>
  <si>
    <t>Totales</t>
  </si>
  <si>
    <t xml:space="preserve"> </t>
  </si>
  <si>
    <t>1ro</t>
  </si>
  <si>
    <t>2.2</t>
  </si>
  <si>
    <t>3ro</t>
  </si>
  <si>
    <t>4to</t>
  </si>
  <si>
    <t>5to</t>
  </si>
  <si>
    <t>Enero</t>
  </si>
  <si>
    <t>2.1 (seleccionar mes)</t>
  </si>
  <si>
    <t>Febrero</t>
  </si>
  <si>
    <t>Marzo</t>
  </si>
  <si>
    <t>Abril</t>
  </si>
  <si>
    <t>Mayo</t>
  </si>
  <si>
    <t>Junio</t>
  </si>
  <si>
    <t>Julio</t>
  </si>
  <si>
    <t>Acción</t>
  </si>
  <si>
    <t>Datos (Rutas, mes, año, entre otros)</t>
  </si>
  <si>
    <t>Ejecución Macros</t>
  </si>
  <si>
    <t>Agosto</t>
  </si>
  <si>
    <t>Ruta L. compras</t>
  </si>
  <si>
    <t>Septiembre</t>
  </si>
  <si>
    <t>Ruta L. ventas</t>
  </si>
  <si>
    <t>Octubre</t>
  </si>
  <si>
    <t>Generar L. Ventas y Compras del mes</t>
  </si>
  <si>
    <t xml:space="preserve">Preparar resumen IVA del mes </t>
  </si>
  <si>
    <t>Extae las NC del libro de ventas y compras y las traslada a la hoja NC</t>
  </si>
  <si>
    <t>Realiza una búsqueda de las NC del LV del mes en revisión, y las compara con el documento original (LV consolidado) y sujiere si es anulación o descuento</t>
  </si>
  <si>
    <t>Realiza una búsqueda de las NC del LC del mes en revisión, ….....</t>
  </si>
  <si>
    <t>Noviembre</t>
  </si>
  <si>
    <t>Diciembre</t>
  </si>
  <si>
    <t>seleccionar rut para evaluar como se clasifica anteriormente ( si se deja en blanco, queda la informacion anterior)</t>
  </si>
  <si>
    <t>VENTAS</t>
  </si>
  <si>
    <t>COMPRAS</t>
  </si>
  <si>
    <t>codigo</t>
  </si>
  <si>
    <t>VALOR</t>
  </si>
  <si>
    <t>Código no encontrado</t>
  </si>
  <si>
    <t>Ventas</t>
  </si>
  <si>
    <t>Compras</t>
  </si>
  <si>
    <t>OTROS</t>
  </si>
  <si>
    <t>nombre codigo</t>
  </si>
  <si>
    <t>AuxVentas1</t>
  </si>
  <si>
    <t>AuxVentas2</t>
  </si>
  <si>
    <t>ejemplo f-29</t>
  </si>
  <si>
    <t>AuxCompras1</t>
  </si>
  <si>
    <t>AuxCompras2</t>
  </si>
  <si>
    <t>composicion</t>
  </si>
  <si>
    <t>CANT. DE DCTOS. EXPORTACIONES</t>
  </si>
  <si>
    <t>CRÉD. IVA POR DCTOS. ELECTRÓNICOS</t>
  </si>
  <si>
    <t>33 Del Giro - 61 Del Giro</t>
  </si>
  <si>
    <t>IVA recuperable</t>
  </si>
  <si>
    <t>RET. IMP. ÚNICO TRAB. ART. 74 N 1 LIR</t>
  </si>
  <si>
    <t>EXPORTACIONES DEL MES</t>
  </si>
  <si>
    <t>CANT. DOC. SIN DER. A CRED. FISCAL</t>
  </si>
  <si>
    <t>Ret. 3% Rta 42 N°1 reint. prest. Tasa 0%</t>
  </si>
  <si>
    <t>CANT. VTAS. Y/O SERV. PREST. INT. EXENT.</t>
  </si>
  <si>
    <t>SIN DERECHO CRÉD. POR DCTOS. ELECTRON.</t>
  </si>
  <si>
    <t>IVA no recuperable</t>
  </si>
  <si>
    <t>RETENCION TASA LEY 21.133 SOBRE RENTAS</t>
  </si>
  <si>
    <t>VENTAS Y/O SERV. EXENTOS O NO GRAVADOS</t>
  </si>
  <si>
    <t>CANT.INT.EX.NO GRAV.SIN DER. CRED.FISCAL</t>
  </si>
  <si>
    <t>desconocido</t>
  </si>
  <si>
    <t>Sin coincidencias</t>
  </si>
  <si>
    <t>Ret. 3% Rta 42 N°2 reint. prest. Tasa 0%</t>
  </si>
  <si>
    <t>CANTIDAD FACTURAS EMITIDAS</t>
  </si>
  <si>
    <t>MONTO NETO / INTERNAS AFECTAS</t>
  </si>
  <si>
    <t>IMP. DETERM. IVA</t>
  </si>
  <si>
    <t>DÉBITOS FACTURAS EMITIDAS</t>
  </si>
  <si>
    <t>CANT. DE DCTOS. FACT. RECIB. DEL GIRO</t>
  </si>
  <si>
    <t>CANT. DCTOS. NOTAS DE CRÉDITOS EMITIDAS</t>
  </si>
  <si>
    <t>MONTO SIN DER. A CRED. FISCAL</t>
  </si>
  <si>
    <t>Suma entre ambos</t>
  </si>
  <si>
    <t>En compras se resta</t>
  </si>
  <si>
    <t>DÉBITOS NOTAS DE CRÉDITOS EMITIDAS</t>
  </si>
  <si>
    <t>CANT. NOTAS DE CRÉDITO RECIBIDAS</t>
  </si>
  <si>
    <t>SUB TOTAL IMP. DETERMINADO ANVERSO</t>
  </si>
  <si>
    <t>suma de los 4 conceptos</t>
  </si>
  <si>
    <t>48-49-151-155-89</t>
  </si>
  <si>
    <t>TOTAL DÉBITOS</t>
  </si>
  <si>
    <t>CRÉDITO REC. Y REINT./FACT. DEL GIRO</t>
  </si>
  <si>
    <t>TOTAL DETERMINADO</t>
  </si>
  <si>
    <t>el valor de 595</t>
  </si>
  <si>
    <t>CRÉDITO RECUP. Y REINT NOTAS DE CRÉD</t>
  </si>
  <si>
    <t>CANT. DE DCTOS. BOLETAS</t>
  </si>
  <si>
    <t>no aparece en RCV detalles</t>
  </si>
  <si>
    <t>TOTAL CRÉDITOS</t>
  </si>
  <si>
    <t>DÉBITOS / BOLETAS</t>
  </si>
  <si>
    <t>CANT. NOTAS CRED. EMIT. VALES MAQ. IVA</t>
  </si>
  <si>
    <t>CONSIDERAR QUE EN COLUMNA Y DE LV, SI HAY UN 39 SE CONSIDERA ACA</t>
  </si>
  <si>
    <t>MONTO NOTAS CRED. EMIT. VALES MAQ. IVA.</t>
  </si>
  <si>
    <t xml:space="preserve">110 Del Giro </t>
  </si>
  <si>
    <t>914 Del Giro</t>
  </si>
  <si>
    <t>Orion 200 SpA</t>
  </si>
  <si>
    <r>
      <rPr>
        <sz val="10"/>
        <rFont val="Arial MT"/>
        <family val="2"/>
      </rPr>
      <t>FOLIO</t>
    </r>
  </si>
  <si>
    <r>
      <rPr>
        <b/>
        <sz val="10"/>
        <rFont val="Arial"/>
        <family val="2"/>
      </rPr>
      <t>[07]</t>
    </r>
  </si>
  <si>
    <t>ROJO: NO SE ENCUENTRA</t>
  </si>
  <si>
    <r>
      <rPr>
        <sz val="10"/>
        <rFont val="Arial MT"/>
        <family val="2"/>
      </rPr>
      <t>RUT</t>
    </r>
  </si>
  <si>
    <r>
      <rPr>
        <b/>
        <sz val="10"/>
        <rFont val="Arial"/>
        <family val="2"/>
      </rPr>
      <t>[03]</t>
    </r>
  </si>
  <si>
    <r>
      <rPr>
        <sz val="10"/>
        <rFont val="Arial MT"/>
        <family val="2"/>
      </rPr>
      <t>96.899.890-0</t>
    </r>
  </si>
  <si>
    <t>AMARILLO: ENCONTRADA COINCIDENCIA</t>
  </si>
  <si>
    <r>
      <rPr>
        <sz val="10"/>
        <rFont val="Arial MT"/>
        <family val="2"/>
      </rPr>
      <t>77.690.744-8</t>
    </r>
  </si>
  <si>
    <r>
      <rPr>
        <sz val="10"/>
        <rFont val="Arial MT"/>
        <family val="2"/>
      </rPr>
      <t>PERIODO</t>
    </r>
  </si>
  <si>
    <r>
      <rPr>
        <b/>
        <sz val="10"/>
        <rFont val="Arial"/>
        <family val="2"/>
      </rPr>
      <t>[15]</t>
    </r>
  </si>
  <si>
    <t>NARANJO: NO SE OBTIENE DE RCV</t>
  </si>
  <si>
    <r>
      <rPr>
        <sz val="6"/>
        <color rgb="FF1F2289"/>
        <rFont val="Arial MT"/>
        <family val="2"/>
      </rPr>
      <t>Código</t>
    </r>
  </si>
  <si>
    <r>
      <rPr>
        <sz val="6"/>
        <color rgb="FF1F2289"/>
        <rFont val="Arial MT"/>
        <family val="2"/>
      </rPr>
      <t>Glosa</t>
    </r>
  </si>
  <si>
    <r>
      <rPr>
        <sz val="6"/>
        <color rgb="FF1F2289"/>
        <rFont val="Arial MT"/>
        <family val="2"/>
      </rPr>
      <t>Valor</t>
    </r>
  </si>
  <si>
    <r>
      <rPr>
        <sz val="6"/>
        <rFont val="Arial MT"/>
        <family val="2"/>
      </rPr>
      <t>CANT. DE DCTOS. EXPORTACIONES</t>
    </r>
  </si>
  <si>
    <r>
      <rPr>
        <sz val="6"/>
        <rFont val="Arial MT"/>
        <family val="2"/>
      </rPr>
      <t>EXPORTACIONES DEL MES</t>
    </r>
  </si>
  <si>
    <r>
      <rPr>
        <sz val="6"/>
        <rFont val="Arial MT"/>
        <family val="2"/>
      </rPr>
      <t>CANTIDAD FACTURAS EMITIDAS</t>
    </r>
  </si>
  <si>
    <r>
      <rPr>
        <sz val="6"/>
        <rFont val="Arial MT"/>
        <family val="2"/>
      </rPr>
      <t>DÉBITOS FACTURAS EMITIDAS</t>
    </r>
  </si>
  <si>
    <r>
      <rPr>
        <sz val="6"/>
        <rFont val="Arial MT"/>
        <family val="2"/>
      </rPr>
      <t>CANT. VTAS. Y/O SERV. PREST. INT. EXENT.</t>
    </r>
  </si>
  <si>
    <r>
      <rPr>
        <sz val="6"/>
        <rFont val="Arial MT"/>
        <family val="2"/>
      </rPr>
      <t>VENTAS Y/O SERV. EXENTOS O NO GRAVADOS</t>
    </r>
  </si>
  <si>
    <r>
      <rPr>
        <sz val="6"/>
        <rFont val="Arial MT"/>
        <family val="2"/>
      </rPr>
      <t>CANT. DE DCTOS. BOLETAS</t>
    </r>
  </si>
  <si>
    <r>
      <rPr>
        <sz val="6"/>
        <rFont val="Arial MT"/>
        <family val="2"/>
      </rPr>
      <t>DÉBITOS / BOLETAS</t>
    </r>
  </si>
  <si>
    <r>
      <rPr>
        <sz val="6"/>
        <rFont val="Arial MT"/>
        <family val="2"/>
      </rPr>
      <t>CANT. DCTOS. NOTAS DE CRÉDITOS EMITIDAS</t>
    </r>
  </si>
  <si>
    <r>
      <rPr>
        <sz val="6"/>
        <rFont val="Arial MT"/>
        <family val="2"/>
      </rPr>
      <t>DÉBITOS NOTAS DE CRÉDITOS EMITIDAS</t>
    </r>
  </si>
  <si>
    <r>
      <rPr>
        <sz val="6"/>
        <rFont val="Arial MT"/>
        <family val="2"/>
      </rPr>
      <t>CANT. NOTAS CRED. EMIT. VALES MAQ. IVA</t>
    </r>
  </si>
  <si>
    <r>
      <rPr>
        <sz val="6"/>
        <rFont val="Arial MT"/>
        <family val="2"/>
      </rPr>
      <t>MONTO NOTAS CRED. EMIT. VALES MAQ. IVA.</t>
    </r>
  </si>
  <si>
    <r>
      <rPr>
        <sz val="6"/>
        <rFont val="Arial MT"/>
        <family val="2"/>
      </rPr>
      <t>CRÉD. IVA POR DCTOS. ELECTRÓNICOS</t>
    </r>
  </si>
  <si>
    <r>
      <rPr>
        <sz val="6"/>
        <rFont val="Arial MT"/>
        <family val="2"/>
      </rPr>
      <t>TOTAL DÉBITOS</t>
    </r>
  </si>
  <si>
    <r>
      <rPr>
        <sz val="6"/>
        <rFont val="Arial MT"/>
        <family val="2"/>
      </rPr>
      <t>CANT. DOC. SIN DER. A CRED. FISCAL</t>
    </r>
  </si>
  <si>
    <r>
      <rPr>
        <sz val="6"/>
        <rFont val="Arial MT"/>
        <family val="2"/>
      </rPr>
      <t>SIN DERECHO CRÉD. POR DCTOS. ELECTRON.</t>
    </r>
  </si>
  <si>
    <r>
      <rPr>
        <sz val="6"/>
        <rFont val="Arial MT"/>
        <family val="2"/>
      </rPr>
      <t>CANT.INT.EX.NO GRAV.SIN DER. CRED.FISCAL</t>
    </r>
  </si>
  <si>
    <r>
      <rPr>
        <sz val="6"/>
        <rFont val="Arial MT"/>
        <family val="2"/>
      </rPr>
      <t>MONTO SIN DER. A CRED. FISCAL</t>
    </r>
  </si>
  <si>
    <r>
      <rPr>
        <sz val="6"/>
        <rFont val="Arial MT"/>
        <family val="2"/>
      </rPr>
      <t>MONTO NETO / INTERNAS AFECTAS</t>
    </r>
  </si>
  <si>
    <r>
      <rPr>
        <sz val="6"/>
        <rFont val="Arial MT"/>
        <family val="2"/>
      </rPr>
      <t>CANT. DE DCTOS. FACT. RECIB. DEL GIRO</t>
    </r>
  </si>
  <si>
    <r>
      <rPr>
        <sz val="6"/>
        <rFont val="Arial MT"/>
        <family val="2"/>
      </rPr>
      <t>CRÉDITO REC. Y REINT./FACT. DEL GIRO</t>
    </r>
  </si>
  <si>
    <r>
      <rPr>
        <sz val="6"/>
        <rFont val="Arial MT"/>
        <family val="2"/>
      </rPr>
      <t>CANT. NOTAS DE CRÉDITO RECIBIDAS</t>
    </r>
  </si>
  <si>
    <r>
      <rPr>
        <sz val="6"/>
        <rFont val="Arial MT"/>
        <family val="2"/>
      </rPr>
      <t>CRÉDITO RECUP. Y REINT NOTAS DE CRÉD</t>
    </r>
  </si>
  <si>
    <r>
      <rPr>
        <sz val="6"/>
        <rFont val="Arial MT"/>
        <family val="2"/>
      </rPr>
      <t>CANT. FORM. PAGO IMP. DEL GIRO</t>
    </r>
  </si>
  <si>
    <r>
      <rPr>
        <sz val="6"/>
        <rFont val="Arial MT"/>
        <family val="2"/>
      </rPr>
      <t>CRÉD, RECUP. Y REINT. PAGO IMP. DEL GIRO</t>
    </r>
  </si>
  <si>
    <r>
      <rPr>
        <sz val="6"/>
        <rFont val="Arial MT"/>
        <family val="2"/>
      </rPr>
      <t>RET. IMP. ÚNICO TRAB. ART. 74 N 1 LIR</t>
    </r>
  </si>
  <si>
    <r>
      <rPr>
        <sz val="6"/>
        <rFont val="Arial MT"/>
        <family val="2"/>
      </rPr>
      <t>REMANENTE DE CRÉDITO FISC.</t>
    </r>
  </si>
  <si>
    <r>
      <rPr>
        <sz val="6"/>
        <rFont val="Arial MT"/>
        <family val="2"/>
      </rPr>
      <t>REMANENTE CRÉDITO MES ANTERIOR</t>
    </r>
  </si>
  <si>
    <r>
      <rPr>
        <sz val="6"/>
        <rFont val="Arial MT"/>
        <family val="2"/>
      </rPr>
      <t>Ret. 3% Rta 42 N°1 reint. prest. Tasa 0%</t>
    </r>
  </si>
  <si>
    <r>
      <rPr>
        <sz val="6"/>
        <rFont val="Arial MT"/>
        <family val="2"/>
      </rPr>
      <t>RECUP. IMP. ESP. DIESEL (Art. 2)</t>
    </r>
  </si>
  <si>
    <r>
      <rPr>
        <sz val="6"/>
        <rFont val="Arial MT"/>
        <family val="2"/>
      </rPr>
      <t>RETENCION TASA LEY 21.133 SOBRE RENTAS</t>
    </r>
  </si>
  <si>
    <r>
      <rPr>
        <sz val="6"/>
        <rFont val="Arial MT"/>
        <family val="2"/>
      </rPr>
      <t>Monto de IVA postergado 6 o 12 cuotas</t>
    </r>
  </si>
  <si>
    <r>
      <rPr>
        <sz val="6"/>
        <rFont val="Arial MT"/>
        <family val="2"/>
      </rPr>
      <t>Ret. 3% Rta 42 N°2 reint. prest. Tasa 0%</t>
    </r>
  </si>
  <si>
    <r>
      <rPr>
        <sz val="6"/>
        <rFont val="Arial MT"/>
        <family val="2"/>
      </rPr>
      <t>PPM ART. 84, A) PÉRD. ART. 90</t>
    </r>
  </si>
  <si>
    <r>
      <rPr>
        <sz val="6"/>
        <rFont val="Arial MT"/>
        <family val="2"/>
      </rPr>
      <t>TOTAL CRÉDITOS</t>
    </r>
  </si>
  <si>
    <r>
      <rPr>
        <sz val="6"/>
        <rFont val="Arial MT"/>
        <family val="2"/>
      </rPr>
      <t>IMP. DETERM. IVA</t>
    </r>
  </si>
  <si>
    <r>
      <rPr>
        <sz val="6"/>
        <rFont val="Arial MT"/>
        <family val="2"/>
      </rPr>
      <t>SUB TOTAL IMP. DETERMINADO ANVERSO</t>
    </r>
  </si>
  <si>
    <r>
      <rPr>
        <sz val="6"/>
        <rFont val="Arial MT"/>
        <family val="2"/>
      </rPr>
      <t>BASE IMPONIBLE</t>
    </r>
  </si>
  <si>
    <r>
      <rPr>
        <sz val="6"/>
        <rFont val="Arial MT"/>
        <family val="2"/>
      </rPr>
      <t>PPM NETO DETERMINADO</t>
    </r>
  </si>
  <si>
    <r>
      <rPr>
        <sz val="6"/>
        <rFont val="Arial MT"/>
        <family val="2"/>
      </rPr>
      <t>TOTAL DETERMINADO</t>
    </r>
  </si>
  <si>
    <r>
      <rPr>
        <sz val="6"/>
        <rFont val="Arial MT"/>
        <family val="2"/>
      </rPr>
      <t>TASA PPM 1ra. CATEGORÍA</t>
    </r>
  </si>
  <si>
    <r>
      <rPr>
        <sz val="8"/>
        <color rgb="FF1F2289"/>
        <rFont val="Arial MT"/>
        <family val="2"/>
      </rPr>
      <t>TOTAL A PAGAR DENTRO DEL PLAZO LEGAL</t>
    </r>
  </si>
  <si>
    <r>
      <rPr>
        <sz val="8"/>
        <color rgb="FF1F2289"/>
        <rFont val="Arial MT"/>
        <family val="2"/>
      </rPr>
      <t>+</t>
    </r>
  </si>
  <si>
    <r>
      <rPr>
        <sz val="8"/>
        <color rgb="FF1F2289"/>
        <rFont val="Arial MT"/>
        <family val="2"/>
      </rPr>
      <t>Más IPC</t>
    </r>
  </si>
  <si>
    <r>
      <rPr>
        <sz val="8"/>
        <color rgb="FF1F2289"/>
        <rFont val="Arial MT"/>
        <family val="2"/>
      </rPr>
      <t>Más Interes y Multas</t>
    </r>
  </si>
  <si>
    <r>
      <rPr>
        <sz val="8"/>
        <color rgb="FF1F2289"/>
        <rFont val="Arial MT"/>
        <family val="2"/>
      </rPr>
      <t>CONDONACIÓN</t>
    </r>
  </si>
  <si>
    <r>
      <rPr>
        <sz val="8"/>
        <color rgb="FF1F2289"/>
        <rFont val="Arial MT"/>
        <family val="2"/>
      </rPr>
      <t>-</t>
    </r>
  </si>
  <si>
    <r>
      <rPr>
        <sz val="8"/>
        <color rgb="FF1F2289"/>
        <rFont val="Arial MT"/>
        <family val="2"/>
      </rPr>
      <t>TOTAL A PAGAR CON RECARGO</t>
    </r>
  </si>
  <si>
    <r>
      <rPr>
        <sz val="8"/>
        <color rgb="FF1F2289"/>
        <rFont val="Arial MT"/>
        <family val="2"/>
      </rPr>
      <t>=</t>
    </r>
  </si>
  <si>
    <r>
      <rPr>
        <sz val="8"/>
        <color rgb="FF1F2289"/>
        <rFont val="Arial MT"/>
        <family val="2"/>
      </rPr>
      <t>60               % Condonación              922                Número de la Resolución                915      Fecha de la Condonación</t>
    </r>
  </si>
  <si>
    <t>C:\Papel Base IVA\Compras PANSTAR</t>
  </si>
  <si>
    <t>77070447-2</t>
  </si>
  <si>
    <t>ECIJA OTERO SPA</t>
  </si>
  <si>
    <t>28/06/2024 13:26:12</t>
  </si>
  <si>
    <t>79588870-5</t>
  </si>
  <si>
    <t>ESMAX DISTRIBUCION SPA</t>
  </si>
  <si>
    <t>28/06/2024 23:09:17</t>
  </si>
  <si>
    <t>96707720-8</t>
  </si>
  <si>
    <t>MEDITERRANEAN SHIPPING COMPANY CHILE S.A.</t>
  </si>
  <si>
    <t>76733620-9</t>
  </si>
  <si>
    <t>RANDSTAD EMPRESA DE SERVICIOS TRANSITORIOS LIMITADA</t>
  </si>
  <si>
    <t>76158513-4</t>
  </si>
  <si>
    <t>DP WORLD SAN ANTONIO S.A.</t>
  </si>
  <si>
    <t>REGUS MANAGEMENT DE CHILE LIMITADA</t>
  </si>
  <si>
    <t>96930440-6</t>
  </si>
  <si>
    <t>KEYLOGISTICS CHILE S.A.</t>
  </si>
  <si>
    <t>77119000-6</t>
  </si>
  <si>
    <t>CORASA LIMITADA</t>
  </si>
  <si>
    <t>19/07/2024 12:27:32</t>
  </si>
  <si>
    <t>76322813-4</t>
  </si>
  <si>
    <t>LOGISTICAS Y TRANSPORTES VALTO LIMITADA</t>
  </si>
  <si>
    <t>14/07/2024 12:24:30</t>
  </si>
  <si>
    <t>19/07/2024 12:26:43</t>
  </si>
  <si>
    <t>96631520-2</t>
  </si>
  <si>
    <t>FastAir Almacenes de Carga S.A.</t>
  </si>
  <si>
    <t>15/07/2024 10:20:13</t>
  </si>
  <si>
    <t>15/07/2024 16:20:07</t>
  </si>
  <si>
    <t>19/07/2024 12:24:16</t>
  </si>
  <si>
    <t>77248210-8</t>
  </si>
  <si>
    <t>ESTACIONAMIENTO CENTRAL PARKING SYSTEM CHILE S.A.</t>
  </si>
  <si>
    <t>17/07/2024 17:33:45</t>
  </si>
  <si>
    <t>19/07/2024 12:22:21</t>
  </si>
  <si>
    <t>5391000-9</t>
  </si>
  <si>
    <t>MARINA PATRICIA MOYA VARAS</t>
  </si>
  <si>
    <t>17/07/2024 20:10:55</t>
  </si>
  <si>
    <t>26/07/2024 19:35:58</t>
  </si>
  <si>
    <t>26/07/2024 19:36:05</t>
  </si>
  <si>
    <t>26/07/2024 19:36:16</t>
  </si>
  <si>
    <t>6554967-0</t>
  </si>
  <si>
    <t>MARIO HUMBERTO ARANEDA MEZA</t>
  </si>
  <si>
    <t>27/07/2024 14:43:07</t>
  </si>
  <si>
    <t>29/07/2024 12:28:41</t>
  </si>
  <si>
    <t>30/07/2024 13:33:27</t>
  </si>
  <si>
    <t>30/07/2024 02:20:44</t>
  </si>
  <si>
    <t>31/07/2024 12:34:30</t>
  </si>
  <si>
    <t>DP World San Antonio S.A.</t>
  </si>
  <si>
    <t>RCV_COMPRA_REGISTRO_77104844-7_202407</t>
  </si>
  <si>
    <t>14-07-2024</t>
  </si>
  <si>
    <t>27-07-2024</t>
  </si>
  <si>
    <t>28-07-2024</t>
  </si>
  <si>
    <t>96525370-K</t>
  </si>
  <si>
    <t>MULTIFRIGO VALPARAISO SPA</t>
  </si>
  <si>
    <t>16/08/2024 15:31:45</t>
  </si>
  <si>
    <t>19/08/2024 13:58:27</t>
  </si>
  <si>
    <t>22/08/2024 10:12:25</t>
  </si>
  <si>
    <t>23/08/2024 15:26:32</t>
  </si>
  <si>
    <t>23/08/2024 15:27:01</t>
  </si>
  <si>
    <t>27/08/2024 18:00:55</t>
  </si>
  <si>
    <t>27/08/2024 18:00:56</t>
  </si>
  <si>
    <t>28/08/2024 17:10:45</t>
  </si>
  <si>
    <t>28/08/2024 17:10:48</t>
  </si>
  <si>
    <t>29/08/2024 02:08:41</t>
  </si>
  <si>
    <t>30/08/2024 08:55:12</t>
  </si>
  <si>
    <t>26/08/2024 21:03:14</t>
  </si>
  <si>
    <t>RCV_COMPRA_REGISTRO_77104844-7_202408</t>
  </si>
  <si>
    <t>29/08/2024 19:20:58</t>
  </si>
  <si>
    <t>30/08/2024 04:48:24</t>
  </si>
  <si>
    <t>79882360-4</t>
  </si>
  <si>
    <t>INGENIERIA INFORMATICA ASOCIADA LIMITADA</t>
  </si>
  <si>
    <t>16/09/2024 14:15:37</t>
  </si>
  <si>
    <t>17/09/2024 08:46:02</t>
  </si>
  <si>
    <t>96908870-3</t>
  </si>
  <si>
    <t>TERMINAL PACIFICO SUR VAP S A</t>
  </si>
  <si>
    <t>17/09/2024 16:22:25</t>
  </si>
  <si>
    <t>17/09/2024 16:26:35</t>
  </si>
  <si>
    <t>23/09/2024 11:16:56</t>
  </si>
  <si>
    <t>30/09/2024 10:59:01</t>
  </si>
  <si>
    <t>25/09/2024 15:10:05</t>
  </si>
  <si>
    <t>27/09/2024 01:27:52</t>
  </si>
  <si>
    <t>30/09/2024 20:21:10</t>
  </si>
  <si>
    <t>RCV_COMPRA_REGISTRO_77104844-7_202409</t>
  </si>
  <si>
    <t>30/09/2024 14:14:42</t>
  </si>
  <si>
    <t>14/10/2024 17:42:34</t>
  </si>
  <si>
    <t>15/10/2024 10:59:23</t>
  </si>
  <si>
    <t>22/10/2024 14:12:13</t>
  </si>
  <si>
    <t>17/10/2024 12:22:19</t>
  </si>
  <si>
    <t>29/10/2024 02:10:09</t>
  </si>
  <si>
    <t>30/10/2024 18:35:27</t>
  </si>
  <si>
    <t>30/10/2024 20:34:39</t>
  </si>
  <si>
    <t>31/10/2024 08:26:38</t>
  </si>
  <si>
    <t>31/10/2024 08:29:23</t>
  </si>
  <si>
    <t>31/10/2024 08:29:24</t>
  </si>
  <si>
    <t>22/10/2024 20:51:10</t>
  </si>
  <si>
    <t>22/10/2024 20:51:08</t>
  </si>
  <si>
    <t>24/10/2024 21:29:16</t>
  </si>
  <si>
    <t>24/10/2024 21:29:41</t>
  </si>
  <si>
    <t>RCV_COMPRA_REGISTRO_77104844-7_202410</t>
  </si>
  <si>
    <t>Randstad Empresa de Servicios Transitorios Ltda.</t>
  </si>
  <si>
    <t>96962900-3</t>
  </si>
  <si>
    <t>Randstad Chile S.A.</t>
  </si>
  <si>
    <t>14/11/2024 14:36:49</t>
  </si>
  <si>
    <t>15/11/2024 11:13:01</t>
  </si>
  <si>
    <t>15/11/2024 18:27:36</t>
  </si>
  <si>
    <t>18/11/2024 08:57:08</t>
  </si>
  <si>
    <t>21/11/2024 13:42:58</t>
  </si>
  <si>
    <t>23/11/2024 10:24:10</t>
  </si>
  <si>
    <t>27/11/2024 15:38:17</t>
  </si>
  <si>
    <t>27/11/2024 15:38:18</t>
  </si>
  <si>
    <t>27/11/2024 19:52:17</t>
  </si>
  <si>
    <t>27/11/2024 19:52:18</t>
  </si>
  <si>
    <t>28/11/2024 01:36:15</t>
  </si>
  <si>
    <t>29/11/2024 17:13:47</t>
  </si>
  <si>
    <t>29/11/2024 18:34:50</t>
  </si>
  <si>
    <t>25/11/2024 20:54:12</t>
  </si>
  <si>
    <t>27/11/2024 10:40:39</t>
  </si>
  <si>
    <t>27/11/2024 10:40:38</t>
  </si>
  <si>
    <t>27/11/2024 20:43:44</t>
  </si>
  <si>
    <t>27/11/2024 20:47:29</t>
  </si>
  <si>
    <t>28/11/2024 21:34:24</t>
  </si>
  <si>
    <t>28/11/2024 21:34:32</t>
  </si>
  <si>
    <t>Keylogistics Chile S.A.</t>
  </si>
  <si>
    <t>21/11/2024 12:10:40</t>
  </si>
  <si>
    <t>RCV_COMPRA_REGISTRO_77104844-7_202411</t>
  </si>
  <si>
    <t>23-11-2024</t>
  </si>
  <si>
    <t>13/12/2024 11:32:18</t>
  </si>
  <si>
    <t>76135018-8</t>
  </si>
  <si>
    <t>QLF LABS SPA</t>
  </si>
  <si>
    <t>13/12/2024 18:32:51</t>
  </si>
  <si>
    <t>16/12/2024 11:19:56</t>
  </si>
  <si>
    <t>16/12/2024 17:25:10</t>
  </si>
  <si>
    <t>16/12/2024 17:31:44</t>
  </si>
  <si>
    <t>16/12/2024 17:31:46</t>
  </si>
  <si>
    <t>18/12/2024 11:20:09</t>
  </si>
  <si>
    <t>18/12/2024 11:23:19</t>
  </si>
  <si>
    <t>26/12/2024 15:08:43</t>
  </si>
  <si>
    <t>26/12/2024 15:10:23</t>
  </si>
  <si>
    <t>27/12/2024 02:14:49</t>
  </si>
  <si>
    <t>27/12/2024 15:39:29</t>
  </si>
  <si>
    <t>27/12/2024 20:33:36</t>
  </si>
  <si>
    <t>30/12/2024 17:35:48</t>
  </si>
  <si>
    <t>16/12/2024 21:32:08</t>
  </si>
  <si>
    <t>16/12/2024 21:32:27</t>
  </si>
  <si>
    <t>26/12/2024 10:40:55</t>
  </si>
  <si>
    <t>RCV_COMPRA_REGISTRO_77104844-7_202412</t>
  </si>
  <si>
    <t>21-12-2024</t>
  </si>
  <si>
    <t>77410216-7</t>
  </si>
  <si>
    <t>MEYER FROZEN FOOD SPA</t>
  </si>
  <si>
    <t>14/01/2025 14:37:55</t>
  </si>
  <si>
    <t>14/01/2025 17:52:51</t>
  </si>
  <si>
    <t>16/01/2025 09:39:20</t>
  </si>
  <si>
    <t>16/01/2025 09:56:12</t>
  </si>
  <si>
    <t>16/01/2025 12:17:05</t>
  </si>
  <si>
    <t>16/01/2025 12:56:32</t>
  </si>
  <si>
    <t>20/01/2025 12:39:05</t>
  </si>
  <si>
    <t>20/01/2025 12:43:28</t>
  </si>
  <si>
    <t>20/01/2025 16:27:07</t>
  </si>
  <si>
    <t>20/01/2025 16:28:47</t>
  </si>
  <si>
    <t>22/01/2025 17:45:27</t>
  </si>
  <si>
    <t>22/01/2025 17:46:58</t>
  </si>
  <si>
    <t>27/01/2025 10:59:01</t>
  </si>
  <si>
    <t>30/01/2025 03:56:00</t>
  </si>
  <si>
    <t>RCV_COMPRA_REGISTRO_77104844-7_202501</t>
  </si>
  <si>
    <t>14-01-2025</t>
  </si>
  <si>
    <t>16-01-2025</t>
  </si>
  <si>
    <t>20-01-2025</t>
  </si>
  <si>
    <t>22-01-2025</t>
  </si>
  <si>
    <t>27-01-2025</t>
  </si>
  <si>
    <t>29-01-2025</t>
  </si>
  <si>
    <t>17-01-2025</t>
  </si>
  <si>
    <t>31/01/2025 13:49:46</t>
  </si>
  <si>
    <t>31/01/2025 13:56:33</t>
  </si>
  <si>
    <t>MAGNUS ERP SPA</t>
  </si>
  <si>
    <t>14/02/2025 18:05:21</t>
  </si>
  <si>
    <t>18/02/2025 12:04:53</t>
  </si>
  <si>
    <t>18/02/2025 21:28:20</t>
  </si>
  <si>
    <t>19/02/2025 18:06:27</t>
  </si>
  <si>
    <t>21/02/2025 12:02:47</t>
  </si>
  <si>
    <t>26/02/2025 15:43:35</t>
  </si>
  <si>
    <t>27/02/2025 02:06:09</t>
  </si>
  <si>
    <t>14/02/2025 12:14:51</t>
  </si>
  <si>
    <t>20/02/2025 20:52:43</t>
  </si>
  <si>
    <t>21/02/2025 21:32:45</t>
  </si>
  <si>
    <t>21/02/2025 21:33:07</t>
  </si>
  <si>
    <t>14/02/2025 12:13:16</t>
  </si>
  <si>
    <t>27/02/2025 16:13:56</t>
  </si>
  <si>
    <t>28/02/2025 16:52:28</t>
  </si>
  <si>
    <t>28/02/2025 16:53:00</t>
  </si>
  <si>
    <t>28/02/2025 16:53:44</t>
  </si>
  <si>
    <t>28/02/2025 16:56:39</t>
  </si>
  <si>
    <t>28/02/2025 17:06:19</t>
  </si>
  <si>
    <t>28/02/2025 17:06:40</t>
  </si>
  <si>
    <t>28/02/2025 17:06:51</t>
  </si>
  <si>
    <t>28/02/2025 17:07:03</t>
  </si>
  <si>
    <t>28/02/2025 17:07:19</t>
  </si>
  <si>
    <t>28/02/2025 17:08:07</t>
  </si>
  <si>
    <t>28/02/2025 17:08:35</t>
  </si>
  <si>
    <t>28/02/2025 17:09:03</t>
  </si>
  <si>
    <t>28/02/2025 17:09:37</t>
  </si>
  <si>
    <t>28/02/2025 17:10:34</t>
  </si>
  <si>
    <t>28/02/2025 17:11:06</t>
  </si>
  <si>
    <t>28/02/2025 17:12:54</t>
  </si>
  <si>
    <t>28/02/2025 17:13:13</t>
  </si>
  <si>
    <t>28/02/2025 17:13:52</t>
  </si>
  <si>
    <t>28/02/2025 17:14:15</t>
  </si>
  <si>
    <t>28/02/2025 17:14:41</t>
  </si>
  <si>
    <t>28/02/2025 17:15:13</t>
  </si>
  <si>
    <t>28/02/2025 17:15:46</t>
  </si>
  <si>
    <t>28/02/2025 17:16:26</t>
  </si>
  <si>
    <t>28/02/2025 17:17:13</t>
  </si>
  <si>
    <t>28/02/2025 17:17:47</t>
  </si>
  <si>
    <t>28/02/2025 17:18:15</t>
  </si>
  <si>
    <t>28/02/2025 17:19:00</t>
  </si>
  <si>
    <t>28/02/2025 17:19:28</t>
  </si>
  <si>
    <t>28/02/2025 17:19:57</t>
  </si>
  <si>
    <t>28/02/2025 17:20:30</t>
  </si>
  <si>
    <t>RCV_COMPRA_REGISTRO_77104844-7_202502</t>
  </si>
  <si>
    <t>31-01-2025</t>
  </si>
  <si>
    <t>14-02-2025</t>
  </si>
  <si>
    <t>18-02-2025</t>
  </si>
  <si>
    <t>19-02-2025</t>
  </si>
  <si>
    <t>21-02-2025</t>
  </si>
  <si>
    <t>26-02-2025</t>
  </si>
  <si>
    <t>20-02-2025</t>
  </si>
  <si>
    <t>27-02-2025</t>
  </si>
  <si>
    <t>28-02-2025</t>
  </si>
  <si>
    <t>13-02-2025</t>
  </si>
  <si>
    <t>25/02/2025 17:08:11</t>
  </si>
  <si>
    <t>17/03/2025 10:49:20</t>
  </si>
  <si>
    <t>18/03/2025 14:23:11</t>
  </si>
  <si>
    <t>18/03/2025 21:08:42</t>
  </si>
  <si>
    <t>24/03/2025 21:47:23</t>
  </si>
  <si>
    <t>26/03/2025 18:19:42</t>
  </si>
  <si>
    <t>26/03/2025 18:35:01</t>
  </si>
  <si>
    <t>27/03/2025 13:57:00</t>
  </si>
  <si>
    <t>27/03/2025 20:56:41</t>
  </si>
  <si>
    <t>28/03/2025 01:47:32</t>
  </si>
  <si>
    <t>31/03/2025 19:47:12</t>
  </si>
  <si>
    <t>28/03/2025 21:18:19</t>
  </si>
  <si>
    <t>28/03/2025 21:18:46</t>
  </si>
  <si>
    <t>31/03/2025 20:20:56</t>
  </si>
  <si>
    <t>31/03/2025 20:21:01</t>
  </si>
  <si>
    <t>31/03/2025 20:21:15</t>
  </si>
  <si>
    <t>31/03/2025 20:21:04</t>
  </si>
  <si>
    <t>21/03/2025 15:56:53</t>
  </si>
  <si>
    <t>TesorerÃ­a General de la Republica</t>
  </si>
  <si>
    <t>RCV_COMPRA_REGISTRO_77104844-7_202503</t>
  </si>
  <si>
    <t>25-02-2025</t>
  </si>
  <si>
    <t>17-03-2025</t>
  </si>
  <si>
    <t>18-03-2025</t>
  </si>
  <si>
    <t>24-03-2025</t>
  </si>
  <si>
    <t>26-03-2025</t>
  </si>
  <si>
    <t>27-03-2025</t>
  </si>
  <si>
    <t>31-03-2025</t>
  </si>
  <si>
    <t>28-03-2025</t>
  </si>
  <si>
    <t>21-03-2025</t>
  </si>
  <si>
    <t>14-03-2025</t>
  </si>
  <si>
    <t>22-03-2025</t>
  </si>
  <si>
    <t>24/03/2025 10:14:52</t>
  </si>
  <si>
    <t>26/03/2025 12:10:07</t>
  </si>
  <si>
    <t>Multifrigo Valparaiso</t>
  </si>
  <si>
    <t>76437740-0</t>
  </si>
  <si>
    <t>Randstad Servicios Ltda.</t>
  </si>
  <si>
    <t>15/04/2025 10:52:40</t>
  </si>
  <si>
    <t>15/04/2025 17:29:35</t>
  </si>
  <si>
    <t>17/04/2025 12:19:51</t>
  </si>
  <si>
    <t>96908970-K</t>
  </si>
  <si>
    <t>San Antonio Terminal Internacional S.A.</t>
  </si>
  <si>
    <t>21/04/2025 00:29:31</t>
  </si>
  <si>
    <t>21/04/2025 08:17:55</t>
  </si>
  <si>
    <t>21/04/2025 14:53:57</t>
  </si>
  <si>
    <t>22/04/2025 14:07:05</t>
  </si>
  <si>
    <t>29/04/2025 01:58:21</t>
  </si>
  <si>
    <t>30/04/2025 15:44:52</t>
  </si>
  <si>
    <t>30/04/2025 15:44:53</t>
  </si>
  <si>
    <t>27/03/2025 13:26:47</t>
  </si>
  <si>
    <t>26/03/2025 12:12:28</t>
  </si>
  <si>
    <t>RCV_COMPRA_REGISTRO_77104844-7_202504</t>
  </si>
  <si>
    <t>25-03-2025</t>
  </si>
  <si>
    <t>15-04-2025</t>
  </si>
  <si>
    <t>17-04-2025</t>
  </si>
  <si>
    <t>21-04-2025</t>
  </si>
  <si>
    <t>22-04-2025</t>
  </si>
  <si>
    <t>28-04-2025</t>
  </si>
  <si>
    <t>30-04-2025</t>
  </si>
  <si>
    <t>13/05/2025 13:58:19</t>
  </si>
  <si>
    <t>15/05/2025 16:39:13</t>
  </si>
  <si>
    <t>15/05/2025 16:50:34</t>
  </si>
  <si>
    <t>16/05/2025 12:55:47</t>
  </si>
  <si>
    <t>16/05/2025 15:50:21</t>
  </si>
  <si>
    <t>16/05/2025 15:51:11</t>
  </si>
  <si>
    <t>19/05/2025 10:39:01</t>
  </si>
  <si>
    <t>22/05/2025 17:09:27</t>
  </si>
  <si>
    <t>26/05/2025 13:43:30</t>
  </si>
  <si>
    <t>26/05/2025 16:17:15</t>
  </si>
  <si>
    <t>26/05/2025 16:18:56</t>
  </si>
  <si>
    <t>29/05/2025 00:59:09</t>
  </si>
  <si>
    <t>30/05/2025 15:37:03</t>
  </si>
  <si>
    <t>30/05/2025 15:39:03</t>
  </si>
  <si>
    <t>30/05/2025 15:39:53</t>
  </si>
  <si>
    <t>28/04/2025 18:41:32</t>
  </si>
  <si>
    <t>RCV_COMPRA_REGISTRO_77104844-7_202505</t>
  </si>
  <si>
    <t>13-05-2025</t>
  </si>
  <si>
    <t>15-05-2025</t>
  </si>
  <si>
    <t>16-05-2025</t>
  </si>
  <si>
    <t>19-05-2025</t>
  </si>
  <si>
    <t>22-05-2025</t>
  </si>
  <si>
    <t>26-05-2025</t>
  </si>
  <si>
    <t>28-05-2025</t>
  </si>
  <si>
    <t>30-05-2025</t>
  </si>
  <si>
    <t>20-05-2025</t>
  </si>
  <si>
    <t>31/05/2025 23:57:48</t>
  </si>
  <si>
    <t>16/06/2025 13:29:09</t>
  </si>
  <si>
    <t>16/06/2025 17:38:59</t>
  </si>
  <si>
    <t>17/06/2025 13:02:56</t>
  </si>
  <si>
    <t>27/06/2025 01:45:42</t>
  </si>
  <si>
    <t>27/06/2025 21:19:25</t>
  </si>
  <si>
    <t>RCV_COMPRA_REGISTRO_77104844-7_202506</t>
  </si>
  <si>
    <t>31-05-2025</t>
  </si>
  <si>
    <t>16-06-2025</t>
  </si>
  <si>
    <t>17-06-2025</t>
  </si>
  <si>
    <t>26-06-2025</t>
  </si>
  <si>
    <t>27-06-2025</t>
  </si>
  <si>
    <t>14/07/2025 21:25:57</t>
  </si>
  <si>
    <t>15/07/2025 15:40:35</t>
  </si>
  <si>
    <t>15/07/2025 18:54:54</t>
  </si>
  <si>
    <t>18/07/2025 13:05:12</t>
  </si>
  <si>
    <t>22/07/2025 11:31:04</t>
  </si>
  <si>
    <t>25/07/2025 17:10:43</t>
  </si>
  <si>
    <t>27/07/2025 20:57:10</t>
  </si>
  <si>
    <t>29/07/2025 22:05:25</t>
  </si>
  <si>
    <t>30/07/2025 01:18:38</t>
  </si>
  <si>
    <t>76568040-9</t>
  </si>
  <si>
    <t>SERVICIOS ADMINISTRATIVOS ADACTIVA LTDA</t>
  </si>
  <si>
    <t>Tesoreria General de la Republica</t>
  </si>
  <si>
    <t>RCV_COMPRA_REGISTRO_77104844-7_202507</t>
  </si>
  <si>
    <t>30-06-2025</t>
  </si>
  <si>
    <t>14-07-2025</t>
  </si>
  <si>
    <t>15-07-2025</t>
  </si>
  <si>
    <t>18-07-2025</t>
  </si>
  <si>
    <t>22-07-2025</t>
  </si>
  <si>
    <t>25-07-2025</t>
  </si>
  <si>
    <t>27-07-2025</t>
  </si>
  <si>
    <t>29-07-2025</t>
  </si>
  <si>
    <t>C:\Papel Base IVA\Ventas PANSTAR</t>
  </si>
  <si>
    <t>28/06/2024 15:41:29</t>
  </si>
  <si>
    <t>28/06/2024 15:53:28</t>
  </si>
  <si>
    <t>28/06/2024 16:06:15</t>
  </si>
  <si>
    <t>76111152-3</t>
  </si>
  <si>
    <t>BIDFOOD CHILE S.A.</t>
  </si>
  <si>
    <t>28/06/2024 16:34:09</t>
  </si>
  <si>
    <t>77125674-0</t>
  </si>
  <si>
    <t>MARLEY COFFEE</t>
  </si>
  <si>
    <t>28/06/2024 16:43:20</t>
  </si>
  <si>
    <t>76000605-K</t>
  </si>
  <si>
    <t>ARCO ALIMENTOS LTDA.</t>
  </si>
  <si>
    <t>28/06/2024 17:01:09</t>
  </si>
  <si>
    <t>77613354-K</t>
  </si>
  <si>
    <t>NO BREAK SPA</t>
  </si>
  <si>
    <t>28/06/2024 17:21:24</t>
  </si>
  <si>
    <t>77190764-4</t>
  </si>
  <si>
    <t>COMERCIAL E INVERSIONES SAN DAMIANO SPA</t>
  </si>
  <si>
    <t>76234334-7</t>
  </si>
  <si>
    <t>SOCIEDAD MASAPAN LIMITADA</t>
  </si>
  <si>
    <t>78627210-6</t>
  </si>
  <si>
    <t>HIPERMERCADOS TOTTUS SA</t>
  </si>
  <si>
    <t>77020724-K</t>
  </si>
  <si>
    <t>CATERING Y EVENTOS CAROLINA ANDRE ALARCoN LaSERNA E.I.R.L</t>
  </si>
  <si>
    <t>77845674-5</t>
  </si>
  <si>
    <t>CASA MAGNOLIA SPA</t>
  </si>
  <si>
    <t>8777274-8</t>
  </si>
  <si>
    <t>LEONARDO JARA</t>
  </si>
  <si>
    <t>77312177-K</t>
  </si>
  <si>
    <t>MI DARK SPA</t>
  </si>
  <si>
    <t>96930090-7</t>
  </si>
  <si>
    <t>MBS ALIMENTOS LTDA.</t>
  </si>
  <si>
    <t>77161868-5</t>
  </si>
  <si>
    <t>COMERCIAL E INVERSIONES VESMA SPA</t>
  </si>
  <si>
    <t>15/07/2024 09:48:33</t>
  </si>
  <si>
    <t>88683100-5</t>
  </si>
  <si>
    <t>PASTELERiA EL PARRON S.A.</t>
  </si>
  <si>
    <t>76869898-8</t>
  </si>
  <si>
    <t>SOCOLL SPA</t>
  </si>
  <si>
    <t>76534207-4</t>
  </si>
  <si>
    <t>COMERCIAL SUECIA LIMITADA</t>
  </si>
  <si>
    <t>77540637-2</t>
  </si>
  <si>
    <t>GRUPO DONAS SPA</t>
  </si>
  <si>
    <t>13028073-0</t>
  </si>
  <si>
    <t>MARIELA ROJAS</t>
  </si>
  <si>
    <t>17/07/2024 14:55:00</t>
  </si>
  <si>
    <t>96952720-0</t>
  </si>
  <si>
    <t>HOTELERA ALCAZAR S.A.</t>
  </si>
  <si>
    <t>19/07/2024 14:14:32</t>
  </si>
  <si>
    <t>15683969-8</t>
  </si>
  <si>
    <t>EXEQUIEL MORALES</t>
  </si>
  <si>
    <t>17/07/2024 10:34:24</t>
  </si>
  <si>
    <t>19/07/2024 15:02:12</t>
  </si>
  <si>
    <t>15/07/2024 10:43:15</t>
  </si>
  <si>
    <t>15/07/2024 20:42:58</t>
  </si>
  <si>
    <t>15/07/2024 13:13:08</t>
  </si>
  <si>
    <t>22/07/2024 17:43:46</t>
  </si>
  <si>
    <t>15/07/2024 15:28:27</t>
  </si>
  <si>
    <t>22/07/2024 17:43:47</t>
  </si>
  <si>
    <t>15/07/2024 16:05:49</t>
  </si>
  <si>
    <t>22/07/2024 17:44:08</t>
  </si>
  <si>
    <t>10224488-5</t>
  </si>
  <si>
    <t>GABRIEL ANTONIO CORREA NAVARRO</t>
  </si>
  <si>
    <t>17/07/2024 09:20:13</t>
  </si>
  <si>
    <t>17/07/2024 10:20:35</t>
  </si>
  <si>
    <t>24/07/2024 12:27:29</t>
  </si>
  <si>
    <t>17/07/2024 11:01:18</t>
  </si>
  <si>
    <t>17/07/2024 11:12:17</t>
  </si>
  <si>
    <t>24/07/2024 10:39:57</t>
  </si>
  <si>
    <t>17/07/2024 12:10:55</t>
  </si>
  <si>
    <t>18/07/2024 12:00:16</t>
  </si>
  <si>
    <t>19/07/2024 12:24:20</t>
  </si>
  <si>
    <t>18/07/2024 12:11:37</t>
  </si>
  <si>
    <t>18/07/2024 17:15:31</t>
  </si>
  <si>
    <t>23/07/2024 09:33:27</t>
  </si>
  <si>
    <t>22/07/2024 09:52:12</t>
  </si>
  <si>
    <t>22/07/2024 10:30:24</t>
  </si>
  <si>
    <t>22/07/2024 11:41:40</t>
  </si>
  <si>
    <t>23/07/2024 21:48:12</t>
  </si>
  <si>
    <t>22/07/2024 11:48:09</t>
  </si>
  <si>
    <t>76995045-1</t>
  </si>
  <si>
    <t>THELIVERY</t>
  </si>
  <si>
    <t>22/07/2024 12:04:38</t>
  </si>
  <si>
    <t>22/07/2024 12:11:31</t>
  </si>
  <si>
    <t>22/07/2024 13:33:56</t>
  </si>
  <si>
    <t>22/07/2024 15:20:01</t>
  </si>
  <si>
    <t>23/07/2024 10:39:30</t>
  </si>
  <si>
    <t>30/07/2024 08:21:25</t>
  </si>
  <si>
    <t>23/07/2024 11:02:19</t>
  </si>
  <si>
    <t>30/07/2024 08:40:37</t>
  </si>
  <si>
    <t>23/07/2024 11:05:34</t>
  </si>
  <si>
    <t>26/07/2024 11:26:45</t>
  </si>
  <si>
    <t>24/07/2024 10:43:56</t>
  </si>
  <si>
    <t>24/07/2024 16:59:56</t>
  </si>
  <si>
    <t>25/07/2024 09:57:24</t>
  </si>
  <si>
    <t>25/07/2024 10:40:05</t>
  </si>
  <si>
    <t>25/07/2024 10:08:42</t>
  </si>
  <si>
    <t>25/07/2024 10:47:34</t>
  </si>
  <si>
    <t>31/07/2024 16:25:10</t>
  </si>
  <si>
    <t>25/07/2024 11:46:02</t>
  </si>
  <si>
    <t>25/07/2024 17:43:26</t>
  </si>
  <si>
    <t>29/07/2024 10:52:18</t>
  </si>
  <si>
    <t>77870191-K</t>
  </si>
  <si>
    <t>PANADERIA Y PASTELERIA SPA</t>
  </si>
  <si>
    <t>26/07/2024 10:18:50</t>
  </si>
  <si>
    <t>31/07/2024 12:43:44</t>
  </si>
  <si>
    <t>26/07/2024 14:47:36</t>
  </si>
  <si>
    <t>30/07/2024 17:26:02</t>
  </si>
  <si>
    <t>26/07/2024 15:01:14</t>
  </si>
  <si>
    <t>31/07/2024 14:15:42</t>
  </si>
  <si>
    <t>26/07/2024 16:53:38</t>
  </si>
  <si>
    <t>29/07/2024 16:52:48</t>
  </si>
  <si>
    <t>30/07/2024 11:55:52</t>
  </si>
  <si>
    <t>30/07/2024 14:25:08</t>
  </si>
  <si>
    <t>31/07/2024 12:37:41</t>
  </si>
  <si>
    <t>15/07/2024 10:32:27</t>
  </si>
  <si>
    <t>15/07/2024 11:02:09</t>
  </si>
  <si>
    <t>15/07/2024 15:05:25</t>
  </si>
  <si>
    <t>15/07/2024 15:11:52</t>
  </si>
  <si>
    <t>15/07/2024 15:55:04</t>
  </si>
  <si>
    <t>23/07/2024 10:50:59</t>
  </si>
  <si>
    <t>23/07/2024 10:52:05</t>
  </si>
  <si>
    <t>25/07/2024 11:26:03</t>
  </si>
  <si>
    <t>25/07/2024 12:04:55</t>
  </si>
  <si>
    <t>25/07/2024 12:15:41</t>
  </si>
  <si>
    <t>29/07/2024 17:08:12</t>
  </si>
  <si>
    <t>29/07/2024 17:36:56</t>
  </si>
  <si>
    <t>31/07/2024 12:27:36</t>
  </si>
  <si>
    <t>RCV_VENTA_77104844-7_202407</t>
  </si>
  <si>
    <t>77104844-7</t>
  </si>
  <si>
    <t>96930440-6_3105</t>
  </si>
  <si>
    <t>96930440-6_3106</t>
  </si>
  <si>
    <t>96930440-6_3107</t>
  </si>
  <si>
    <t>76111152-3_3108</t>
  </si>
  <si>
    <t>77125674-0_3109</t>
  </si>
  <si>
    <t>76000605-K_3110</t>
  </si>
  <si>
    <t>77613354-K_3111</t>
  </si>
  <si>
    <t>77190764-4_3112</t>
  </si>
  <si>
    <t>96930440-6_3113</t>
  </si>
  <si>
    <t>96930440-6_3114</t>
  </si>
  <si>
    <t>76234334-7_3115</t>
  </si>
  <si>
    <t>78627210-6_3116</t>
  </si>
  <si>
    <t>77410216-7_3117</t>
  </si>
  <si>
    <t>77125674-0_3118</t>
  </si>
  <si>
    <t>77125674-0_3119</t>
  </si>
  <si>
    <t>76000605-K_3120</t>
  </si>
  <si>
    <t>77190764-4_3121</t>
  </si>
  <si>
    <t>77020724-K_3122</t>
  </si>
  <si>
    <t>77845674-5_3123</t>
  </si>
  <si>
    <t>77125674-0_3124</t>
  </si>
  <si>
    <t>8777274-8_3125</t>
  </si>
  <si>
    <t>77410216-7_3126</t>
  </si>
  <si>
    <t>77312177-K_3127</t>
  </si>
  <si>
    <t>96930440-6_3128</t>
  </si>
  <si>
    <t>96930440-6_3129</t>
  </si>
  <si>
    <t>96930090-7_3130</t>
  </si>
  <si>
    <t>96930440-6_3131</t>
  </si>
  <si>
    <t>77161868-5_3132</t>
  </si>
  <si>
    <t>76000605-K_3133</t>
  </si>
  <si>
    <t>77125674-0_3134</t>
  </si>
  <si>
    <t>88683100-5_3135</t>
  </si>
  <si>
    <t>76869898-8_3136</t>
  </si>
  <si>
    <t>76111152-3_3137</t>
  </si>
  <si>
    <t>77125674-0_3138</t>
  </si>
  <si>
    <t>77125674-0_3139</t>
  </si>
  <si>
    <t>77125674-0_3140</t>
  </si>
  <si>
    <t>77410216-7_3141</t>
  </si>
  <si>
    <t>76534207-4_3142</t>
  </si>
  <si>
    <t>77540637-2_3143</t>
  </si>
  <si>
    <t>13028073-0_3144</t>
  </si>
  <si>
    <t>96930440-6_3145</t>
  </si>
  <si>
    <t>96952720-0_3146</t>
  </si>
  <si>
    <t>77020724-K_3147</t>
  </si>
  <si>
    <t>96930090-7_3148</t>
  </si>
  <si>
    <t>15683969-8_3149</t>
  </si>
  <si>
    <t>77410216-7_3150</t>
  </si>
  <si>
    <t>96930440-6_3151</t>
  </si>
  <si>
    <t>78627210-6_3152</t>
  </si>
  <si>
    <t>96930440-6_3153</t>
  </si>
  <si>
    <t>96930440-6_3154</t>
  </si>
  <si>
    <t>96930440-6_3155</t>
  </si>
  <si>
    <t>10224488-5_3156</t>
  </si>
  <si>
    <t>96930440-6_3157</t>
  </si>
  <si>
    <t>76000605-K_3158</t>
  </si>
  <si>
    <t>77125674-0_3159</t>
  </si>
  <si>
    <t>76534207-4_3160</t>
  </si>
  <si>
    <t>77410216-7_3161</t>
  </si>
  <si>
    <t>77161868-5_3162</t>
  </si>
  <si>
    <t>76111152-3_3163</t>
  </si>
  <si>
    <t>96930440-6_3164</t>
  </si>
  <si>
    <t>96930440-6_3165</t>
  </si>
  <si>
    <t>78627210-6_3166</t>
  </si>
  <si>
    <t>78627210-6_3167</t>
  </si>
  <si>
    <t>76995045-1_3168</t>
  </si>
  <si>
    <t>77020724-K_3169</t>
  </si>
  <si>
    <t>77190764-4_3170</t>
  </si>
  <si>
    <t>96930090-7_3171</t>
  </si>
  <si>
    <t>78627210-6_3172</t>
  </si>
  <si>
    <t>78627210-6_3173</t>
  </si>
  <si>
    <t>96930090-7_3174</t>
  </si>
  <si>
    <t>15683969-8_3175</t>
  </si>
  <si>
    <t>77410216-7_3176</t>
  </si>
  <si>
    <t>77161868-5_3177</t>
  </si>
  <si>
    <t>76000605-K_3178</t>
  </si>
  <si>
    <t>15683969-8_3179</t>
  </si>
  <si>
    <t>77312177-K_3180</t>
  </si>
  <si>
    <t>77870191-K_3181</t>
  </si>
  <si>
    <t>76111152-3_3182</t>
  </si>
  <si>
    <t>77410216-7_3183</t>
  </si>
  <si>
    <t>96930440-6_3184</t>
  </si>
  <si>
    <t>77312177-K_3185</t>
  </si>
  <si>
    <t>96930440-6_3186</t>
  </si>
  <si>
    <t>78627210-6_3191</t>
  </si>
  <si>
    <t>96930440-6_680</t>
  </si>
  <si>
    <t>96930440-6_681</t>
  </si>
  <si>
    <t>78627210-6_682</t>
  </si>
  <si>
    <t>78627210-6_683</t>
  </si>
  <si>
    <t>77410216-7_684</t>
  </si>
  <si>
    <t>77125674-0_685</t>
  </si>
  <si>
    <t>77125674-0_686</t>
  </si>
  <si>
    <t>77410216-7_687</t>
  </si>
  <si>
    <t>78627210-6_688</t>
  </si>
  <si>
    <t>96930440-6_689</t>
  </si>
  <si>
    <t>96930440-6_690</t>
  </si>
  <si>
    <t>96930440-6_691</t>
  </si>
  <si>
    <t>96930440-6_692</t>
  </si>
  <si>
    <t>78627210-6_693</t>
  </si>
  <si>
    <t>78627210-6_694</t>
  </si>
  <si>
    <t>15683969-8_695</t>
  </si>
  <si>
    <t>76869898-8_696</t>
  </si>
  <si>
    <t>76869898-8_697</t>
  </si>
  <si>
    <t>77312177-K_698</t>
  </si>
  <si>
    <t>78627210-6_699</t>
  </si>
  <si>
    <t>78627210-6_700</t>
  </si>
  <si>
    <t>77834033-K</t>
  </si>
  <si>
    <t>ALIMENTOS Y PROCESAMIENTOS AMA SPA</t>
  </si>
  <si>
    <t>30/07/2024 17:32:51</t>
  </si>
  <si>
    <t>76016721-5</t>
  </si>
  <si>
    <t>DIAZ Y NAVARRO LTDA</t>
  </si>
  <si>
    <t>31/07/2024 11:04:22</t>
  </si>
  <si>
    <t>31/07/2024 12:07:13</t>
  </si>
  <si>
    <t>31/07/2024 12:13:45</t>
  </si>
  <si>
    <t>31/07/2024 14:41:44</t>
  </si>
  <si>
    <t>31/07/2024 16:35:11</t>
  </si>
  <si>
    <t>77883218-6</t>
  </si>
  <si>
    <t>COM. DE ALIMENTOS BEBIDA TABACO MARILYN LTDA.</t>
  </si>
  <si>
    <t>16/08/2024 11:19:03</t>
  </si>
  <si>
    <t>16/08/2024 10:39:27</t>
  </si>
  <si>
    <t>16/08/2024 10:44:33</t>
  </si>
  <si>
    <t>19/08/2024 12:51:57</t>
  </si>
  <si>
    <t>13/08/2024 16:59:03</t>
  </si>
  <si>
    <t>19/08/2024 12:29:43</t>
  </si>
  <si>
    <t>13/08/2024 17:36:36</t>
  </si>
  <si>
    <t>13/08/2024 18:00:38</t>
  </si>
  <si>
    <t>14/08/2024 09:57:26</t>
  </si>
  <si>
    <t>14/08/2024 11:04:14</t>
  </si>
  <si>
    <t>14/08/2024 11:40:15</t>
  </si>
  <si>
    <t>14/08/2024 12:00:52</t>
  </si>
  <si>
    <t>17/08/2024 20:14:13</t>
  </si>
  <si>
    <t>16/08/2024 17:51:13</t>
  </si>
  <si>
    <t>23/08/2024 11:28:19</t>
  </si>
  <si>
    <t>19/08/2024 13:37:27</t>
  </si>
  <si>
    <t>20/08/2024 12:56:37</t>
  </si>
  <si>
    <t>19/08/2024 13:45:25</t>
  </si>
  <si>
    <t>19/08/2024 13:52:39</t>
  </si>
  <si>
    <t>19/08/2024 13:58:36</t>
  </si>
  <si>
    <t>19/08/2024 16:17:52</t>
  </si>
  <si>
    <t>20/08/2024 17:35:50</t>
  </si>
  <si>
    <t>21/08/2024 09:55:09</t>
  </si>
  <si>
    <t>21/08/2024 10:23:35</t>
  </si>
  <si>
    <t>21/08/2024 10:36:15</t>
  </si>
  <si>
    <t>21/08/2024 11:11:35</t>
  </si>
  <si>
    <t>21/08/2024 11:25:16</t>
  </si>
  <si>
    <t>21/08/2024 15:17:07</t>
  </si>
  <si>
    <t>21/08/2024 11:41:31</t>
  </si>
  <si>
    <t>28/08/2024 12:06:52</t>
  </si>
  <si>
    <t>21/08/2024 12:10:19</t>
  </si>
  <si>
    <t>21/08/2024 12:19:22</t>
  </si>
  <si>
    <t>21/08/2024 14:57:06</t>
  </si>
  <si>
    <t>22/08/2024 11:57:17</t>
  </si>
  <si>
    <t>22/08/2024 10:54:42</t>
  </si>
  <si>
    <t>28/08/2024 10:32:07</t>
  </si>
  <si>
    <t>22/08/2024 13:16:27</t>
  </si>
  <si>
    <t>27/08/2024 09:04:04</t>
  </si>
  <si>
    <t>22/08/2024 13:28:41</t>
  </si>
  <si>
    <t>23/08/2024 10:31:20</t>
  </si>
  <si>
    <t>23/08/2024 20:14:24</t>
  </si>
  <si>
    <t>23/08/2024 12:40:00</t>
  </si>
  <si>
    <t>27/08/2024 17:15:56</t>
  </si>
  <si>
    <t>23/08/2024 13:55:53</t>
  </si>
  <si>
    <t>26/08/2024 20:30:06</t>
  </si>
  <si>
    <t>23/08/2024 14:46:02</t>
  </si>
  <si>
    <t>31/08/2024 16:49:23</t>
  </si>
  <si>
    <t>23/08/2024 15:40:21</t>
  </si>
  <si>
    <t>23/08/2024 15:49:40</t>
  </si>
  <si>
    <t>26/08/2024 10:22:13</t>
  </si>
  <si>
    <t>26/08/2024 11:13:54</t>
  </si>
  <si>
    <t>28/08/2024 11:09:19</t>
  </si>
  <si>
    <t>26/08/2024 11:26:44</t>
  </si>
  <si>
    <t>28/08/2024 13:29:15</t>
  </si>
  <si>
    <t>26/08/2024 12:04:42</t>
  </si>
  <si>
    <t>30/08/2024 11:59:41</t>
  </si>
  <si>
    <t>26/08/2024 13:59:44</t>
  </si>
  <si>
    <t>31/08/2024 16:55:34</t>
  </si>
  <si>
    <t>26/08/2024 17:46:29</t>
  </si>
  <si>
    <t>31/08/2024 17:40:53</t>
  </si>
  <si>
    <t>27/08/2024 09:50:38</t>
  </si>
  <si>
    <t>31/08/2024 16:19:02</t>
  </si>
  <si>
    <t>27/08/2024 10:18:03</t>
  </si>
  <si>
    <t>27/08/2024 10:41:57</t>
  </si>
  <si>
    <t>28/08/2024 20:29:56</t>
  </si>
  <si>
    <t>27/08/2024 11:10:50</t>
  </si>
  <si>
    <t>27/08/2024 12:03:29</t>
  </si>
  <si>
    <t>28/08/2024 11:42:36</t>
  </si>
  <si>
    <t>30/08/2024 13:48:11</t>
  </si>
  <si>
    <t>28/08/2024 11:50:13</t>
  </si>
  <si>
    <t>30/08/2024 13:47:51</t>
  </si>
  <si>
    <t>28/08/2024 17:21:05</t>
  </si>
  <si>
    <t>31/08/2024 19:51:38</t>
  </si>
  <si>
    <t>29/08/2024 10:10:10</t>
  </si>
  <si>
    <t>29/08/2024 10:23:09</t>
  </si>
  <si>
    <t>29/08/2024 10:37:11</t>
  </si>
  <si>
    <t>29/08/2024 20:05:08</t>
  </si>
  <si>
    <t>29/08/2024 11:37:31</t>
  </si>
  <si>
    <t>30/08/2024 20:30:54</t>
  </si>
  <si>
    <t>14/08/2024 11:30:44</t>
  </si>
  <si>
    <t>14/08/2024 13:21:40</t>
  </si>
  <si>
    <t>21/08/2024 11:58:06</t>
  </si>
  <si>
    <t>21/08/2024 12:14:19</t>
  </si>
  <si>
    <t>23/08/2024 13:44:32</t>
  </si>
  <si>
    <t>26/08/2024 10:10:35</t>
  </si>
  <si>
    <t>26/08/2024 12:20:07</t>
  </si>
  <si>
    <t>26/08/2024 12:24:41</t>
  </si>
  <si>
    <t>27/08/2024 10:11:16</t>
  </si>
  <si>
    <t>29/08/2024 09:50:53</t>
  </si>
  <si>
    <t>29/08/2024 11:30:38</t>
  </si>
  <si>
    <t>RCV_VENTA_77104844-7_202408</t>
  </si>
  <si>
    <t>77834033-K_3187</t>
  </si>
  <si>
    <t>76016721-5_3188</t>
  </si>
  <si>
    <t>88683100-5_3189</t>
  </si>
  <si>
    <t>77020724-K_3190</t>
  </si>
  <si>
    <t>96930440-6_3192</t>
  </si>
  <si>
    <t>76000605-K_3193</t>
  </si>
  <si>
    <t>8777274-8_3194</t>
  </si>
  <si>
    <t>76111152-3_3195</t>
  </si>
  <si>
    <t>77613354-K_3196</t>
  </si>
  <si>
    <t>96930440-6_3197</t>
  </si>
  <si>
    <t>96930090-7_3198</t>
  </si>
  <si>
    <t>15683969-8_3199</t>
  </si>
  <si>
    <t>77410216-7_3200</t>
  </si>
  <si>
    <t>15683969-8_3201</t>
  </si>
  <si>
    <t>76534207-4_3202</t>
  </si>
  <si>
    <t>78627210-6_3203</t>
  </si>
  <si>
    <t>96930440-6_3204</t>
  </si>
  <si>
    <t>77125674-0_3205</t>
  </si>
  <si>
    <t>96952720-0_3206</t>
  </si>
  <si>
    <t>77020724-K_3207</t>
  </si>
  <si>
    <t>78627210-6_3208</t>
  </si>
  <si>
    <t>77410216-7_3209</t>
  </si>
  <si>
    <t>77883218-6_3210</t>
  </si>
  <si>
    <t>77613354-K_3211</t>
  </si>
  <si>
    <t>77540637-2_3212</t>
  </si>
  <si>
    <t>96930440-6_3213</t>
  </si>
  <si>
    <t>96930440-6_3214</t>
  </si>
  <si>
    <t>96930440-6_3215</t>
  </si>
  <si>
    <t>96930440-6_3216</t>
  </si>
  <si>
    <t>96930090-7_3217</t>
  </si>
  <si>
    <t>77020724-K_3218</t>
  </si>
  <si>
    <t>76534207-4_3219</t>
  </si>
  <si>
    <t>77845674-5_3220</t>
  </si>
  <si>
    <t>78627210-6_3221</t>
  </si>
  <si>
    <t>96930440-6_3222</t>
  </si>
  <si>
    <t>77161868-5_3223</t>
  </si>
  <si>
    <t>76000605-K_3224</t>
  </si>
  <si>
    <t>76869898-8_3225</t>
  </si>
  <si>
    <t>76234334-7_3226</t>
  </si>
  <si>
    <t>76869898-8_3227</t>
  </si>
  <si>
    <t>78627210-6_3228</t>
  </si>
  <si>
    <t>96930440-6_3229</t>
  </si>
  <si>
    <t>77410216-7_3230</t>
  </si>
  <si>
    <t>8777274-8_3231</t>
  </si>
  <si>
    <t>76995045-1_3232</t>
  </si>
  <si>
    <t>77190764-4_3233</t>
  </si>
  <si>
    <t>77834033-K_3234</t>
  </si>
  <si>
    <t>77613354-K_3235</t>
  </si>
  <si>
    <t>76000605-K_3236</t>
  </si>
  <si>
    <t>15683969-8_3237</t>
  </si>
  <si>
    <t>15683969-8_3238</t>
  </si>
  <si>
    <t>77020724-K_3239</t>
  </si>
  <si>
    <t>96930440-6_3240</t>
  </si>
  <si>
    <t>96930440-6_3241</t>
  </si>
  <si>
    <t>96930440-6_3242</t>
  </si>
  <si>
    <t>77410216-7_3243</t>
  </si>
  <si>
    <t>96930090-7_3244</t>
  </si>
  <si>
    <t>77312177-K_3245</t>
  </si>
  <si>
    <t>77312177-K_3246</t>
  </si>
  <si>
    <t>78627210-6_3247</t>
  </si>
  <si>
    <t>76111152-3_3248</t>
  </si>
  <si>
    <t>78627210-6_3249</t>
  </si>
  <si>
    <t>76000605-K_3250</t>
  </si>
  <si>
    <t>96930440-6_3251</t>
  </si>
  <si>
    <t>96930440-6_3252</t>
  </si>
  <si>
    <t>96930440-6_3253</t>
  </si>
  <si>
    <t>77125674-0_3254</t>
  </si>
  <si>
    <t>76234334-7_3255</t>
  </si>
  <si>
    <t>96930440-6_3256</t>
  </si>
  <si>
    <t>76000605-K_3257</t>
  </si>
  <si>
    <t>76534207-4_3258</t>
  </si>
  <si>
    <t>77540637-2_3259</t>
  </si>
  <si>
    <t>77540637-2_3260</t>
  </si>
  <si>
    <t>78627210-6_3261</t>
  </si>
  <si>
    <t>8777274-8_3262</t>
  </si>
  <si>
    <t>77161868-5_3263</t>
  </si>
  <si>
    <t>77410216-7_3264</t>
  </si>
  <si>
    <t>77410216-7_3265</t>
  </si>
  <si>
    <t>76869898-8_3266</t>
  </si>
  <si>
    <t>96930440-6_3267</t>
  </si>
  <si>
    <t>96930440-6_3268</t>
  </si>
  <si>
    <t>78627210-6_3269</t>
  </si>
  <si>
    <t>78627210-6_3270</t>
  </si>
  <si>
    <t>96930440-6_701</t>
  </si>
  <si>
    <t>96930440-6_702</t>
  </si>
  <si>
    <t>78627210-6_703</t>
  </si>
  <si>
    <t>76869898-8_704</t>
  </si>
  <si>
    <t>77020724-K_705</t>
  </si>
  <si>
    <t>96930440-6_706</t>
  </si>
  <si>
    <t>96930440-6_707</t>
  </si>
  <si>
    <t>78627210-6_708</t>
  </si>
  <si>
    <t>96930440-6_709</t>
  </si>
  <si>
    <t>76869898-8_710</t>
  </si>
  <si>
    <t>76869898-8_711</t>
  </si>
  <si>
    <t>77540637-2_712</t>
  </si>
  <si>
    <t>96930440-6_713</t>
  </si>
  <si>
    <t>78627210-6_714</t>
  </si>
  <si>
    <t>29/08/2024 16:22:09</t>
  </si>
  <si>
    <t>30/08/2024 13:21:34</t>
  </si>
  <si>
    <t>30/08/2024 13:32:56</t>
  </si>
  <si>
    <t>99592350-5</t>
  </si>
  <si>
    <t>KEYFOODS S.A.</t>
  </si>
  <si>
    <t>13/09/2024 09:29:30</t>
  </si>
  <si>
    <t>16/09/2024 15:13:12</t>
  </si>
  <si>
    <t>16/09/2024 16:25:11</t>
  </si>
  <si>
    <t>17/09/2024 11:57:23</t>
  </si>
  <si>
    <t>17/09/2024 11:39:55</t>
  </si>
  <si>
    <t>19/09/2024 08:14:48</t>
  </si>
  <si>
    <t>13/09/2024 15:32:12</t>
  </si>
  <si>
    <t>13/09/2024 13:07:18</t>
  </si>
  <si>
    <t>17/09/2024 11:41:54</t>
  </si>
  <si>
    <t>17/09/2024 10:20:18</t>
  </si>
  <si>
    <t>23/09/2024 13:08:24</t>
  </si>
  <si>
    <t>17/09/2024 13:26:05</t>
  </si>
  <si>
    <t>23/09/2024 11:26:00</t>
  </si>
  <si>
    <t>17/09/2024 13:42:22</t>
  </si>
  <si>
    <t>17/09/2024 14:54:53</t>
  </si>
  <si>
    <t>23/09/2024 11:05:59</t>
  </si>
  <si>
    <t>23/09/2024 11:27:24</t>
  </si>
  <si>
    <t>23/09/2024 23:01:33</t>
  </si>
  <si>
    <t>23/09/2024 11:53:05</t>
  </si>
  <si>
    <t>23/09/2024 17:35:19</t>
  </si>
  <si>
    <t>24/09/2024 08:36:37</t>
  </si>
  <si>
    <t>24/09/2024 11:24:29</t>
  </si>
  <si>
    <t>27/09/2024 11:14:20</t>
  </si>
  <si>
    <t>25/09/2024 09:40:30</t>
  </si>
  <si>
    <t>25/09/2024 10:15:34</t>
  </si>
  <si>
    <t>30/09/2024 22:29:24</t>
  </si>
  <si>
    <t>25/09/2024 10:40:51</t>
  </si>
  <si>
    <t>30/09/2024 22:29:23</t>
  </si>
  <si>
    <t>25/09/2024 10:46:54</t>
  </si>
  <si>
    <t>27/09/2024 11:23:33</t>
  </si>
  <si>
    <t>25/09/2024 11:04:02</t>
  </si>
  <si>
    <t>25/09/2024 12:31:16</t>
  </si>
  <si>
    <t>25/09/2024 12:39:58</t>
  </si>
  <si>
    <t>26/09/2024 09:00:06</t>
  </si>
  <si>
    <t>25/09/2024 16:29:14</t>
  </si>
  <si>
    <t>26/09/2024 14:34:51</t>
  </si>
  <si>
    <t>26/09/2024 15:10:29</t>
  </si>
  <si>
    <t>27/09/2024 20:59:20</t>
  </si>
  <si>
    <t>26/09/2024 15:38:22</t>
  </si>
  <si>
    <t>26/09/2024 17:07:21</t>
  </si>
  <si>
    <t>26/09/2024 17:29:16</t>
  </si>
  <si>
    <t>27/09/2024 10:09:14</t>
  </si>
  <si>
    <t>27/09/2024 10:18:34</t>
  </si>
  <si>
    <t>27/09/2024 11:12:02</t>
  </si>
  <si>
    <t>27/09/2024 18:32:53</t>
  </si>
  <si>
    <t>27/09/2024 11:17:26</t>
  </si>
  <si>
    <t>27/09/2024 11:25:26</t>
  </si>
  <si>
    <t>30/09/2024 22:02:33</t>
  </si>
  <si>
    <t>27/09/2024 11:36:24</t>
  </si>
  <si>
    <t>30/09/2024 15:40:55</t>
  </si>
  <si>
    <t>30/09/2024 10:55:38</t>
  </si>
  <si>
    <t>30/09/2024 11:19:29</t>
  </si>
  <si>
    <t>23/09/2024 10:57:44</t>
  </si>
  <si>
    <t>23/09/2024 11:15:09</t>
  </si>
  <si>
    <t>23/09/2024 11:44:35</t>
  </si>
  <si>
    <t>23/09/2024 17:20:47</t>
  </si>
  <si>
    <t>26/09/2024 15:31:59</t>
  </si>
  <si>
    <t>30/09/2024 10:50:08</t>
  </si>
  <si>
    <t>30/09/2024 11:07:21</t>
  </si>
  <si>
    <t>RCV_VENTA_77104844-7_202409</t>
  </si>
  <si>
    <t>77613354-K_3271</t>
  </si>
  <si>
    <t>96930440-6_3272</t>
  </si>
  <si>
    <t>96930440-6_3273</t>
  </si>
  <si>
    <t>76000605-K_3274</t>
  </si>
  <si>
    <t>96930090-7_3275</t>
  </si>
  <si>
    <t>96930440-6_3276</t>
  </si>
  <si>
    <t>99592350-5_3277</t>
  </si>
  <si>
    <t>77410216-7_3278</t>
  </si>
  <si>
    <t>13028073-0_3279</t>
  </si>
  <si>
    <t>77125674-0_3280</t>
  </si>
  <si>
    <t>78627210-6_3281</t>
  </si>
  <si>
    <t>77020724-K_3282</t>
  </si>
  <si>
    <t>96930440-6_3283</t>
  </si>
  <si>
    <t>78627210-6_3284</t>
  </si>
  <si>
    <t>96930090-7_3285</t>
  </si>
  <si>
    <t>96930440-6_3286</t>
  </si>
  <si>
    <t>96930440-6_3287</t>
  </si>
  <si>
    <t>15683969-8_3288</t>
  </si>
  <si>
    <t>99592350-5_3289</t>
  </si>
  <si>
    <t>76000605-K_3290</t>
  </si>
  <si>
    <t>8777274-8_3291</t>
  </si>
  <si>
    <t>76534207-4_3292</t>
  </si>
  <si>
    <t>77540637-2_3293</t>
  </si>
  <si>
    <t>76234334-7_3294</t>
  </si>
  <si>
    <t>77410216-7_3295</t>
  </si>
  <si>
    <t>96930440-6_3296</t>
  </si>
  <si>
    <t>78627210-6_3297</t>
  </si>
  <si>
    <t>96930440-6_3298</t>
  </si>
  <si>
    <t>78627210-6_3299</t>
  </si>
  <si>
    <t>76016721-5_3300</t>
  </si>
  <si>
    <t>96930440-6_3301</t>
  </si>
  <si>
    <t>77410216-7_3302</t>
  </si>
  <si>
    <t>96930440-6_3303</t>
  </si>
  <si>
    <t>96930440-6_3304</t>
  </si>
  <si>
    <t>76000605-K_3305</t>
  </si>
  <si>
    <t>96930440-6_3306</t>
  </si>
  <si>
    <t>78627210-6_3307</t>
  </si>
  <si>
    <t>96930440-6_3308</t>
  </si>
  <si>
    <t>96930440-6_3309</t>
  </si>
  <si>
    <t>77312177-K_3310</t>
  </si>
  <si>
    <t>77834033-K_3311</t>
  </si>
  <si>
    <t>77613354-K_3312</t>
  </si>
  <si>
    <t>77613354-K_3313</t>
  </si>
  <si>
    <t>96930090-7_3314</t>
  </si>
  <si>
    <t>96930090-7_3315</t>
  </si>
  <si>
    <t>77161868-5_3316</t>
  </si>
  <si>
    <t>77190764-4_3317</t>
  </si>
  <si>
    <t>96952720-0_3318</t>
  </si>
  <si>
    <t>77410216-7_3319</t>
  </si>
  <si>
    <t>96930440-6_3320</t>
  </si>
  <si>
    <t>76000605-K_3321</t>
  </si>
  <si>
    <t>10224488-5_3322</t>
  </si>
  <si>
    <t>96930440-6_3323</t>
  </si>
  <si>
    <t>96930440-6_3324</t>
  </si>
  <si>
    <t>76234334-7_3325</t>
  </si>
  <si>
    <t>15683969-8_3326</t>
  </si>
  <si>
    <t>78627210-6_3327</t>
  </si>
  <si>
    <t>77020724-K_3328</t>
  </si>
  <si>
    <t>96930440-6_3329</t>
  </si>
  <si>
    <t>78627210-6_3330</t>
  </si>
  <si>
    <t>13028073-0_715</t>
  </si>
  <si>
    <t>78627210-6_716</t>
  </si>
  <si>
    <t>96930440-6_717</t>
  </si>
  <si>
    <t>96930440-6_718</t>
  </si>
  <si>
    <t>96930440-6_719</t>
  </si>
  <si>
    <t>78627210-6_720</t>
  </si>
  <si>
    <t>96930440-6_721</t>
  </si>
  <si>
    <t>78627210-6_722</t>
  </si>
  <si>
    <t>96930440-6_723</t>
  </si>
  <si>
    <t>96930440-6_724</t>
  </si>
  <si>
    <t>96930440-6_725</t>
  </si>
  <si>
    <t>96930440-6_726</t>
  </si>
  <si>
    <t>78627210-6_727</t>
  </si>
  <si>
    <t>15/10/2024 11:08:42</t>
  </si>
  <si>
    <t>14/10/2024 12:52:19</t>
  </si>
  <si>
    <t>14/10/2024 10:53:28</t>
  </si>
  <si>
    <t>14/10/2024 11:14:30</t>
  </si>
  <si>
    <t>15/10/2024 17:13:08</t>
  </si>
  <si>
    <t>14/10/2024 15:12:19</t>
  </si>
  <si>
    <t>15/10/2024 10:18:31</t>
  </si>
  <si>
    <t>14/10/2024 15:23:18</t>
  </si>
  <si>
    <t>21/10/2024 17:46:47</t>
  </si>
  <si>
    <t>14/10/2024 17:09:27</t>
  </si>
  <si>
    <t>22/10/2024 12:49:16</t>
  </si>
  <si>
    <t>15/10/2024 09:58:43</t>
  </si>
  <si>
    <t>15/10/2024 10:35:28</t>
  </si>
  <si>
    <t>15/10/2024 11:04:21</t>
  </si>
  <si>
    <t>16/10/2024 11:29:17</t>
  </si>
  <si>
    <t>16/10/2024 10:39:10</t>
  </si>
  <si>
    <t>20/10/2024 22:18:54</t>
  </si>
  <si>
    <t>77805472-8</t>
  </si>
  <si>
    <t>INVERSIONES SIMO SPA</t>
  </si>
  <si>
    <t>16/10/2024 11:50:57</t>
  </si>
  <si>
    <t>16/10/2024 13:27:20</t>
  </si>
  <si>
    <t>16/10/2024 13:47:44</t>
  </si>
  <si>
    <t>17/10/2024 10:53:37</t>
  </si>
  <si>
    <t>23/10/2024 08:17:35</t>
  </si>
  <si>
    <t>17/10/2024 11:52:45</t>
  </si>
  <si>
    <t>25/10/2024 17:08:22</t>
  </si>
  <si>
    <t>17/10/2024 17:28:12</t>
  </si>
  <si>
    <t>25/10/2024 17:08:21</t>
  </si>
  <si>
    <t>17/10/2024 17:30:45</t>
  </si>
  <si>
    <t>17/10/2024 17:32:52</t>
  </si>
  <si>
    <t>25/10/2024 17:08:35</t>
  </si>
  <si>
    <t>18/10/2024 11:17:28</t>
  </si>
  <si>
    <t>22/10/2024 11:36:01</t>
  </si>
  <si>
    <t>18/10/2024 13:29:47</t>
  </si>
  <si>
    <t>22/10/2024 11:35:29</t>
  </si>
  <si>
    <t>18/10/2024 13:58:47</t>
  </si>
  <si>
    <t>18/10/2024 14:21:03</t>
  </si>
  <si>
    <t>25/10/2024 16:29:06</t>
  </si>
  <si>
    <t>18/10/2024 15:48:11</t>
  </si>
  <si>
    <t>24/10/2024 11:43:44</t>
  </si>
  <si>
    <t>21/10/2024 10:55:47</t>
  </si>
  <si>
    <t>29/10/2024 12:07:41</t>
  </si>
  <si>
    <t>21/10/2024 11:04:07</t>
  </si>
  <si>
    <t>76683782-4</t>
  </si>
  <si>
    <t>SANTANDER CAFE (CLUB DE CAMPO)</t>
  </si>
  <si>
    <t>21/10/2024 11:42:02</t>
  </si>
  <si>
    <t>21/10/2024 12:49:26</t>
  </si>
  <si>
    <t>25/10/2024 15:34:59</t>
  </si>
  <si>
    <t>21/10/2024 13:16:45</t>
  </si>
  <si>
    <t>21/10/2024 16:29:33</t>
  </si>
  <si>
    <t>29/10/2024 12:07:53</t>
  </si>
  <si>
    <t>22/10/2024 11:09:18</t>
  </si>
  <si>
    <t>29/10/2024 12:08:05</t>
  </si>
  <si>
    <t>22/10/2024 12:49:39</t>
  </si>
  <si>
    <t>23/10/2024 10:56:30</t>
  </si>
  <si>
    <t>30/10/2024 08:53:28</t>
  </si>
  <si>
    <t>23/10/2024 11:01:54</t>
  </si>
  <si>
    <t>23/10/2024 16:34:03</t>
  </si>
  <si>
    <t>29/10/2024 16:28:45</t>
  </si>
  <si>
    <t>25/10/2024 12:39:57</t>
  </si>
  <si>
    <t>28/10/2024 12:04:08</t>
  </si>
  <si>
    <t>25/10/2024 16:29:12</t>
  </si>
  <si>
    <t>30/10/2024 11:16:15</t>
  </si>
  <si>
    <t>25/10/2024 18:45:58</t>
  </si>
  <si>
    <t>30/10/2024 11:16:30</t>
  </si>
  <si>
    <t>25/10/2024 18:52:14</t>
  </si>
  <si>
    <t>31/10/2024 20:55:41</t>
  </si>
  <si>
    <t>25/10/2024 18:57:00</t>
  </si>
  <si>
    <t>29/10/2024 17:07:07</t>
  </si>
  <si>
    <t>25/10/2024 19:01:17</t>
  </si>
  <si>
    <t>25/10/2024 19:16:21</t>
  </si>
  <si>
    <t>30/10/2024 11:16:43</t>
  </si>
  <si>
    <t>28/10/2024 11:24:28</t>
  </si>
  <si>
    <t>28/10/2024 12:09:49</t>
  </si>
  <si>
    <t>28/10/2024 12:14:34</t>
  </si>
  <si>
    <t>31/10/2024 12:16:39</t>
  </si>
  <si>
    <t>28/10/2024 12:43:24</t>
  </si>
  <si>
    <t>31/10/2024 20:54:49</t>
  </si>
  <si>
    <t>28/10/2024 16:51:37</t>
  </si>
  <si>
    <t>28/10/2024 20:06:11</t>
  </si>
  <si>
    <t>28/10/2024 17:02:14</t>
  </si>
  <si>
    <t>28/10/2024 17:35:00</t>
  </si>
  <si>
    <t>14/10/2024 16:16:06</t>
  </si>
  <si>
    <t>14/10/2024 16:22:48</t>
  </si>
  <si>
    <t>18/10/2024 13:20:02</t>
  </si>
  <si>
    <t>21/10/2024 16:25:02</t>
  </si>
  <si>
    <t>21/10/2024 17:09:13</t>
  </si>
  <si>
    <t>23/10/2024 10:41:08</t>
  </si>
  <si>
    <t>28/10/2024 11:27:14</t>
  </si>
  <si>
    <t>28/10/2024 17:00:04</t>
  </si>
  <si>
    <t>28/10/2024 17:07:28</t>
  </si>
  <si>
    <t>RCV_VENTA_77104844-7_202410</t>
  </si>
  <si>
    <t>76534207-4_3331</t>
  </si>
  <si>
    <t>76995045-1_3332</t>
  </si>
  <si>
    <t>96930440-6_3333</t>
  </si>
  <si>
    <t>76111152-3_3334</t>
  </si>
  <si>
    <t>96930090-7_3335</t>
  </si>
  <si>
    <t>76000605-K_3336</t>
  </si>
  <si>
    <t>96930440-6_3337</t>
  </si>
  <si>
    <t>77410216-7_3338</t>
  </si>
  <si>
    <t>99592350-5_3339</t>
  </si>
  <si>
    <t>76000605-K_3340</t>
  </si>
  <si>
    <t>96930440-6_3341</t>
  </si>
  <si>
    <t>77613354-K_3342</t>
  </si>
  <si>
    <t>15683969-8_3343</t>
  </si>
  <si>
    <t>96930440-6_3344</t>
  </si>
  <si>
    <t>77410216-7_3345</t>
  </si>
  <si>
    <t>77020724-K_3346</t>
  </si>
  <si>
    <t>96930090-7_3347</t>
  </si>
  <si>
    <t>10224488-5_3348</t>
  </si>
  <si>
    <t>96930440-6_3349</t>
  </si>
  <si>
    <t>77312177-K_3350</t>
  </si>
  <si>
    <t>15683969-8_3351</t>
  </si>
  <si>
    <t>96930440-6_3352</t>
  </si>
  <si>
    <t>76000605-K_3353</t>
  </si>
  <si>
    <t>77540637-2_3354</t>
  </si>
  <si>
    <t>76111152-3_3355</t>
  </si>
  <si>
    <t>96952720-0_3356</t>
  </si>
  <si>
    <t>99592350-5_3357</t>
  </si>
  <si>
    <t>96930440-6_3358</t>
  </si>
  <si>
    <t>96930440-6_3359</t>
  </si>
  <si>
    <t>76000605-K_3360</t>
  </si>
  <si>
    <t>77410216-7_3361</t>
  </si>
  <si>
    <t>76234334-7_3362</t>
  </si>
  <si>
    <t>77805472-8_3363</t>
  </si>
  <si>
    <t>96930440-6_3364</t>
  </si>
  <si>
    <t>15683969-8_3365</t>
  </si>
  <si>
    <t>96930090-7_3366</t>
  </si>
  <si>
    <t>77312177-K_3367</t>
  </si>
  <si>
    <t>77312177-K_3368</t>
  </si>
  <si>
    <t>77312177-K_3369</t>
  </si>
  <si>
    <t>77312177-K_3370</t>
  </si>
  <si>
    <t>77410216-7_3371</t>
  </si>
  <si>
    <t>77410216-7_3372</t>
  </si>
  <si>
    <t>96930440-6_3373</t>
  </si>
  <si>
    <t>96930440-6_3374</t>
  </si>
  <si>
    <t>76000605-K_3375</t>
  </si>
  <si>
    <t>96930440-6_3376</t>
  </si>
  <si>
    <t>77613354-K_3377</t>
  </si>
  <si>
    <t>76683782-4_3378</t>
  </si>
  <si>
    <t>77125674-0_3379</t>
  </si>
  <si>
    <t>76869898-8_3380</t>
  </si>
  <si>
    <t>96930440-6_3381</t>
  </si>
  <si>
    <t>96930440-6_3382</t>
  </si>
  <si>
    <t>76000605-K_3383</t>
  </si>
  <si>
    <t>96930090-7_3384</t>
  </si>
  <si>
    <t>8777274-8_3385</t>
  </si>
  <si>
    <t>99592350-5_3386</t>
  </si>
  <si>
    <t>77410216-7_3387</t>
  </si>
  <si>
    <t>96930440-6_3388</t>
  </si>
  <si>
    <t>96930440-6_3389</t>
  </si>
  <si>
    <t>76000605-K_3390</t>
  </si>
  <si>
    <t>76111152-3_3391</t>
  </si>
  <si>
    <t>96930440-6_3392</t>
  </si>
  <si>
    <t>96930440-6_3393</t>
  </si>
  <si>
    <t>96930440-6_3394</t>
  </si>
  <si>
    <t>77161868-5_3395</t>
  </si>
  <si>
    <t>77540637-2_3396</t>
  </si>
  <si>
    <t>76000605-K_3397</t>
  </si>
  <si>
    <t>78627210-6_3398</t>
  </si>
  <si>
    <t>78627210-6_3399</t>
  </si>
  <si>
    <t>78627210-6_3400</t>
  </si>
  <si>
    <t>56Del Giro</t>
  </si>
  <si>
    <t>96930440-6_10</t>
  </si>
  <si>
    <t>76111152-3_728</t>
  </si>
  <si>
    <t>77613354-K_729</t>
  </si>
  <si>
    <t>15683969-8_730</t>
  </si>
  <si>
    <t>77312177-K_731</t>
  </si>
  <si>
    <t>77410216-7_732</t>
  </si>
  <si>
    <t>96930440-6_733</t>
  </si>
  <si>
    <t>76000605-K_734</t>
  </si>
  <si>
    <t>96930090-7_735</t>
  </si>
  <si>
    <t>96930440-6_736</t>
  </si>
  <si>
    <t>96930440-6_737</t>
  </si>
  <si>
    <t>78627210-6_738</t>
  </si>
  <si>
    <t>78627210-6_744</t>
  </si>
  <si>
    <t>78627210-6_745</t>
  </si>
  <si>
    <t>30/10/2024 16:16:49</t>
  </si>
  <si>
    <t>30/10/2024 16:49:12</t>
  </si>
  <si>
    <t>30/10/2024 17:25:18</t>
  </si>
  <si>
    <t>30/10/2024 18:06:13</t>
  </si>
  <si>
    <t>30/10/2024 18:34:14</t>
  </si>
  <si>
    <t>30/10/2024 18:40:05</t>
  </si>
  <si>
    <t>14/11/2024 16:29:11</t>
  </si>
  <si>
    <t>19/11/2024 09:07:06</t>
  </si>
  <si>
    <t>13/11/2024 10:32:58</t>
  </si>
  <si>
    <t>13/11/2024 11:41:18</t>
  </si>
  <si>
    <t>20/11/2024 08:11:15</t>
  </si>
  <si>
    <t>13/11/2024 13:00:14</t>
  </si>
  <si>
    <t>19/11/2024 08:33:33</t>
  </si>
  <si>
    <t>14/11/2024 10:48:20</t>
  </si>
  <si>
    <t>19/11/2024 12:02:43</t>
  </si>
  <si>
    <t>14/11/2024 10:54:33</t>
  </si>
  <si>
    <t>19/11/2024 12:02:33</t>
  </si>
  <si>
    <t>14/11/2024 12:31:56</t>
  </si>
  <si>
    <t>19/11/2024 12:02:20</t>
  </si>
  <si>
    <t>14/11/2024 17:07:21</t>
  </si>
  <si>
    <t>19/11/2024 15:52:43</t>
  </si>
  <si>
    <t>14/11/2024 17:40:26</t>
  </si>
  <si>
    <t>15/11/2024 10:14:14</t>
  </si>
  <si>
    <t>15/11/2024 10:41:06</t>
  </si>
  <si>
    <t>15/11/2024 15:39:09</t>
  </si>
  <si>
    <t>15/11/2024 15:57:50</t>
  </si>
  <si>
    <t>15/11/2024 16:22:09</t>
  </si>
  <si>
    <t>18/11/2024 10:07:37</t>
  </si>
  <si>
    <t>18/11/2024 10:24:16</t>
  </si>
  <si>
    <t>76392445-9</t>
  </si>
  <si>
    <t>BRITANNIA FOODS S.A.</t>
  </si>
  <si>
    <t>18/11/2024 12:07:53</t>
  </si>
  <si>
    <t>21/11/2024 13:32:58</t>
  </si>
  <si>
    <t>19/11/2024 12:06:29</t>
  </si>
  <si>
    <t>26/11/2024 09:06:24</t>
  </si>
  <si>
    <t>19/11/2024 12:11:15</t>
  </si>
  <si>
    <t>20/11/2024 12:41:44</t>
  </si>
  <si>
    <t>20/11/2024 15:10:08</t>
  </si>
  <si>
    <t>20/11/2024 15:16:17</t>
  </si>
  <si>
    <t>21/11/2024 09:44:46</t>
  </si>
  <si>
    <t>29/11/2024 15:51:18</t>
  </si>
  <si>
    <t>21/11/2024 13:00:37</t>
  </si>
  <si>
    <t>21/11/2024 15:00:50</t>
  </si>
  <si>
    <t>21/11/2024 17:37:08</t>
  </si>
  <si>
    <t>29/11/2024 15:47:11</t>
  </si>
  <si>
    <t>22/11/2024 13:55:44</t>
  </si>
  <si>
    <t>26/11/2024 17:14:38</t>
  </si>
  <si>
    <t>22/11/2024 16:16:44</t>
  </si>
  <si>
    <t>25/11/2024 12:30:40</t>
  </si>
  <si>
    <t>22/11/2024 16:56:41</t>
  </si>
  <si>
    <t>28/11/2024 12:02:08</t>
  </si>
  <si>
    <t>22/11/2024 17:35:24</t>
  </si>
  <si>
    <t>25/11/2024 12:31:22</t>
  </si>
  <si>
    <t>25/11/2024 11:04:53</t>
  </si>
  <si>
    <t>25/11/2024 11:18:23</t>
  </si>
  <si>
    <t>26/11/2024 15:26:14</t>
  </si>
  <si>
    <t>25/11/2024 11:31:51</t>
  </si>
  <si>
    <t>25/11/2024 16:23:54</t>
  </si>
  <si>
    <t>25/11/2024 11:46:52</t>
  </si>
  <si>
    <t>25/11/2024 23:50:23</t>
  </si>
  <si>
    <t>25/11/2024 14:56:24</t>
  </si>
  <si>
    <t>25/11/2024 16:59:09</t>
  </si>
  <si>
    <t>26/11/2024 10:46:36</t>
  </si>
  <si>
    <t>26/11/2024 17:08:48</t>
  </si>
  <si>
    <t>28/11/2024 20:47:16</t>
  </si>
  <si>
    <t>27/11/2024 10:03:02</t>
  </si>
  <si>
    <t>27/11/2024 10:33:07</t>
  </si>
  <si>
    <t>27/11/2024 10:56:00</t>
  </si>
  <si>
    <t>29/11/2024 11:31:48</t>
  </si>
  <si>
    <t>27/11/2024 11:29:06</t>
  </si>
  <si>
    <t>27/11/2024 16:26:20</t>
  </si>
  <si>
    <t>76075383-1</t>
  </si>
  <si>
    <t>PRODUCTORA GALDAMEZ</t>
  </si>
  <si>
    <t>27/11/2024 15:56:00</t>
  </si>
  <si>
    <t>27/11/2024 20:22:56</t>
  </si>
  <si>
    <t>27/11/2024 16:42:43</t>
  </si>
  <si>
    <t>28/11/2024 13:17:44</t>
  </si>
  <si>
    <t>28/11/2024 20:47:15</t>
  </si>
  <si>
    <t>20/11/2024 10:58:25</t>
  </si>
  <si>
    <t>20/11/2024 15:09:18</t>
  </si>
  <si>
    <t>25/11/2024 14:50:53</t>
  </si>
  <si>
    <t>26/11/2024 12:54:16</t>
  </si>
  <si>
    <t>26/11/2024 13:45:34</t>
  </si>
  <si>
    <t>28/11/2024 11:49:12</t>
  </si>
  <si>
    <t>28/11/2024 11:52:04</t>
  </si>
  <si>
    <t>RCV_VENTA_77104844-7_202411</t>
  </si>
  <si>
    <t>78627210-6_3401</t>
  </si>
  <si>
    <t>78627210-6_3402</t>
  </si>
  <si>
    <t>96930440-6_3403</t>
  </si>
  <si>
    <t>76000605-K_3404</t>
  </si>
  <si>
    <t>96930090-7_3405</t>
  </si>
  <si>
    <t>96930090-7_3406</t>
  </si>
  <si>
    <t>76000605-K_3407</t>
  </si>
  <si>
    <t>78627210-6_3408</t>
  </si>
  <si>
    <t>78627210-6_3409</t>
  </si>
  <si>
    <t>88683100-5_3410</t>
  </si>
  <si>
    <t>77410216-7_3411</t>
  </si>
  <si>
    <t>96930440-6_3412</t>
  </si>
  <si>
    <t>96930440-6_3413</t>
  </si>
  <si>
    <t>77834033-K_3414</t>
  </si>
  <si>
    <t>96930090-7_3415</t>
  </si>
  <si>
    <t>77410216-7_3416</t>
  </si>
  <si>
    <t>77613354-K_3417</t>
  </si>
  <si>
    <t>77834033-K_3418</t>
  </si>
  <si>
    <t>76234334-7_3419</t>
  </si>
  <si>
    <t>77190764-4_3420</t>
  </si>
  <si>
    <t>77410216-7_3421</t>
  </si>
  <si>
    <t>77410216-7_3422</t>
  </si>
  <si>
    <t>77020724-K_3423</t>
  </si>
  <si>
    <t>15683969-8_3424</t>
  </si>
  <si>
    <t>96930440-6_3425</t>
  </si>
  <si>
    <t>96930440-6_3426</t>
  </si>
  <si>
    <t>77410216-7_3427</t>
  </si>
  <si>
    <t>77540637-2_3428</t>
  </si>
  <si>
    <t>76000605-K_3429</t>
  </si>
  <si>
    <t>15683969-8_3430</t>
  </si>
  <si>
    <t>96930440-6_3431</t>
  </si>
  <si>
    <t>96930440-6_3432</t>
  </si>
  <si>
    <t>96930440-6_3433</t>
  </si>
  <si>
    <t>77161868-5_3434</t>
  </si>
  <si>
    <t>77805472-8_3435</t>
  </si>
  <si>
    <t>15683969-8_3436</t>
  </si>
  <si>
    <t>77020724-K_3437</t>
  </si>
  <si>
    <t>78627210-6_3438</t>
  </si>
  <si>
    <t>96930090-7_3439</t>
  </si>
  <si>
    <t>77410216-7_3440</t>
  </si>
  <si>
    <t>77410216-7_3441</t>
  </si>
  <si>
    <t>77410216-7_3442</t>
  </si>
  <si>
    <t>77312177-K_3443</t>
  </si>
  <si>
    <t>96930440-6_3444</t>
  </si>
  <si>
    <t>96930440-6_3445</t>
  </si>
  <si>
    <t>96930440-6_3446</t>
  </si>
  <si>
    <t>99592350-5_3447</t>
  </si>
  <si>
    <t>76000605-K_3448</t>
  </si>
  <si>
    <t>96930440-6_3449</t>
  </si>
  <si>
    <t>8777274-8_3450</t>
  </si>
  <si>
    <t>77613354-K_3451</t>
  </si>
  <si>
    <t>76392445-9_3452</t>
  </si>
  <si>
    <t>78627210-6_3453</t>
  </si>
  <si>
    <t>78627210-6_3454</t>
  </si>
  <si>
    <t>77410216-7_3455</t>
  </si>
  <si>
    <t>15683969-8_3456</t>
  </si>
  <si>
    <t>96930440-6_3457</t>
  </si>
  <si>
    <t>77190764-4_3458</t>
  </si>
  <si>
    <t>96930440-6_3459</t>
  </si>
  <si>
    <t>76111152-3_3460</t>
  </si>
  <si>
    <t>77410216-7_3461</t>
  </si>
  <si>
    <t>76392445-9_3462</t>
  </si>
  <si>
    <t>77410216-7_3463</t>
  </si>
  <si>
    <t>76995045-1_3464</t>
  </si>
  <si>
    <t>77020724-K_3465</t>
  </si>
  <si>
    <t>77125674-0_3466</t>
  </si>
  <si>
    <t>76234334-7_3467</t>
  </si>
  <si>
    <t>15683969-8_3468</t>
  </si>
  <si>
    <t>76000605-K_3469</t>
  </si>
  <si>
    <t>96930440-6_3470</t>
  </si>
  <si>
    <t>78627210-6_3471</t>
  </si>
  <si>
    <t>15683969-8_3472</t>
  </si>
  <si>
    <t>15683969-8_3473</t>
  </si>
  <si>
    <t>96930090-7_3474</t>
  </si>
  <si>
    <t>76016721-5_3475</t>
  </si>
  <si>
    <t>76075383-1_3476</t>
  </si>
  <si>
    <t>76000605-K_3477</t>
  </si>
  <si>
    <t>78627210-6_3478</t>
  </si>
  <si>
    <t>96930090-7_739</t>
  </si>
  <si>
    <t>77410216-7_740</t>
  </si>
  <si>
    <t>77834033-K_741</t>
  </si>
  <si>
    <t>77834033-K_742</t>
  </si>
  <si>
    <t>76234334-7_743</t>
  </si>
  <si>
    <t>78627210-6_746</t>
  </si>
  <si>
    <t>96930440-6_747</t>
  </si>
  <si>
    <t>96930440-6_748</t>
  </si>
  <si>
    <t>96930440-6_749</t>
  </si>
  <si>
    <t>78627210-6_750</t>
  </si>
  <si>
    <t>78627210-6_751</t>
  </si>
  <si>
    <t>76392445-9_752</t>
  </si>
  <si>
    <t>77410216-7_753</t>
  </si>
  <si>
    <t>77410216-7_754</t>
  </si>
  <si>
    <t>78627210-6_755</t>
  </si>
  <si>
    <t>78627210-6_756</t>
  </si>
  <si>
    <t>28/11/2024 17:26:29</t>
  </si>
  <si>
    <t>28/11/2024 17:38:24</t>
  </si>
  <si>
    <t>29/11/2024 17:12:38</t>
  </si>
  <si>
    <t>13/12/2024 10:23:17</t>
  </si>
  <si>
    <t>17/12/2024 10:26:11</t>
  </si>
  <si>
    <t>16/12/2024 09:47:22</t>
  </si>
  <si>
    <t>16/12/2024 16:44:16</t>
  </si>
  <si>
    <t>13/12/2024 12:00:13</t>
  </si>
  <si>
    <t>13/12/2024 20:46:13</t>
  </si>
  <si>
    <t>17/12/2024 14:55:47</t>
  </si>
  <si>
    <t>13/12/2024 16:03:05</t>
  </si>
  <si>
    <t>17/12/2024 11:45:23</t>
  </si>
  <si>
    <t>16/12/2024 11:46:58</t>
  </si>
  <si>
    <t>17/12/2024 11:29:49</t>
  </si>
  <si>
    <t>16/12/2024 11:53:42</t>
  </si>
  <si>
    <t>17/12/2024 00:23:56</t>
  </si>
  <si>
    <t>16/12/2024 11:58:43</t>
  </si>
  <si>
    <t>16/12/2024 13:24:02</t>
  </si>
  <si>
    <t>23/12/2024 13:32:58</t>
  </si>
  <si>
    <t>16/12/2024 14:49:38</t>
  </si>
  <si>
    <t>17/12/2024 12:10:17</t>
  </si>
  <si>
    <t>17/12/2024 10:17:14</t>
  </si>
  <si>
    <t>23/12/2024 11:54:21</t>
  </si>
  <si>
    <t>17/12/2024 12:49:12</t>
  </si>
  <si>
    <t>20/12/2024 09:59:30</t>
  </si>
  <si>
    <t>17/12/2024 16:26:19</t>
  </si>
  <si>
    <t>23/12/2024 17:44:41</t>
  </si>
  <si>
    <t>17/12/2024 17:28:39</t>
  </si>
  <si>
    <t>19/12/2024 13:07:24</t>
  </si>
  <si>
    <t>77900279-9</t>
  </si>
  <si>
    <t>FROZEN STORE SPA</t>
  </si>
  <si>
    <t>18/12/2024 11:23:24</t>
  </si>
  <si>
    <t>20/12/2024 11:55:37</t>
  </si>
  <si>
    <t>18/12/2024 11:53:31</t>
  </si>
  <si>
    <t>19/12/2024 20:41:57</t>
  </si>
  <si>
    <t>18/12/2024 13:28:11</t>
  </si>
  <si>
    <t>23/12/2024 13:48:00</t>
  </si>
  <si>
    <t>19/12/2024 10:46:08</t>
  </si>
  <si>
    <t>19/12/2024 17:30:48</t>
  </si>
  <si>
    <t>26/12/2024 17:38:30</t>
  </si>
  <si>
    <t>20/12/2024 10:03:38</t>
  </si>
  <si>
    <t>20/12/2024 11:57:24</t>
  </si>
  <si>
    <t>20/12/2024 10:08:47</t>
  </si>
  <si>
    <t>20/12/2024 10:19:05</t>
  </si>
  <si>
    <t>24/12/2024 13:13:38</t>
  </si>
  <si>
    <t>20/12/2024 14:14:50</t>
  </si>
  <si>
    <t>23/12/2024 08:34:03</t>
  </si>
  <si>
    <t>31/12/2024 13:44:45</t>
  </si>
  <si>
    <t>23/12/2024 17:48:26</t>
  </si>
  <si>
    <t>27/12/2024 11:54:28</t>
  </si>
  <si>
    <t>24/12/2024 10:26:19</t>
  </si>
  <si>
    <t>24/12/2024 11:09:07</t>
  </si>
  <si>
    <t>24/12/2024 12:34:55</t>
  </si>
  <si>
    <t>28/12/2024 11:54:29</t>
  </si>
  <si>
    <t>24/12/2024 13:12:26</t>
  </si>
  <si>
    <t>26/12/2024 10:16:22</t>
  </si>
  <si>
    <t>27/12/2024 16:41:13</t>
  </si>
  <si>
    <t>26/12/2024 11:38:56</t>
  </si>
  <si>
    <t>31/12/2024 10:11:02</t>
  </si>
  <si>
    <t>26/12/2024 17:04:33</t>
  </si>
  <si>
    <t>31/12/2024 11:53:34</t>
  </si>
  <si>
    <t>30/12/2024 13:33:16</t>
  </si>
  <si>
    <t>30/12/2024 13:49:37</t>
  </si>
  <si>
    <t>30/12/2024 14:17:42</t>
  </si>
  <si>
    <t>31/12/2024 10:23:01</t>
  </si>
  <si>
    <t>30/12/2024 14:29:58</t>
  </si>
  <si>
    <t>31/12/2024 10:22:42</t>
  </si>
  <si>
    <t>FRIMAR PANADEROS SLU</t>
  </si>
  <si>
    <t>16/12/2024 13:28:56</t>
  </si>
  <si>
    <t>17/12/2024 16:20:58</t>
  </si>
  <si>
    <t>18/12/2024 16:19:11</t>
  </si>
  <si>
    <t>19/12/2024 10:32:28</t>
  </si>
  <si>
    <t>19/12/2024 17:00:43</t>
  </si>
  <si>
    <t>30/12/2024 13:28:52</t>
  </si>
  <si>
    <t>30/12/2024 13:43:23</t>
  </si>
  <si>
    <t>RCV_VENTA_77104844-7_202412</t>
  </si>
  <si>
    <t>96930440-6_3479</t>
  </si>
  <si>
    <t>96930440-6_3480</t>
  </si>
  <si>
    <t>77410216-7_3481</t>
  </si>
  <si>
    <t>77613354-K_3482</t>
  </si>
  <si>
    <t>15683969-8_3483</t>
  </si>
  <si>
    <t>76995045-1_3484</t>
  </si>
  <si>
    <t>96930440-6_3485</t>
  </si>
  <si>
    <t>77020724-K_3486</t>
  </si>
  <si>
    <t>15683969-8_3487</t>
  </si>
  <si>
    <t>76392445-9_3488</t>
  </si>
  <si>
    <t>99592350-5_3489</t>
  </si>
  <si>
    <t>76000605-K_3490</t>
  </si>
  <si>
    <t>78627210-6_3491</t>
  </si>
  <si>
    <t>96930440-6_3492</t>
  </si>
  <si>
    <t>96930440-6_3493</t>
  </si>
  <si>
    <t>78627210-6_3494</t>
  </si>
  <si>
    <t>96930090-7_3495</t>
  </si>
  <si>
    <t>77410216-7_3496</t>
  </si>
  <si>
    <t>76016721-5_3497</t>
  </si>
  <si>
    <t>76234334-7_3498</t>
  </si>
  <si>
    <t>76000605-K_3499</t>
  </si>
  <si>
    <t>99592350-5_3500</t>
  </si>
  <si>
    <t>96930440-6_3501</t>
  </si>
  <si>
    <t>96930440-6_3502</t>
  </si>
  <si>
    <t>96930440-6_3503</t>
  </si>
  <si>
    <t>77020724-K_3504</t>
  </si>
  <si>
    <t>76869898-8_3505</t>
  </si>
  <si>
    <t>76869898-8_3506</t>
  </si>
  <si>
    <t>76392445-9_3507</t>
  </si>
  <si>
    <t>78627210-6_3508</t>
  </si>
  <si>
    <t>96930440-6_3509</t>
  </si>
  <si>
    <t>96930440-6_3510</t>
  </si>
  <si>
    <t>77410216-7_3511</t>
  </si>
  <si>
    <t>77125674-0_3512</t>
  </si>
  <si>
    <t>76234334-7_3513</t>
  </si>
  <si>
    <t>77805472-8_3514</t>
  </si>
  <si>
    <t>99592350-5_3515</t>
  </si>
  <si>
    <t>96952720-0_3516</t>
  </si>
  <si>
    <t>76000605-K_3517</t>
  </si>
  <si>
    <t>96930440-6_3518</t>
  </si>
  <si>
    <t>99592350-5_3519</t>
  </si>
  <si>
    <t>76392445-9_3520</t>
  </si>
  <si>
    <t>77900279-9_3521</t>
  </si>
  <si>
    <t>78627210-6_3522</t>
  </si>
  <si>
    <t>96930090-7_3523</t>
  </si>
  <si>
    <t>76000605-K_3524</t>
  </si>
  <si>
    <t>99592350-5_3525</t>
  </si>
  <si>
    <t>77410216-7_3526</t>
  </si>
  <si>
    <t>76995045-1_3527</t>
  </si>
  <si>
    <t>96930440-6_3528</t>
  </si>
  <si>
    <t>77540637-2_3529</t>
  </si>
  <si>
    <t>77540637-2_3530</t>
  </si>
  <si>
    <t>96930440-6_3531</t>
  </si>
  <si>
    <t>77410216-7_3532</t>
  </si>
  <si>
    <t>96930440-6_3533</t>
  </si>
  <si>
    <t>76000605-K_3534</t>
  </si>
  <si>
    <t>76111152-3_3535</t>
  </si>
  <si>
    <t>76392445-9_3536</t>
  </si>
  <si>
    <t>96930440-6_3537</t>
  </si>
  <si>
    <t>99592350-5_3538</t>
  </si>
  <si>
    <t>99592350-5_3539</t>
  </si>
  <si>
    <t>77410216-7_3540</t>
  </si>
  <si>
    <t>77410216-7_3541</t>
  </si>
  <si>
    <t>55555555-5_3551</t>
  </si>
  <si>
    <t>78627210-6_757</t>
  </si>
  <si>
    <t>77312177-K_776</t>
  </si>
  <si>
    <t>76234334-7_777</t>
  </si>
  <si>
    <t>99592350-5_778</t>
  </si>
  <si>
    <t>96930090-7_779</t>
  </si>
  <si>
    <t>76000605-K_780</t>
  </si>
  <si>
    <t>99592350-5_781</t>
  </si>
  <si>
    <t>99592350-5_782</t>
  </si>
  <si>
    <t>99592350-5_783</t>
  </si>
  <si>
    <t>31/12/2024 10:29:53</t>
  </si>
  <si>
    <t>31/12/2024 11:09:53</t>
  </si>
  <si>
    <t>31/12/2024 12:01:24</t>
  </si>
  <si>
    <t>13/01/2025 17:45:54</t>
  </si>
  <si>
    <t>13/01/2025 12:49:03</t>
  </si>
  <si>
    <t>15/01/2025 17:12:00</t>
  </si>
  <si>
    <t>13/01/2025 11:19:05</t>
  </si>
  <si>
    <t>21/01/2025 12:18:06</t>
  </si>
  <si>
    <t>14/01/2025 14:48:26</t>
  </si>
  <si>
    <t>16/01/2025 17:06:38</t>
  </si>
  <si>
    <t>14/01/2025 14:55:07</t>
  </si>
  <si>
    <t>17/01/2025 16:03:53</t>
  </si>
  <si>
    <t>15/01/2025 10:10:45</t>
  </si>
  <si>
    <t>17/01/2025 11:59:42</t>
  </si>
  <si>
    <t>15/01/2025 11:40:00</t>
  </si>
  <si>
    <t>17/01/2025 12:31:29</t>
  </si>
  <si>
    <t>15/01/2025 12:24:36</t>
  </si>
  <si>
    <t>22/01/2025 08:43:57</t>
  </si>
  <si>
    <t>20/01/2025 12:16:38</t>
  </si>
  <si>
    <t>20/01/2025 14:26:47</t>
  </si>
  <si>
    <t>20/01/2025 12:32:25</t>
  </si>
  <si>
    <t>21/01/2025 16:41:55</t>
  </si>
  <si>
    <t>20/01/2025 13:46:04</t>
  </si>
  <si>
    <t>27/01/2025 13:54:20</t>
  </si>
  <si>
    <t>20/01/2025 14:00:28</t>
  </si>
  <si>
    <t>24/01/2025 11:54:21</t>
  </si>
  <si>
    <t>21/01/2025 15:43:24</t>
  </si>
  <si>
    <t>25/01/2025 10:39:44</t>
  </si>
  <si>
    <t>22/01/2025 10:30:28</t>
  </si>
  <si>
    <t>29/01/2025 14:02:12</t>
  </si>
  <si>
    <t>22/01/2025 10:57:51</t>
  </si>
  <si>
    <t>27/01/2025 11:58:25</t>
  </si>
  <si>
    <t>22/01/2025 11:44:35</t>
  </si>
  <si>
    <t>28/01/2025 08:59:57</t>
  </si>
  <si>
    <t>22/01/2025 11:50:54</t>
  </si>
  <si>
    <t>25/01/2025 10:39:41</t>
  </si>
  <si>
    <t>22/01/2025 15:27:00</t>
  </si>
  <si>
    <t>22/01/2025 15:29:26</t>
  </si>
  <si>
    <t>28/01/2025 09:20:34</t>
  </si>
  <si>
    <t>13/02/2025 12:28:47</t>
  </si>
  <si>
    <t>15/01/2025 12:17:23</t>
  </si>
  <si>
    <t>24/01/2025 15:37:12</t>
  </si>
  <si>
    <t>RCV_VENTA_77104844-7_202501</t>
  </si>
  <si>
    <t>96930440-6_3542</t>
  </si>
  <si>
    <t>96930090-7_3543</t>
  </si>
  <si>
    <t>76000605-K_3544</t>
  </si>
  <si>
    <t>77410216-7_3545</t>
  </si>
  <si>
    <t>96930440-6_3546</t>
  </si>
  <si>
    <t>96930440-6_3547</t>
  </si>
  <si>
    <t>96930090-7_3548</t>
  </si>
  <si>
    <t>77613354-K_3549</t>
  </si>
  <si>
    <t>76111152-3_3550</t>
  </si>
  <si>
    <t>77020724-K_3552</t>
  </si>
  <si>
    <t>77834033-K_3553</t>
  </si>
  <si>
    <t>96930440-6_3554</t>
  </si>
  <si>
    <t>77312177-K_3555</t>
  </si>
  <si>
    <t>99592350-5_3556</t>
  </si>
  <si>
    <t>77410216-7_3557</t>
  </si>
  <si>
    <t>76000605-K_3558</t>
  </si>
  <si>
    <t>77020724-K_3559</t>
  </si>
  <si>
    <t>76111152-3_3560</t>
  </si>
  <si>
    <t>76392445-9_3561</t>
  </si>
  <si>
    <t>96930440-6_3562</t>
  </si>
  <si>
    <t>96930090-7_3563</t>
  </si>
  <si>
    <t>99592350-5_3564</t>
  </si>
  <si>
    <t>77190764-4_3565</t>
  </si>
  <si>
    <t>76111152-3_3566</t>
  </si>
  <si>
    <t>96930440-6_3567</t>
  </si>
  <si>
    <t>96930440-6_3568</t>
  </si>
  <si>
    <t>96930440-6_3569</t>
  </si>
  <si>
    <t>76392445-9_3570</t>
  </si>
  <si>
    <t>77900279-9_3571</t>
  </si>
  <si>
    <t>96930090-7_3572</t>
  </si>
  <si>
    <t>99592350-5_3573</t>
  </si>
  <si>
    <t>76000605-K_3574</t>
  </si>
  <si>
    <t>76000605-K_3575</t>
  </si>
  <si>
    <t>96930440-6_3791</t>
  </si>
  <si>
    <t>77020724-K_3794</t>
  </si>
  <si>
    <t>96930440-6_3792</t>
  </si>
  <si>
    <t>77410216-7_3795</t>
  </si>
  <si>
    <t>76995045-1_3793</t>
  </si>
  <si>
    <t>77125674-0_3797</t>
  </si>
  <si>
    <t>76000605-K_3796</t>
  </si>
  <si>
    <t>96930440-6_3798</t>
  </si>
  <si>
    <t>78627210-6_3799</t>
  </si>
  <si>
    <t>96930090-7_3800</t>
  </si>
  <si>
    <t>76111152-3_3801</t>
  </si>
  <si>
    <t>15683969-8_3807</t>
  </si>
  <si>
    <t>55555555-5_3790</t>
  </si>
  <si>
    <t>99592350-5_11</t>
  </si>
  <si>
    <t>77540637-2_784</t>
  </si>
  <si>
    <t>99592350-5_785</t>
  </si>
  <si>
    <t>76000605-K_786</t>
  </si>
  <si>
    <t>13/02/2025 12:29:22</t>
  </si>
  <si>
    <t>14/02/2025 10:54:12</t>
  </si>
  <si>
    <t>14/02/2025 10:54:18</t>
  </si>
  <si>
    <t>14/02/2025 11:52:55</t>
  </si>
  <si>
    <t>18/02/2025 10:55:08</t>
  </si>
  <si>
    <t>13/02/2025 18:15:52</t>
  </si>
  <si>
    <t>18/02/2025 07:55:41</t>
  </si>
  <si>
    <t>16/02/2025 23:50:23</t>
  </si>
  <si>
    <t>13/02/2025 10:28:28</t>
  </si>
  <si>
    <t>18/02/2025 10:55:19</t>
  </si>
  <si>
    <t>13/02/2025 11:50:10</t>
  </si>
  <si>
    <t>18/02/2025 10:56:07</t>
  </si>
  <si>
    <t>13/02/2025 11:59:10</t>
  </si>
  <si>
    <t>18/02/2025 11:23:00</t>
  </si>
  <si>
    <t>14/02/2025 12:07:51</t>
  </si>
  <si>
    <t>18/02/2025 10:42:53</t>
  </si>
  <si>
    <t>17/02/2025 10:29:17</t>
  </si>
  <si>
    <t>17/02/2025 11:32:51</t>
  </si>
  <si>
    <t>18/02/2025 10:52:26</t>
  </si>
  <si>
    <t>21/02/2025 16:16:40</t>
  </si>
  <si>
    <t>18/02/2025 10:58:21</t>
  </si>
  <si>
    <t>19/02/2025 10:32:08</t>
  </si>
  <si>
    <t>19/02/2025 13:02:35</t>
  </si>
  <si>
    <t>19/02/2025 10:39:00</t>
  </si>
  <si>
    <t>25/02/2025 11:29:33</t>
  </si>
  <si>
    <t>19/02/2025 10:47:16</t>
  </si>
  <si>
    <t>24/02/2025 16:51:51</t>
  </si>
  <si>
    <t>19/02/2025 12:01:27</t>
  </si>
  <si>
    <t>24/02/2025 14:34:07</t>
  </si>
  <si>
    <t>20/02/2025 13:35:44</t>
  </si>
  <si>
    <t>27/02/2025 13:45:30</t>
  </si>
  <si>
    <t>20/02/2025 13:44:34</t>
  </si>
  <si>
    <t>27/02/2025 13:45:29</t>
  </si>
  <si>
    <t>24/02/2025 11:54:27</t>
  </si>
  <si>
    <t>24/02/2025 16:04:56</t>
  </si>
  <si>
    <t>28/02/2025 16:13:08</t>
  </si>
  <si>
    <t>25/02/2025 09:37:08</t>
  </si>
  <si>
    <t>28/02/2025 16:14:58</t>
  </si>
  <si>
    <t>25/02/2025 09:50:07</t>
  </si>
  <si>
    <t>25/02/2025 10:09:46</t>
  </si>
  <si>
    <t>25/02/2025 11:53:33</t>
  </si>
  <si>
    <t>27/02/2025 10:29:02</t>
  </si>
  <si>
    <t>26/02/2025 15:50:17</t>
  </si>
  <si>
    <t>26/02/2025 16:33:55</t>
  </si>
  <si>
    <t>28/02/2025 20:38:17</t>
  </si>
  <si>
    <t>26/02/2025 18:46:48</t>
  </si>
  <si>
    <t>28/02/2025 20:01:27</t>
  </si>
  <si>
    <t>27/02/2025 11:36:13</t>
  </si>
  <si>
    <t>14/03/2025 15:50:19</t>
  </si>
  <si>
    <t>13/02/2025 17:13:44</t>
  </si>
  <si>
    <t>13/02/2025 17:56:10</t>
  </si>
  <si>
    <t>RCV_VENTA_77104844-7_202502</t>
  </si>
  <si>
    <t>96930440-6_3810</t>
  </si>
  <si>
    <t>96930440-6_3808</t>
  </si>
  <si>
    <t>77410216-7_3811</t>
  </si>
  <si>
    <t>96930440-6_3804</t>
  </si>
  <si>
    <t>76111152-3_3805</t>
  </si>
  <si>
    <t>99592350-5_3809</t>
  </si>
  <si>
    <t>96930090-7_3806</t>
  </si>
  <si>
    <t>96930440-6_3803</t>
  </si>
  <si>
    <t>96930440-6_3802</t>
  </si>
  <si>
    <t>96930440-6_3812</t>
  </si>
  <si>
    <t>76000605-K_3813</t>
  </si>
  <si>
    <t>96930440-6_3814</t>
  </si>
  <si>
    <t>96930440-6_3815</t>
  </si>
  <si>
    <t>77312177-K_3816</t>
  </si>
  <si>
    <t>77312177-K_3817</t>
  </si>
  <si>
    <t>96930440-6_3818</t>
  </si>
  <si>
    <t>77900279-9_3819</t>
  </si>
  <si>
    <t>77540637-2_3820</t>
  </si>
  <si>
    <t>96930090-7_3821</t>
  </si>
  <si>
    <t>76234334-7_3822</t>
  </si>
  <si>
    <t>99592350-5_3823</t>
  </si>
  <si>
    <t>96930440-6_3824</t>
  </si>
  <si>
    <t>96930440-6_3825</t>
  </si>
  <si>
    <t>77410216-7_3826</t>
  </si>
  <si>
    <t>76995045-1_3827</t>
  </si>
  <si>
    <t>76869898-8_3828</t>
  </si>
  <si>
    <t>96930440-6_3829</t>
  </si>
  <si>
    <t>96930440-6_3830</t>
  </si>
  <si>
    <t>77190764-4_3831</t>
  </si>
  <si>
    <t>99592350-5_3832</t>
  </si>
  <si>
    <t>77900279-9_3833</t>
  </si>
  <si>
    <t>96930090-7_3834</t>
  </si>
  <si>
    <t>96930440-6_3835</t>
  </si>
  <si>
    <t>96930440-6_3836</t>
  </si>
  <si>
    <t>96930440-6_3837</t>
  </si>
  <si>
    <t>77125674-0_3838</t>
  </si>
  <si>
    <t>96930440-6_3839</t>
  </si>
  <si>
    <t>96930440-6_3840</t>
  </si>
  <si>
    <t>76000605-K_3841</t>
  </si>
  <si>
    <t>77410216-7_3842</t>
  </si>
  <si>
    <t>99592350-5_3843</t>
  </si>
  <si>
    <t>78627210-6_3844</t>
  </si>
  <si>
    <t>77613354-K_3845</t>
  </si>
  <si>
    <t>99592350-5_3846</t>
  </si>
  <si>
    <t>15683969-8_3872</t>
  </si>
  <si>
    <t>96930440-6_787</t>
  </si>
  <si>
    <t>77410216-7_788</t>
  </si>
  <si>
    <t>77410216-7_789</t>
  </si>
  <si>
    <t>99592350-5_790</t>
  </si>
  <si>
    <t>96930440-6_791</t>
  </si>
  <si>
    <t>55555555-5_792</t>
  </si>
  <si>
    <t>76086182-0</t>
  </si>
  <si>
    <t>BANCHETTO EIRL</t>
  </si>
  <si>
    <t>13/03/2025 16:52:03</t>
  </si>
  <si>
    <t>14/03/2025 17:01:37</t>
  </si>
  <si>
    <t>14/03/2025 17:01:36</t>
  </si>
  <si>
    <t>14/03/2025 14:07:18</t>
  </si>
  <si>
    <t>14/03/2025 14:27:05</t>
  </si>
  <si>
    <t>18/03/2025 12:53:16</t>
  </si>
  <si>
    <t>14/03/2025 14:34:47</t>
  </si>
  <si>
    <t>19/03/2025 17:55:01</t>
  </si>
  <si>
    <t>14/03/2025 14:41:45</t>
  </si>
  <si>
    <t>14/03/2025 15:31:52</t>
  </si>
  <si>
    <t>17/03/2025 11:07:33</t>
  </si>
  <si>
    <t>17/03/2025 11:12:18</t>
  </si>
  <si>
    <t>17/03/2025 12:09:43</t>
  </si>
  <si>
    <t>17/03/2025 16:04:53</t>
  </si>
  <si>
    <t>17/03/2025 12:52:00</t>
  </si>
  <si>
    <t>23/03/2025 21:44:57</t>
  </si>
  <si>
    <t>17/03/2025 17:24:37</t>
  </si>
  <si>
    <t>18/03/2025 14:20:15</t>
  </si>
  <si>
    <t>24/03/2025 16:29:02</t>
  </si>
  <si>
    <t>18/03/2025 14:28:59</t>
  </si>
  <si>
    <t>25/03/2025 14:33:27</t>
  </si>
  <si>
    <t>18/03/2025 15:16:58</t>
  </si>
  <si>
    <t>25/03/2025 08:03:14</t>
  </si>
  <si>
    <t>19/03/2025 11:10:27</t>
  </si>
  <si>
    <t>19/03/2025 11:17:22</t>
  </si>
  <si>
    <t>24/03/2025 11:27:38</t>
  </si>
  <si>
    <t>19/03/2025 11:58:33</t>
  </si>
  <si>
    <t>25/03/2025 11:43:50</t>
  </si>
  <si>
    <t>10382449-4</t>
  </si>
  <si>
    <t>DISTRIBUIDORA SPURA</t>
  </si>
  <si>
    <t>20/03/2025 09:05:26</t>
  </si>
  <si>
    <t>24/03/2025 11:52:35</t>
  </si>
  <si>
    <t>25/03/2025 11:45:32</t>
  </si>
  <si>
    <t>24/03/2025 11:56:39</t>
  </si>
  <si>
    <t>26/03/2025 16:37:41</t>
  </si>
  <si>
    <t>24/03/2025 12:01:15</t>
  </si>
  <si>
    <t>25/03/2025 16:51:04</t>
  </si>
  <si>
    <t>24/03/2025 19:16:06</t>
  </si>
  <si>
    <t>28/03/2025 13:13:18</t>
  </si>
  <si>
    <t>25/03/2025 09:57:41</t>
  </si>
  <si>
    <t>27/03/2025 09:20:45</t>
  </si>
  <si>
    <t>26/03/2025 10:56:51</t>
  </si>
  <si>
    <t>31/03/2025 17:13:18</t>
  </si>
  <si>
    <t>26/03/2025 11:14:57</t>
  </si>
  <si>
    <t>29/03/2025 18:31:22</t>
  </si>
  <si>
    <t>26/03/2025 11:22:29</t>
  </si>
  <si>
    <t>31/03/2025 12:37:29</t>
  </si>
  <si>
    <t>26/03/2025 11:27:11</t>
  </si>
  <si>
    <t>31/03/2025 19:41:53</t>
  </si>
  <si>
    <t>26/03/2025 11:37:38</t>
  </si>
  <si>
    <t>26/03/2025 14:04:24</t>
  </si>
  <si>
    <t>26/03/2025 16:26:37</t>
  </si>
  <si>
    <t>26/03/2025 16:38:38</t>
  </si>
  <si>
    <t>31/03/2025 18:08:42</t>
  </si>
  <si>
    <t>26/03/2025 16:47:58</t>
  </si>
  <si>
    <t>31/03/2025 17:46:44</t>
  </si>
  <si>
    <t>28/03/2025 09:21:52</t>
  </si>
  <si>
    <t>28/03/2025 10:44:27</t>
  </si>
  <si>
    <t>29/03/2025 20:20:07</t>
  </si>
  <si>
    <t>28/03/2025 12:17:29</t>
  </si>
  <si>
    <t>28/03/2025 21:16:45</t>
  </si>
  <si>
    <t>28/03/2025 12:28:13</t>
  </si>
  <si>
    <t>28/03/2025 16:21:59</t>
  </si>
  <si>
    <t>31/03/2025 20:27:28</t>
  </si>
  <si>
    <t>31/03/2025 12:32:33</t>
  </si>
  <si>
    <t>31/03/2025 13:14:40</t>
  </si>
  <si>
    <t>20/03/2025 18:51:46</t>
  </si>
  <si>
    <t>21/03/2025 16:25:26</t>
  </si>
  <si>
    <t>28/03/2025 12:35:42</t>
  </si>
  <si>
    <t>28/03/2025 16:32:20</t>
  </si>
  <si>
    <t>31/03/2025 13:35:17</t>
  </si>
  <si>
    <t>RCV_VENTA_77104844-7_202503</t>
  </si>
  <si>
    <t>77020724-K_3847</t>
  </si>
  <si>
    <t>77410216-7_3848</t>
  </si>
  <si>
    <t>77613354-K_3849</t>
  </si>
  <si>
    <t>96930440-6_3850</t>
  </si>
  <si>
    <t>96930440-6_3851</t>
  </si>
  <si>
    <t>96930090-7_3852</t>
  </si>
  <si>
    <t>76392445-9_3853</t>
  </si>
  <si>
    <t>76869898-8_3854</t>
  </si>
  <si>
    <t>76086182-0_3855</t>
  </si>
  <si>
    <t>77410216-7_3856</t>
  </si>
  <si>
    <t>96930440-6_3857</t>
  </si>
  <si>
    <t>96930440-6_3858</t>
  </si>
  <si>
    <t>15683969-8_3859</t>
  </si>
  <si>
    <t>77900279-9_3860</t>
  </si>
  <si>
    <t>76995045-1_3861</t>
  </si>
  <si>
    <t>77410216-7_3862</t>
  </si>
  <si>
    <t>96930440-6_3863</t>
  </si>
  <si>
    <t>96930440-6_3864</t>
  </si>
  <si>
    <t>77190764-4_3865</t>
  </si>
  <si>
    <t>77410216-7_3866</t>
  </si>
  <si>
    <t>77613354-K_3867</t>
  </si>
  <si>
    <t>96930090-7_3868</t>
  </si>
  <si>
    <t>96930440-6_3869</t>
  </si>
  <si>
    <t>96930440-6_3870</t>
  </si>
  <si>
    <t>76000605-K_3871</t>
  </si>
  <si>
    <t>77020724-K_3873</t>
  </si>
  <si>
    <t>77540637-2_3874</t>
  </si>
  <si>
    <t>77410216-7_3875</t>
  </si>
  <si>
    <t>77125674-0_3876</t>
  </si>
  <si>
    <t>77312177-K_3877</t>
  </si>
  <si>
    <t>96930440-6_3878</t>
  </si>
  <si>
    <t>96930440-6_3879</t>
  </si>
  <si>
    <t>78627210-6_3880</t>
  </si>
  <si>
    <t>77613354-K_3881</t>
  </si>
  <si>
    <t>77900279-9_3882</t>
  </si>
  <si>
    <t>77410216-7_3883</t>
  </si>
  <si>
    <t>10382449-4_3884</t>
  </si>
  <si>
    <t>77410216-7_3885</t>
  </si>
  <si>
    <t>96930090-7_3886</t>
  </si>
  <si>
    <t>76111152-3_3887</t>
  </si>
  <si>
    <t>96930440-6_3888</t>
  </si>
  <si>
    <t>76392445-9_3889</t>
  </si>
  <si>
    <t>77020724-K_3890</t>
  </si>
  <si>
    <t>76234334-7_3891</t>
  </si>
  <si>
    <t>77900279-9_3892</t>
  </si>
  <si>
    <t>77540637-2_3893</t>
  </si>
  <si>
    <t>76995045-1_3894</t>
  </si>
  <si>
    <t>76086182-0_3895</t>
  </si>
  <si>
    <t>15683969-8_3896</t>
  </si>
  <si>
    <t>96930440-6_3897</t>
  </si>
  <si>
    <t>96930440-6_3898</t>
  </si>
  <si>
    <t>76111152-3_3899</t>
  </si>
  <si>
    <t>78627210-6_3900</t>
  </si>
  <si>
    <t>76000605-K_3901</t>
  </si>
  <si>
    <t>76000605-K_3902</t>
  </si>
  <si>
    <t>76000605-K_3903</t>
  </si>
  <si>
    <t>8777274-8_3905</t>
  </si>
  <si>
    <t>96930440-6_3907</t>
  </si>
  <si>
    <t>77613354-K_793</t>
  </si>
  <si>
    <t>77312177-K_794</t>
  </si>
  <si>
    <t>76000605-K_795</t>
  </si>
  <si>
    <t>76000605-K_796</t>
  </si>
  <si>
    <t>96930440-6_797</t>
  </si>
  <si>
    <t>31/03/2025 11:49:07</t>
  </si>
  <si>
    <t>31/03/2025 12:47:42</t>
  </si>
  <si>
    <t>31/03/2025 13:25:25</t>
  </si>
  <si>
    <t>31/03/2025 13:36:01</t>
  </si>
  <si>
    <t>14/04/2025 17:30:32</t>
  </si>
  <si>
    <t>14/04/2025 00:02:45</t>
  </si>
  <si>
    <t>15/04/2025 12:06:01</t>
  </si>
  <si>
    <t>16/04/2025 10:10:07</t>
  </si>
  <si>
    <t>16/04/2025 16:04:33</t>
  </si>
  <si>
    <t>16/04/2025 15:46:50</t>
  </si>
  <si>
    <t>14/04/2025 14:53:32</t>
  </si>
  <si>
    <t>14/04/2025 12:20:15</t>
  </si>
  <si>
    <t>14/04/2025 11:14:12</t>
  </si>
  <si>
    <t>14/04/2025 11:25:45</t>
  </si>
  <si>
    <t>14/04/2025 12:03:37</t>
  </si>
  <si>
    <t>17/04/2025 17:20:45</t>
  </si>
  <si>
    <t>15/04/2025 10:19:23</t>
  </si>
  <si>
    <t>21/04/2025 16:15:28</t>
  </si>
  <si>
    <t>15/04/2025 13:35:21</t>
  </si>
  <si>
    <t>16/04/2025 12:13:27</t>
  </si>
  <si>
    <t>23/04/2025 08:04:05</t>
  </si>
  <si>
    <t>16/04/2025 12:19:56</t>
  </si>
  <si>
    <t>16/04/2025 15:58:01</t>
  </si>
  <si>
    <t>21/04/2025 17:04:22</t>
  </si>
  <si>
    <t>17/04/2025 12:01:25</t>
  </si>
  <si>
    <t>21/04/2025 12:12:34</t>
  </si>
  <si>
    <t>17/04/2025 12:10:16</t>
  </si>
  <si>
    <t>24/04/2025 11:49:51</t>
  </si>
  <si>
    <t>17/04/2025 13:48:42</t>
  </si>
  <si>
    <t>23/04/2025 18:02:42</t>
  </si>
  <si>
    <t>21/04/2025 10:10:31</t>
  </si>
  <si>
    <t>21/04/2025 12:12:44</t>
  </si>
  <si>
    <t>21/04/2025 12:19:30</t>
  </si>
  <si>
    <t>22/04/2025 22:24:11</t>
  </si>
  <si>
    <t>21/04/2025 15:35:04</t>
  </si>
  <si>
    <t>25/04/2025 16:37:10</t>
  </si>
  <si>
    <t>21/04/2025 15:59:45</t>
  </si>
  <si>
    <t>24/04/2025 17:22:26</t>
  </si>
  <si>
    <t>22/04/2025 10:09:48</t>
  </si>
  <si>
    <t>22/04/2025 17:49:30</t>
  </si>
  <si>
    <t>30/04/2025 17:46:40</t>
  </si>
  <si>
    <t>23/04/2025 10:21:57</t>
  </si>
  <si>
    <t>28/04/2025 18:01:44</t>
  </si>
  <si>
    <t>23/04/2025 11:13:00</t>
  </si>
  <si>
    <t>25/04/2025 11:38:50</t>
  </si>
  <si>
    <t>23/04/2025 14:23:32</t>
  </si>
  <si>
    <t>23/04/2025 21:10:41</t>
  </si>
  <si>
    <t>23/04/2025 14:26:28</t>
  </si>
  <si>
    <t>30/04/2025 17:46:41</t>
  </si>
  <si>
    <t>23/04/2025 16:54:46</t>
  </si>
  <si>
    <t>28/04/2025 17:39:56</t>
  </si>
  <si>
    <t>23/04/2025 17:06:50</t>
  </si>
  <si>
    <t>24/04/2025 11:34:47</t>
  </si>
  <si>
    <t>29/04/2025 08:57:34</t>
  </si>
  <si>
    <t>24/04/2025 13:27:05</t>
  </si>
  <si>
    <t>29/04/2025 19:31:34</t>
  </si>
  <si>
    <t>24/04/2025 16:08:08</t>
  </si>
  <si>
    <t>30/04/2025 18:23:07</t>
  </si>
  <si>
    <t>24/04/2025 16:25:55</t>
  </si>
  <si>
    <t>30/04/2025 18:02:49</t>
  </si>
  <si>
    <t>25/04/2025 13:54:52</t>
  </si>
  <si>
    <t>25/04/2025 14:23:38</t>
  </si>
  <si>
    <t>25/04/2025 15:14:55</t>
  </si>
  <si>
    <t>28/04/2025 11:21:20</t>
  </si>
  <si>
    <t>29/04/2025 09:38:44</t>
  </si>
  <si>
    <t>28/04/2025 11:44:41</t>
  </si>
  <si>
    <t>30/04/2025 15:31:54</t>
  </si>
  <si>
    <t>28/04/2025 13:25:16</t>
  </si>
  <si>
    <t>28/04/2025 18:10:47</t>
  </si>
  <si>
    <t>29/04/2025 20:44:52</t>
  </si>
  <si>
    <t>28/04/2025 18:16:27</t>
  </si>
  <si>
    <t>29/04/2025 20:46:02</t>
  </si>
  <si>
    <t>29/04/2025 10:03:59</t>
  </si>
  <si>
    <t>30/04/2025 19:47:16</t>
  </si>
  <si>
    <t>13/05/2025 09:54:54</t>
  </si>
  <si>
    <t>23/04/2025 13:07:14</t>
  </si>
  <si>
    <t>23/04/2025 16:52:39</t>
  </si>
  <si>
    <t>23/04/2025 17:03:06</t>
  </si>
  <si>
    <t>28/04/2025 16:41:56</t>
  </si>
  <si>
    <t>28/04/2025 16:43:43</t>
  </si>
  <si>
    <t>RCV_VENTA_77104844-7_202504</t>
  </si>
  <si>
    <t>76392445-9_3904</t>
  </si>
  <si>
    <t>77410216-7_3906</t>
  </si>
  <si>
    <t>96930440-6_3908</t>
  </si>
  <si>
    <t>96930440-6_3909</t>
  </si>
  <si>
    <t>77613354-K_3910</t>
  </si>
  <si>
    <t>96930090-7_3911</t>
  </si>
  <si>
    <t>77312177-K_3912</t>
  </si>
  <si>
    <t>77312177-K_3913</t>
  </si>
  <si>
    <t>77613354-K_3914</t>
  </si>
  <si>
    <t>96930440-6_3915</t>
  </si>
  <si>
    <t>77190764-4_3916</t>
  </si>
  <si>
    <t>77540637-2_3917</t>
  </si>
  <si>
    <t>77410216-7_3918</t>
  </si>
  <si>
    <t>77834033-K_3919</t>
  </si>
  <si>
    <t>76683782-4_3920</t>
  </si>
  <si>
    <t>77613354-K_3921</t>
  </si>
  <si>
    <t>77020724-K_3922</t>
  </si>
  <si>
    <t>96930440-6_3923</t>
  </si>
  <si>
    <t>96930440-6_3924</t>
  </si>
  <si>
    <t>76392445-9_3925</t>
  </si>
  <si>
    <t>76234334-7_3928</t>
  </si>
  <si>
    <t>77900279-9_3927</t>
  </si>
  <si>
    <t>99592350-5_3926</t>
  </si>
  <si>
    <t>10224488-5_3929</t>
  </si>
  <si>
    <t>77410216-7_3930</t>
  </si>
  <si>
    <t>96930440-6_3931</t>
  </si>
  <si>
    <t>96930440-6_3932</t>
  </si>
  <si>
    <t>96930440-6_3933</t>
  </si>
  <si>
    <t>96930440-6_3934</t>
  </si>
  <si>
    <t>96930440-6_3935</t>
  </si>
  <si>
    <t>96930440-6_3936</t>
  </si>
  <si>
    <t>96930090-7_3937</t>
  </si>
  <si>
    <t>96930440-6_3938</t>
  </si>
  <si>
    <t>96952720-0_3939</t>
  </si>
  <si>
    <t>77410216-7_3940</t>
  </si>
  <si>
    <t>77125674-0_3941</t>
  </si>
  <si>
    <t>76869898-8_3942</t>
  </si>
  <si>
    <t>96930440-6_3943</t>
  </si>
  <si>
    <t>96930440-6_3944</t>
  </si>
  <si>
    <t>77613354-K_3945</t>
  </si>
  <si>
    <t>78627210-6_3946</t>
  </si>
  <si>
    <t>96930090-7_3947</t>
  </si>
  <si>
    <t>96930440-6_3948</t>
  </si>
  <si>
    <t>77410216-7_3949</t>
  </si>
  <si>
    <t>76392445-9_3950</t>
  </si>
  <si>
    <t>96930440-6_3951</t>
  </si>
  <si>
    <t>76995045-1_3952</t>
  </si>
  <si>
    <t>15683969-8_3953</t>
  </si>
  <si>
    <t>76234334-7_3954</t>
  </si>
  <si>
    <t>96930440-6_3955</t>
  </si>
  <si>
    <t>76111152-3_3956</t>
  </si>
  <si>
    <t>8777274-8_3957</t>
  </si>
  <si>
    <t>77312177-K_3958</t>
  </si>
  <si>
    <t>96930440-6_3959</t>
  </si>
  <si>
    <t>77900279-9_3960</t>
  </si>
  <si>
    <t>78627210-6_3961</t>
  </si>
  <si>
    <t>77312177-K_3962</t>
  </si>
  <si>
    <t>96930440-6_3963</t>
  </si>
  <si>
    <t>96930440-6_3964</t>
  </si>
  <si>
    <t>96930090-7_3965</t>
  </si>
  <si>
    <t>99592350-5_3966</t>
  </si>
  <si>
    <t>96930440-6_3967</t>
  </si>
  <si>
    <t>96930440-6_3968</t>
  </si>
  <si>
    <t>76000605-K_3969</t>
  </si>
  <si>
    <t>77410216-7_3970</t>
  </si>
  <si>
    <t>77900279-9_3971</t>
  </si>
  <si>
    <t>77020724-K_3972</t>
  </si>
  <si>
    <t>77540637-2_3973</t>
  </si>
  <si>
    <t>96930440-6_3974</t>
  </si>
  <si>
    <t>96930440-6_3975</t>
  </si>
  <si>
    <t>76000605-K_3976</t>
  </si>
  <si>
    <t>96930440-6_4010</t>
  </si>
  <si>
    <t>77312177-K_798</t>
  </si>
  <si>
    <t>96930440-6_799</t>
  </si>
  <si>
    <t>96930440-6_800</t>
  </si>
  <si>
    <t>96930440-6_801</t>
  </si>
  <si>
    <t>96930440-6_802</t>
  </si>
  <si>
    <t>99592350-5_803</t>
  </si>
  <si>
    <t>96930440-6_804</t>
  </si>
  <si>
    <t>96930440-6_805</t>
  </si>
  <si>
    <t>96930440-6_806</t>
  </si>
  <si>
    <t>96930440-6_807</t>
  </si>
  <si>
    <t>96930440-6_808</t>
  </si>
  <si>
    <t>96952720-0_809</t>
  </si>
  <si>
    <t>78627210-6_810</t>
  </si>
  <si>
    <t>96930440-6_811</t>
  </si>
  <si>
    <t>96930440-6_812</t>
  </si>
  <si>
    <t>96930440-6_813</t>
  </si>
  <si>
    <t>96930440-6_814</t>
  </si>
  <si>
    <t>30/04/2025 12:05:53</t>
  </si>
  <si>
    <t>13/05/2025 09:19:11</t>
  </si>
  <si>
    <t>13/05/2025 15:34:09</t>
  </si>
  <si>
    <t>7606631-0</t>
  </si>
  <si>
    <t>CRISTINA TAPIA</t>
  </si>
  <si>
    <t>16/05/2025 10:24:18</t>
  </si>
  <si>
    <t>14/05/2025 13:07:32</t>
  </si>
  <si>
    <t>PAN STAR CHILE SPA</t>
  </si>
  <si>
    <t>16/05/2025 11:23:25</t>
  </si>
  <si>
    <t>13/05/2025 12:18:02</t>
  </si>
  <si>
    <t>19/05/2025 10:21:53</t>
  </si>
  <si>
    <t>13/05/2025 12:57:45</t>
  </si>
  <si>
    <t>20/05/2025 17:19:39</t>
  </si>
  <si>
    <t>13/05/2025 13:16:47</t>
  </si>
  <si>
    <t>20/05/2025 17:19:40</t>
  </si>
  <si>
    <t>14/05/2025 10:03:55</t>
  </si>
  <si>
    <t>14/05/2025 10:06:16</t>
  </si>
  <si>
    <t>14/05/2025 10:46:24</t>
  </si>
  <si>
    <t>14/05/2025 12:53:34</t>
  </si>
  <si>
    <t>14/05/2025 11:00:18</t>
  </si>
  <si>
    <t>14/05/2025 12:41:10</t>
  </si>
  <si>
    <t>14/05/2025 12:57:18</t>
  </si>
  <si>
    <t>20/05/2025 17:53:12</t>
  </si>
  <si>
    <t>16/05/2025 09:15:04</t>
  </si>
  <si>
    <t>22/05/2025 14:21:10</t>
  </si>
  <si>
    <t>16/05/2025 13:06:02</t>
  </si>
  <si>
    <t>16/05/2025 16:26:39</t>
  </si>
  <si>
    <t>18/05/2025 18:57:55</t>
  </si>
  <si>
    <t>16/05/2025 16:40:53</t>
  </si>
  <si>
    <t>18/05/2025 18:57:56</t>
  </si>
  <si>
    <t>16/05/2025 16:47:59</t>
  </si>
  <si>
    <t>19/05/2025 12:05:27</t>
  </si>
  <si>
    <t>19/05/2025 15:11:28</t>
  </si>
  <si>
    <t>19/05/2025 13:55:03</t>
  </si>
  <si>
    <t>20/05/2025 12:23:55</t>
  </si>
  <si>
    <t>19/05/2025 14:16:33</t>
  </si>
  <si>
    <t>19/05/2025 14:20:58</t>
  </si>
  <si>
    <t>19/05/2025 14:23:12</t>
  </si>
  <si>
    <t>19/05/2025 14:29:49</t>
  </si>
  <si>
    <t>26/05/2025 14:41:43</t>
  </si>
  <si>
    <t>20/05/2025 09:10:41</t>
  </si>
  <si>
    <t>20/05/2025 10:57:31</t>
  </si>
  <si>
    <t>26/05/2025 11:45:27</t>
  </si>
  <si>
    <t>20/05/2025 11:35:26</t>
  </si>
  <si>
    <t>22/05/2025 10:11:09</t>
  </si>
  <si>
    <t>22/05/2025 10:26:39</t>
  </si>
  <si>
    <t>22/05/2025 10:43:09</t>
  </si>
  <si>
    <t>27/05/2025 12:05:51</t>
  </si>
  <si>
    <t>22/05/2025 15:14:17</t>
  </si>
  <si>
    <t>23/05/2025 12:58:01</t>
  </si>
  <si>
    <t>28/05/2025 12:22:36</t>
  </si>
  <si>
    <t>23/05/2025 13:14:56</t>
  </si>
  <si>
    <t>28/05/2025 16:02:16</t>
  </si>
  <si>
    <t>23/05/2025 13:42:45</t>
  </si>
  <si>
    <t>28/05/2025 15:14:45</t>
  </si>
  <si>
    <t>23/05/2025 13:43:05</t>
  </si>
  <si>
    <t>29/05/2025 20:43:26</t>
  </si>
  <si>
    <t>23/05/2025 14:07:10</t>
  </si>
  <si>
    <t>26/05/2025 13:01:05</t>
  </si>
  <si>
    <t>23/05/2025 14:16:16</t>
  </si>
  <si>
    <t>26/05/2025 13:01:24</t>
  </si>
  <si>
    <t>23/05/2025 16:25:19</t>
  </si>
  <si>
    <t>23/05/2025 17:20:10</t>
  </si>
  <si>
    <t>30/05/2025 12:14:25</t>
  </si>
  <si>
    <t>26/05/2025 10:38:00</t>
  </si>
  <si>
    <t>26/05/2025 11:54:45</t>
  </si>
  <si>
    <t>26/05/2025 12:44:51</t>
  </si>
  <si>
    <t>26/05/2025 11:58:06</t>
  </si>
  <si>
    <t>76865798-K</t>
  </si>
  <si>
    <t>DISTRIBUIDORA Y COMERCIALIZADORA COPPELIA SPA</t>
  </si>
  <si>
    <t>26/05/2025 13:25:21</t>
  </si>
  <si>
    <t>30/05/2025 12:51:04</t>
  </si>
  <si>
    <t>26/05/2025 13:31:35</t>
  </si>
  <si>
    <t>30/05/2025 09:48:32</t>
  </si>
  <si>
    <t>26/05/2025 13:35:50</t>
  </si>
  <si>
    <t>26/05/2025 13:38:49</t>
  </si>
  <si>
    <t>30/05/2025 15:48:58</t>
  </si>
  <si>
    <t>26/05/2025 14:17:11</t>
  </si>
  <si>
    <t>30/05/2025 12:27:54</t>
  </si>
  <si>
    <t>77266566-0</t>
  </si>
  <si>
    <t>LAGARDERE TRAVEL RETAIL FOOD SERVICES CHILE SPA.</t>
  </si>
  <si>
    <t>26/05/2025 15:51:28</t>
  </si>
  <si>
    <t>28/05/2025 09:09:58</t>
  </si>
  <si>
    <t>26/05/2025 17:04:05</t>
  </si>
  <si>
    <t>29/05/2025 09:07:40</t>
  </si>
  <si>
    <t>27/05/2025 10:09:01</t>
  </si>
  <si>
    <t>27/05/2025 11:04:04</t>
  </si>
  <si>
    <t>27/05/2025 12:09:03</t>
  </si>
  <si>
    <t>28/05/2025 13:05:32</t>
  </si>
  <si>
    <t>29/05/2025 11:04:36</t>
  </si>
  <si>
    <t>28/05/2025 13:57:35</t>
  </si>
  <si>
    <t>28/05/2025 14:07:58</t>
  </si>
  <si>
    <t>29/05/2025 11:28:31</t>
  </si>
  <si>
    <t>28/05/2025 14:15:37</t>
  </si>
  <si>
    <t>31/05/2025 20:37:03</t>
  </si>
  <si>
    <t>28/05/2025 14:21:19</t>
  </si>
  <si>
    <t>28/05/2025 15:27:20</t>
  </si>
  <si>
    <t>31/05/2025 18:49:04</t>
  </si>
  <si>
    <t>28/05/2025 15:37:33</t>
  </si>
  <si>
    <t>29/05/2025 19:45:20</t>
  </si>
  <si>
    <t>29/05/2025 19:51:07</t>
  </si>
  <si>
    <t>30/05/2025 10:39:23</t>
  </si>
  <si>
    <t>29/05/2025 19:58:31</t>
  </si>
  <si>
    <t>31/05/2025 09:52:08</t>
  </si>
  <si>
    <t>30/05/2025 16:49:38</t>
  </si>
  <si>
    <t>13/05/2025 12:11:19</t>
  </si>
  <si>
    <t>13/05/2025 13:13:18</t>
  </si>
  <si>
    <t>23/05/2025 17:38:55</t>
  </si>
  <si>
    <t>26/05/2025 17:29:16</t>
  </si>
  <si>
    <t>26/05/2025 18:42:22</t>
  </si>
  <si>
    <t>27/05/2025 18:24:22</t>
  </si>
  <si>
    <t>28/05/2025 13:15:35</t>
  </si>
  <si>
    <t>28/05/2025 16:46:50</t>
  </si>
  <si>
    <t>29/05/2025 18:55:35</t>
  </si>
  <si>
    <t>29/05/2025 18:57:31</t>
  </si>
  <si>
    <t>29/05/2025 19:00:15</t>
  </si>
  <si>
    <t>30/05/2025 12:15:20</t>
  </si>
  <si>
    <t>RCV_VENTA_77104844-7_202505</t>
  </si>
  <si>
    <t>96930090-7_3977</t>
  </si>
  <si>
    <t>96930440-6_3978</t>
  </si>
  <si>
    <t>96930440-6_3979</t>
  </si>
  <si>
    <t>76111152-3_3980</t>
  </si>
  <si>
    <t>76086182-0_3981</t>
  </si>
  <si>
    <t>76995045-1_3982</t>
  </si>
  <si>
    <t>77190764-4_3983</t>
  </si>
  <si>
    <t>76392445-9_3984</t>
  </si>
  <si>
    <t>77410216-7_3985</t>
  </si>
  <si>
    <t>76000605-K_3986</t>
  </si>
  <si>
    <t>96930440-6_3987</t>
  </si>
  <si>
    <t>78627210-6_3988</t>
  </si>
  <si>
    <t>96930090-7_3989</t>
  </si>
  <si>
    <t>78627210-6_3990</t>
  </si>
  <si>
    <t>10224488-5_3991</t>
  </si>
  <si>
    <t>96930090-7_3992</t>
  </si>
  <si>
    <t>76086182-0_3993</t>
  </si>
  <si>
    <t>10224488-5_3994</t>
  </si>
  <si>
    <t>77613354-K_3995</t>
  </si>
  <si>
    <t>77540637-2_3996</t>
  </si>
  <si>
    <t>77834033-K_3997</t>
  </si>
  <si>
    <t>77834033-K_3998</t>
  </si>
  <si>
    <t>7606631-0_3999</t>
  </si>
  <si>
    <t>99592350-5_4000</t>
  </si>
  <si>
    <t>96930440-6_4001</t>
  </si>
  <si>
    <t>76392445-9_4002</t>
  </si>
  <si>
    <t>76995045-1_4003</t>
  </si>
  <si>
    <t>76000605-K_4004</t>
  </si>
  <si>
    <t>77104844-7_4005</t>
  </si>
  <si>
    <t>77540637-2_4006</t>
  </si>
  <si>
    <t>76000605-K_4007</t>
  </si>
  <si>
    <t>96930440-6_4008</t>
  </si>
  <si>
    <t>96930440-6_4009</t>
  </si>
  <si>
    <t>99592350-5_4011</t>
  </si>
  <si>
    <t>78627210-6_4012</t>
  </si>
  <si>
    <t>78627210-6_4013</t>
  </si>
  <si>
    <t>77020724-K_4014</t>
  </si>
  <si>
    <t>77020724-K_4015</t>
  </si>
  <si>
    <t>77410216-7_4016</t>
  </si>
  <si>
    <t>96930090-7_4017</t>
  </si>
  <si>
    <t>77613354-K_4018</t>
  </si>
  <si>
    <t>76111152-3_4019</t>
  </si>
  <si>
    <t>96930440-6_4020</t>
  </si>
  <si>
    <t>76392445-9_4021</t>
  </si>
  <si>
    <t>76016721-5_4022</t>
  </si>
  <si>
    <t>76016721-5_4023</t>
  </si>
  <si>
    <t>76016721-5_4024</t>
  </si>
  <si>
    <t>77190764-4_4025</t>
  </si>
  <si>
    <t>77900279-9_4026</t>
  </si>
  <si>
    <t>77900279-9_4027</t>
  </si>
  <si>
    <t>8777274-8_4028</t>
  </si>
  <si>
    <t>8777274-8_4029</t>
  </si>
  <si>
    <t>99592350-5_4030</t>
  </si>
  <si>
    <t>76995045-1_4031</t>
  </si>
  <si>
    <t>76000605-K_4032</t>
  </si>
  <si>
    <t>76995045-1_4033</t>
  </si>
  <si>
    <t>76086182-0_4034</t>
  </si>
  <si>
    <t>76086182-0_4035</t>
  </si>
  <si>
    <t>76392445-9_4036</t>
  </si>
  <si>
    <t>76086182-0_4037</t>
  </si>
  <si>
    <t>96930440-6_4038</t>
  </si>
  <si>
    <t>96930440-6_4039</t>
  </si>
  <si>
    <t>77312177-K_4040</t>
  </si>
  <si>
    <t>78627210-6_4041</t>
  </si>
  <si>
    <t>77410216-7_4042</t>
  </si>
  <si>
    <t>77410216-7_4043</t>
  </si>
  <si>
    <t>77104844-7_4044</t>
  </si>
  <si>
    <t>96930090-7_4045</t>
  </si>
  <si>
    <t>96930090-7_4046</t>
  </si>
  <si>
    <t>77900279-9_4047</t>
  </si>
  <si>
    <t>77900279-9_4048</t>
  </si>
  <si>
    <t>76865798-K_4049</t>
  </si>
  <si>
    <t>77020724-K_4050</t>
  </si>
  <si>
    <t>77020724-K_4051</t>
  </si>
  <si>
    <t>77540637-2_4052</t>
  </si>
  <si>
    <t>96930440-6_4053</t>
  </si>
  <si>
    <t>77266566-0_4054</t>
  </si>
  <si>
    <t>77266566-0_4055</t>
  </si>
  <si>
    <t>77104844-7_4056</t>
  </si>
  <si>
    <t>99592350-5_4057</t>
  </si>
  <si>
    <t>96930440-6_4058</t>
  </si>
  <si>
    <t>77900279-9_4059</t>
  </si>
  <si>
    <t>77104844-7_4060</t>
  </si>
  <si>
    <t>77410216-7_4061</t>
  </si>
  <si>
    <t>77613354-K_4062</t>
  </si>
  <si>
    <t>77613354-K_4063</t>
  </si>
  <si>
    <t>76869898-8_4064</t>
  </si>
  <si>
    <t>77020724-K_4065</t>
  </si>
  <si>
    <t>78627210-6_4066</t>
  </si>
  <si>
    <t>78627210-6_4067</t>
  </si>
  <si>
    <t>78627210-6_4068</t>
  </si>
  <si>
    <t>96930440-6_4074</t>
  </si>
  <si>
    <t>77540637-2_815</t>
  </si>
  <si>
    <t>96930090-7_816</t>
  </si>
  <si>
    <t>77834033-K_817</t>
  </si>
  <si>
    <t>76086182-0_818</t>
  </si>
  <si>
    <t>10224488-5_819</t>
  </si>
  <si>
    <t>96930440-6_820</t>
  </si>
  <si>
    <t>99592350-5_821</t>
  </si>
  <si>
    <t>77410216-7_822</t>
  </si>
  <si>
    <t>76086182-0_823</t>
  </si>
  <si>
    <t>76086182-0_824</t>
  </si>
  <si>
    <t>76000605-K_825</t>
  </si>
  <si>
    <t>77266566-0_826</t>
  </si>
  <si>
    <t>96930440-6_827</t>
  </si>
  <si>
    <t>96930440-6_828</t>
  </si>
  <si>
    <t>78627210-6_829</t>
  </si>
  <si>
    <t>78627210-6_830</t>
  </si>
  <si>
    <t>78627210-6_831</t>
  </si>
  <si>
    <t>96930440-6_832</t>
  </si>
  <si>
    <t>30/05/2025 12:45:09</t>
  </si>
  <si>
    <t>30/05/2025 12:51:27</t>
  </si>
  <si>
    <t>30/05/2025 16:20:43</t>
  </si>
  <si>
    <t>30/05/2025 16:22:36</t>
  </si>
  <si>
    <t>30/05/2025 16:27:57</t>
  </si>
  <si>
    <t>30/05/2025 16:52:01</t>
  </si>
  <si>
    <t>77915774-1</t>
  </si>
  <si>
    <t>PANDORA BANQUETERIA SPA</t>
  </si>
  <si>
    <t>13/06/2025 10:17:23</t>
  </si>
  <si>
    <t>13/06/2025 12:30:55</t>
  </si>
  <si>
    <t>13/06/2025 09:49:28</t>
  </si>
  <si>
    <t>13/06/2025 12:37:18</t>
  </si>
  <si>
    <t>16/06/2025 09:05:37</t>
  </si>
  <si>
    <t>13/06/2025 20:38:15</t>
  </si>
  <si>
    <t>19/06/2025 08:02:43</t>
  </si>
  <si>
    <t>13/06/2025 10:24:27</t>
  </si>
  <si>
    <t>18/06/2025 13:30:28</t>
  </si>
  <si>
    <t>13/06/2025 12:02:37</t>
  </si>
  <si>
    <t>13/06/2025 12:32:33</t>
  </si>
  <si>
    <t>13/06/2025 12:46:34</t>
  </si>
  <si>
    <t>16/06/2025 14:41:56</t>
  </si>
  <si>
    <t>16/06/2025 12:41:32</t>
  </si>
  <si>
    <t>24/06/2025 12:15:12</t>
  </si>
  <si>
    <t>16/06/2025 12:49:05</t>
  </si>
  <si>
    <t>16/06/2025 12:52:34</t>
  </si>
  <si>
    <t>19/06/2025 10:01:49</t>
  </si>
  <si>
    <t>16/06/2025 13:02:39</t>
  </si>
  <si>
    <t>16/06/2025 13:05:34</t>
  </si>
  <si>
    <t>17/06/2025 08:07:53</t>
  </si>
  <si>
    <t>17/06/2025 10:51:10</t>
  </si>
  <si>
    <t>23/06/2025 12:36:22</t>
  </si>
  <si>
    <t>17/06/2025 10:59:49</t>
  </si>
  <si>
    <t>17/06/2025 11:14:33</t>
  </si>
  <si>
    <t>17/06/2025 14:18:17</t>
  </si>
  <si>
    <t>18/06/2025 13:22:39</t>
  </si>
  <si>
    <t>17/06/2025 14:47:09</t>
  </si>
  <si>
    <t>17/06/2025 17:47:33</t>
  </si>
  <si>
    <t>17/06/2025 20:40:02</t>
  </si>
  <si>
    <t>18/06/2025 22:22:07</t>
  </si>
  <si>
    <t>23/06/2025 10:28:17</t>
  </si>
  <si>
    <t>18/06/2025 22:25:01</t>
  </si>
  <si>
    <t>19/06/2025 13:49:27</t>
  </si>
  <si>
    <t>19/06/2025 12:56:40</t>
  </si>
  <si>
    <t>25/06/2025 11:21:49</t>
  </si>
  <si>
    <t>19/06/2025 13:00:30</t>
  </si>
  <si>
    <t>23/06/2025 14:24:21</t>
  </si>
  <si>
    <t>30/06/2025 20:59:38</t>
  </si>
  <si>
    <t>23/06/2025 14:27:06</t>
  </si>
  <si>
    <t>24/06/2025 11:46:23</t>
  </si>
  <si>
    <t>24/06/2025 12:19:43</t>
  </si>
  <si>
    <t>25/06/2025 20:25:15</t>
  </si>
  <si>
    <t>24/06/2025 15:13:17</t>
  </si>
  <si>
    <t>30/06/2025 10:00:03</t>
  </si>
  <si>
    <t>24/06/2025 15:19:53</t>
  </si>
  <si>
    <t>26/06/2025 17:59:43</t>
  </si>
  <si>
    <t>24/06/2025 15:24:19</t>
  </si>
  <si>
    <t>30/06/2025 15:50:34</t>
  </si>
  <si>
    <t>24/06/2025 15:29:00</t>
  </si>
  <si>
    <t>30/06/2025 15:50:35</t>
  </si>
  <si>
    <t>76410247-9</t>
  </si>
  <si>
    <t>LA TARTA SPA</t>
  </si>
  <si>
    <t>24/06/2025 15:44:08</t>
  </si>
  <si>
    <t>25/06/2025 09:41:39</t>
  </si>
  <si>
    <t>24/06/2025 16:48:28</t>
  </si>
  <si>
    <t>25/06/2025 09:41:37</t>
  </si>
  <si>
    <t>24/06/2025 17:39:02</t>
  </si>
  <si>
    <t>25/06/2025 13:50:27</t>
  </si>
  <si>
    <t>25/06/2025 14:16:15</t>
  </si>
  <si>
    <t>25/06/2025 14:26:16</t>
  </si>
  <si>
    <t>26/06/2025 08:35:19</t>
  </si>
  <si>
    <t>26/06/2025 17:11:37</t>
  </si>
  <si>
    <t>26/06/2025 17:55:10</t>
  </si>
  <si>
    <t>27/06/2025 09:41:20</t>
  </si>
  <si>
    <t>27/06/2025 13:24:28</t>
  </si>
  <si>
    <t>27/06/2025 13:41:17</t>
  </si>
  <si>
    <t>27/06/2025 13:44:56</t>
  </si>
  <si>
    <t>27/06/2025 15:26:49</t>
  </si>
  <si>
    <t>30/06/2025 12:10:17</t>
  </si>
  <si>
    <t>30/06/2025 13:05:57</t>
  </si>
  <si>
    <t>30/06/2025 20:59:37</t>
  </si>
  <si>
    <t>30/06/2025 13:11:10</t>
  </si>
  <si>
    <t>30/06/2025 13:14:34</t>
  </si>
  <si>
    <t>30/06/2025 13:17:37</t>
  </si>
  <si>
    <t>30/06/2025 18:14:18</t>
  </si>
  <si>
    <t>30/06/2025 17:25:58</t>
  </si>
  <si>
    <t>13/06/2025 10:05:37</t>
  </si>
  <si>
    <t>13/06/2025 11:18:53</t>
  </si>
  <si>
    <t>13/06/2025 13:18:17</t>
  </si>
  <si>
    <t>17/06/2025 17:36:31</t>
  </si>
  <si>
    <t>23/06/2025 14:51:46</t>
  </si>
  <si>
    <t>26/06/2025 13:05:51</t>
  </si>
  <si>
    <t>RCV_VENTA_77104844-7_202506</t>
  </si>
  <si>
    <t>96930440-6_4069</t>
  </si>
  <si>
    <t>96930440-6_4070</t>
  </si>
  <si>
    <t>76111152-3_4071</t>
  </si>
  <si>
    <t>76392445-9_4072</t>
  </si>
  <si>
    <t>77190764-4_4073</t>
  </si>
  <si>
    <t>76995045-1_4075</t>
  </si>
  <si>
    <t>76995045-1_4076</t>
  </si>
  <si>
    <t>96930090-7_4077</t>
  </si>
  <si>
    <t>96930090-7_4078</t>
  </si>
  <si>
    <t>76234334-7_4079</t>
  </si>
  <si>
    <t>77266566-0_4080</t>
  </si>
  <si>
    <t>76000605-K_4081</t>
  </si>
  <si>
    <t>76000605-K_4082</t>
  </si>
  <si>
    <t>96930440-6_4083</t>
  </si>
  <si>
    <t>96930440-6_4084</t>
  </si>
  <si>
    <t>77915774-1_4085</t>
  </si>
  <si>
    <t>76234334-7_4086</t>
  </si>
  <si>
    <t>77190764-4_4087</t>
  </si>
  <si>
    <t>76086182-0_4088</t>
  </si>
  <si>
    <t>77020724-K_4089</t>
  </si>
  <si>
    <t>77613354-K_4090</t>
  </si>
  <si>
    <t>77410216-7_4091</t>
  </si>
  <si>
    <t>78627210-6_4092</t>
  </si>
  <si>
    <t>96930440-6_4093</t>
  </si>
  <si>
    <t>96930090-7_4094</t>
  </si>
  <si>
    <t>99592350-5_4095</t>
  </si>
  <si>
    <t>76392445-9_4096</t>
  </si>
  <si>
    <t>15683969-8_4097</t>
  </si>
  <si>
    <t>96930440-6_4098</t>
  </si>
  <si>
    <t>96930440-6_4099</t>
  </si>
  <si>
    <t>96930440-6_4100</t>
  </si>
  <si>
    <t>77266566-0_4101</t>
  </si>
  <si>
    <t>77104844-7_4102</t>
  </si>
  <si>
    <t>76869898-8_4103</t>
  </si>
  <si>
    <t>77410216-7_4104</t>
  </si>
  <si>
    <t>96930090-7_4105</t>
  </si>
  <si>
    <t>78627210-6_4106</t>
  </si>
  <si>
    <t>78627210-6_4107</t>
  </si>
  <si>
    <t>96930440-6_4108</t>
  </si>
  <si>
    <t>77312177-K_4109</t>
  </si>
  <si>
    <t>96930440-6_4110</t>
  </si>
  <si>
    <t>76392445-9_4111</t>
  </si>
  <si>
    <t>76995045-1_4112</t>
  </si>
  <si>
    <t>99592350-5_4113</t>
  </si>
  <si>
    <t>77613354-K_4114</t>
  </si>
  <si>
    <t>77834033-K_4115</t>
  </si>
  <si>
    <t>77020724-K_4116</t>
  </si>
  <si>
    <t>96930440-6_4117</t>
  </si>
  <si>
    <t>96930440-6_4118</t>
  </si>
  <si>
    <t>96930440-6_4119</t>
  </si>
  <si>
    <t>77410216-7_4120</t>
  </si>
  <si>
    <t>77540637-2_4121</t>
  </si>
  <si>
    <t>78627210-6_4122</t>
  </si>
  <si>
    <t>77900279-9_4123</t>
  </si>
  <si>
    <t>77266566-0_4124</t>
  </si>
  <si>
    <t>96930440-6_4125</t>
  </si>
  <si>
    <t>96930440-6_4126</t>
  </si>
  <si>
    <t>77410216-7_4127</t>
  </si>
  <si>
    <t>76392445-9_4128</t>
  </si>
  <si>
    <t>77104844-7_4129</t>
  </si>
  <si>
    <t>78627210-6_4130</t>
  </si>
  <si>
    <t>99592350-5_4131</t>
  </si>
  <si>
    <t>76111152-3_4132</t>
  </si>
  <si>
    <t>96930440-6_4133</t>
  </si>
  <si>
    <t>96930440-6_4134</t>
  </si>
  <si>
    <t>76410247-9_4135</t>
  </si>
  <si>
    <t>76410247-9_4136</t>
  </si>
  <si>
    <t>77410216-7_4137</t>
  </si>
  <si>
    <t>7606631-0_4138</t>
  </si>
  <si>
    <t>7606631-0_4139</t>
  </si>
  <si>
    <t>77190764-4_4140</t>
  </si>
  <si>
    <t>76000605-K_4141</t>
  </si>
  <si>
    <t>77312177-K_4142</t>
  </si>
  <si>
    <t>96930440-6_4143</t>
  </si>
  <si>
    <t>96930440-6_4144</t>
  </si>
  <si>
    <t>76111152-3_4145</t>
  </si>
  <si>
    <t>76410247-9_4146</t>
  </si>
  <si>
    <t>77410216-7_4147</t>
  </si>
  <si>
    <t>76392445-9_4148</t>
  </si>
  <si>
    <t>76995045-1_4149</t>
  </si>
  <si>
    <t>76234334-7_4150</t>
  </si>
  <si>
    <t>77266566-0_4151</t>
  </si>
  <si>
    <t>76234334-7_833</t>
  </si>
  <si>
    <t>96930440-6_834</t>
  </si>
  <si>
    <t>96930090-7_835</t>
  </si>
  <si>
    <t>96930440-6_862</t>
  </si>
  <si>
    <t>78627210-6_863</t>
  </si>
  <si>
    <t>96930440-6_864</t>
  </si>
  <si>
    <t>77104844-7_865</t>
  </si>
  <si>
    <t>78627210-6_866</t>
  </si>
  <si>
    <t>77410216-7_867</t>
  </si>
  <si>
    <t>76410247-9_868</t>
  </si>
  <si>
    <t>14/07/2025 13:14:54</t>
  </si>
  <si>
    <t>15/07/2025 11:37:27</t>
  </si>
  <si>
    <t>14/07/2025 12:12:17</t>
  </si>
  <si>
    <t>17/07/2025 09:22:21</t>
  </si>
  <si>
    <t>14/07/2025 12:26:53</t>
  </si>
  <si>
    <t>14/07/2025 12:54:44</t>
  </si>
  <si>
    <t>14/07/2025 13:23:17</t>
  </si>
  <si>
    <t>14/07/2025 12:55:51</t>
  </si>
  <si>
    <t>15/07/2025 12:56:14</t>
  </si>
  <si>
    <t>14/07/2025 16:38:21</t>
  </si>
  <si>
    <t>15/07/2025 21:43:48</t>
  </si>
  <si>
    <t>15/07/2025 13:16:28</t>
  </si>
  <si>
    <t>21/07/2025 11:26:24</t>
  </si>
  <si>
    <t>15/07/2025 13:24:42</t>
  </si>
  <si>
    <t>15/07/2025 16:26:19</t>
  </si>
  <si>
    <t>15/07/2025 16:50:24</t>
  </si>
  <si>
    <t>22/07/2025 08:48:04</t>
  </si>
  <si>
    <t>17/07/2025 12:35:09</t>
  </si>
  <si>
    <t>17/07/2025 12:44:40</t>
  </si>
  <si>
    <t>18/07/2025 15:59:00</t>
  </si>
  <si>
    <t>18/07/2025 06:12:15</t>
  </si>
  <si>
    <t>23/07/2025 16:28:25</t>
  </si>
  <si>
    <t>18/07/2025 06:57:13</t>
  </si>
  <si>
    <t>18/07/2025 06:57:39</t>
  </si>
  <si>
    <t>18/07/2025 08:49:25</t>
  </si>
  <si>
    <t>18/07/2025 14:08:07</t>
  </si>
  <si>
    <t>25/07/2025 14:20:51</t>
  </si>
  <si>
    <t>21/07/2025 12:20:51</t>
  </si>
  <si>
    <t>28/07/2025 17:53:46</t>
  </si>
  <si>
    <t>21/07/2025 12:22:12</t>
  </si>
  <si>
    <t>24/07/2025 09:12:36</t>
  </si>
  <si>
    <t>21/07/2025 13:34:24</t>
  </si>
  <si>
    <t>22/07/2025 12:42:19</t>
  </si>
  <si>
    <t>21/07/2025 14:32:20</t>
  </si>
  <si>
    <t>28/07/2025 08:02:06</t>
  </si>
  <si>
    <t>21/07/2025 14:40:33</t>
  </si>
  <si>
    <t>21/07/2025 14:43:09</t>
  </si>
  <si>
    <t>21/07/2025 14:56:25</t>
  </si>
  <si>
    <t>23/07/2025 11:11:03</t>
  </si>
  <si>
    <t>24/07/2025 19:23:26</t>
  </si>
  <si>
    <t>23/07/2025 11:36:02</t>
  </si>
  <si>
    <t>30/07/2025 11:41:58</t>
  </si>
  <si>
    <t>23/07/2025 11:47:57</t>
  </si>
  <si>
    <t>30/07/2025 11:56:28</t>
  </si>
  <si>
    <t>23/07/2025 17:53:22</t>
  </si>
  <si>
    <t>24/07/2025 16:30:27</t>
  </si>
  <si>
    <t>29/07/2025 11:11:48</t>
  </si>
  <si>
    <t>25/07/2025 09:46:26</t>
  </si>
  <si>
    <t>25/07/2025 11:38:29</t>
  </si>
  <si>
    <t>25/07/2025 12:33:21</t>
  </si>
  <si>
    <t>30/07/2025 17:16:11</t>
  </si>
  <si>
    <t>25/07/2025 13:22:02</t>
  </si>
  <si>
    <t>25/07/2025 16:30:27</t>
  </si>
  <si>
    <t>25/07/2025 14:19:43</t>
  </si>
  <si>
    <t>28/07/2025 12:04:35</t>
  </si>
  <si>
    <t>25/07/2025 16:49:47</t>
  </si>
  <si>
    <t>30/07/2025 20:06:24</t>
  </si>
  <si>
    <t>26/07/2025 11:08:00</t>
  </si>
  <si>
    <t>30/07/2025 21:36:15</t>
  </si>
  <si>
    <t>26/07/2025 11:11:22</t>
  </si>
  <si>
    <t>30/07/2025 10:00:58</t>
  </si>
  <si>
    <t>28/07/2025 18:58:31</t>
  </si>
  <si>
    <t>28/07/2025 20:27:12</t>
  </si>
  <si>
    <t>29/07/2025 12:08:32</t>
  </si>
  <si>
    <t>31/07/2025 13:02:52</t>
  </si>
  <si>
    <t>30/07/2025 13:11:03</t>
  </si>
  <si>
    <t>30/07/2025 13:22:52</t>
  </si>
  <si>
    <t>31/07/2025 16:37:55</t>
  </si>
  <si>
    <t>30/07/2025 13:47:51</t>
  </si>
  <si>
    <t>30/07/2025 14:01:24</t>
  </si>
  <si>
    <t>30/07/2025 14:15:02</t>
  </si>
  <si>
    <t>30/07/2025 14:40:16</t>
  </si>
  <si>
    <t>30/07/2025 14:42:39</t>
  </si>
  <si>
    <t>31/07/2025 17:13:13</t>
  </si>
  <si>
    <t>31/07/2025 05:24:49</t>
  </si>
  <si>
    <t>31/07/2025 12:14:46</t>
  </si>
  <si>
    <t>31/07/2025 10:24:00</t>
  </si>
  <si>
    <t>31/07/2025 10:31:02</t>
  </si>
  <si>
    <t>31/07/2025 13:43:10</t>
  </si>
  <si>
    <t>31/07/2025 13:56:34</t>
  </si>
  <si>
    <t>31/07/2025 14:17:52</t>
  </si>
  <si>
    <t>31/07/2025 16:14:16</t>
  </si>
  <si>
    <t>14/07/2025 09:53:49</t>
  </si>
  <si>
    <t>15/07/2025 16:15:50</t>
  </si>
  <si>
    <t>21/07/2025 14:54:57</t>
  </si>
  <si>
    <t>22/07/2025 15:58:43</t>
  </si>
  <si>
    <t>24/07/2025 15:18:11</t>
  </si>
  <si>
    <t>25/07/2025 16:28:05</t>
  </si>
  <si>
    <t>25/07/2025 16:50:53</t>
  </si>
  <si>
    <t>25/07/2025 17:03:43</t>
  </si>
  <si>
    <t>28/07/2025 18:50:33</t>
  </si>
  <si>
    <t>28/07/2025 19:15:32</t>
  </si>
  <si>
    <t>29/07/2025 13:10:40</t>
  </si>
  <si>
    <t>30/07/2025 17:08:14</t>
  </si>
  <si>
    <t>30/07/2025 17:27:27</t>
  </si>
  <si>
    <t>31/07/2025 16:01:29</t>
  </si>
  <si>
    <t>RCV_VENTA_77104844-7_202507</t>
  </si>
  <si>
    <t>77266566-0_4152</t>
  </si>
  <si>
    <t>96930440-6_4153</t>
  </si>
  <si>
    <t>99592350-5_4154</t>
  </si>
  <si>
    <t>77410216-7_4155</t>
  </si>
  <si>
    <t>77900279-9_4156</t>
  </si>
  <si>
    <t>77613354-K_4157</t>
  </si>
  <si>
    <t>99592350-5_4158</t>
  </si>
  <si>
    <t>96930440-6_4159</t>
  </si>
  <si>
    <t>96930440-6_4160</t>
  </si>
  <si>
    <t>99592350-5_4161</t>
  </si>
  <si>
    <t>76392445-9_4162</t>
  </si>
  <si>
    <t>77410216-7_4163</t>
  </si>
  <si>
    <t>76995045-1_4164</t>
  </si>
  <si>
    <t>96930440-6_4165</t>
  </si>
  <si>
    <t>76086182-0_4166</t>
  </si>
  <si>
    <t>96930440-6_4167</t>
  </si>
  <si>
    <t>96930440-6_4168</t>
  </si>
  <si>
    <t>76865798-K_4169</t>
  </si>
  <si>
    <t>76865798-K_4170</t>
  </si>
  <si>
    <t>77540637-2_4171</t>
  </si>
  <si>
    <t>15683969-8_4172</t>
  </si>
  <si>
    <t>15683969-8_4173</t>
  </si>
  <si>
    <t>77104844-7_4174</t>
  </si>
  <si>
    <t>77834033-K_4175</t>
  </si>
  <si>
    <t>77020724-K_4176</t>
  </si>
  <si>
    <t>96930440-6_4177</t>
  </si>
  <si>
    <t>96930440-6_4178</t>
  </si>
  <si>
    <t>77266566-0_4179</t>
  </si>
  <si>
    <t>10224488-5_4180</t>
  </si>
  <si>
    <t>77410216-7_4181</t>
  </si>
  <si>
    <t>76392445-9_4182</t>
  </si>
  <si>
    <t>78627210-6_4183</t>
  </si>
  <si>
    <t>96930440-6_4184</t>
  </si>
  <si>
    <t>96930440-6_4185</t>
  </si>
  <si>
    <t>78627210-6_4186</t>
  </si>
  <si>
    <t>78627210-6_4187</t>
  </si>
  <si>
    <t>77613354-K_4188</t>
  </si>
  <si>
    <t>76111152-3_4189</t>
  </si>
  <si>
    <t>77020724-K_4190</t>
  </si>
  <si>
    <t>77900279-9_4191</t>
  </si>
  <si>
    <t>77190764-4_4192</t>
  </si>
  <si>
    <t>96930440-6_4193</t>
  </si>
  <si>
    <t>76000605-K_4194</t>
  </si>
  <si>
    <t>77266566-0_4195</t>
  </si>
  <si>
    <t>77410216-7_4196</t>
  </si>
  <si>
    <t>78627210-6_4197</t>
  </si>
  <si>
    <t>76392445-9_4198</t>
  </si>
  <si>
    <t>76995045-1_4199</t>
  </si>
  <si>
    <t>76392445-9_4200</t>
  </si>
  <si>
    <t>76111152-3_4201</t>
  </si>
  <si>
    <t>96930440-6_4202</t>
  </si>
  <si>
    <t>96930440-6_4203</t>
  </si>
  <si>
    <t>77104844-7_4204</t>
  </si>
  <si>
    <t>77312177-K_4205</t>
  </si>
  <si>
    <t>77104844-7_4206</t>
  </si>
  <si>
    <t>78627210-6_4207</t>
  </si>
  <si>
    <t>76392445-9_4208</t>
  </si>
  <si>
    <t>76410247-9_4209</t>
  </si>
  <si>
    <t>77410216-7_4210</t>
  </si>
  <si>
    <t>78627210-6_4211</t>
  </si>
  <si>
    <t>77020724-K_4212</t>
  </si>
  <si>
    <t>77266566-0_4213</t>
  </si>
  <si>
    <t>78627210-6_4214</t>
  </si>
  <si>
    <t>77312177-K_4215</t>
  </si>
  <si>
    <t>76995045-1_4216</t>
  </si>
  <si>
    <t>76111152-3_4217</t>
  </si>
  <si>
    <t>96930440-6_4218</t>
  </si>
  <si>
    <t>96930440-6_4219</t>
  </si>
  <si>
    <t>96930440-6_4220</t>
  </si>
  <si>
    <t>78627210-6_4221</t>
  </si>
  <si>
    <t>77540637-2_4222</t>
  </si>
  <si>
    <t>77900279-9_4223</t>
  </si>
  <si>
    <t>76000605-K_4224</t>
  </si>
  <si>
    <t>76000605-K_4225</t>
  </si>
  <si>
    <t>78627210-6_4226</t>
  </si>
  <si>
    <t>78627210-6_4227</t>
  </si>
  <si>
    <t>78627210-6_4228</t>
  </si>
  <si>
    <t>78627210-6_4229</t>
  </si>
  <si>
    <t>76410247-9_869</t>
  </si>
  <si>
    <t>99592350-5_870</t>
  </si>
  <si>
    <t>77410216-7_871</t>
  </si>
  <si>
    <t>76234334-7_872</t>
  </si>
  <si>
    <t>96930440-6_873</t>
  </si>
  <si>
    <t>76865798-K_874</t>
  </si>
  <si>
    <t>78627210-6_875</t>
  </si>
  <si>
    <t>96930440-6_876</t>
  </si>
  <si>
    <t>96930440-6_877</t>
  </si>
  <si>
    <t>78627210-6_878</t>
  </si>
  <si>
    <t>76392445-9_879</t>
  </si>
  <si>
    <t>96930440-6_880</t>
  </si>
  <si>
    <t>78627210-6_881</t>
  </si>
  <si>
    <t>78627210-6_882</t>
  </si>
  <si>
    <t>96930440-6_883</t>
  </si>
  <si>
    <t>77104844-7_884</t>
  </si>
  <si>
    <t>78627210-6_885</t>
  </si>
  <si>
    <t>78627210-6_886</t>
  </si>
  <si>
    <t>77312177-K_887</t>
  </si>
  <si>
    <t>78627210-6_888</t>
  </si>
  <si>
    <t>78627210-6_889</t>
  </si>
  <si>
    <t>78627210-6_890</t>
  </si>
  <si>
    <t>No existen Notas de crédito en el RCV</t>
  </si>
  <si>
    <t>76525290-3_</t>
  </si>
  <si>
    <t>88987500-3_</t>
  </si>
  <si>
    <t>80860400-0_</t>
  </si>
  <si>
    <t>72059900-7_</t>
  </si>
  <si>
    <t>69010100-9_</t>
  </si>
  <si>
    <t>72038400-0_</t>
  </si>
  <si>
    <t>93458000-1_</t>
  </si>
  <si>
    <t>76155732-7_</t>
  </si>
  <si>
    <t>79797990-2_</t>
  </si>
  <si>
    <t>92048000-4_</t>
  </si>
  <si>
    <t>94141000-6_</t>
  </si>
  <si>
    <t>76284040-5_</t>
  </si>
  <si>
    <t>92147000-2_</t>
  </si>
  <si>
    <t>84542800-K_</t>
  </si>
  <si>
    <t>96935700-3_</t>
  </si>
  <si>
    <t>77044745-3_</t>
  </si>
  <si>
    <t>77851150-9_</t>
  </si>
  <si>
    <t>76081982-4_</t>
  </si>
  <si>
    <t>76768500-9_</t>
  </si>
  <si>
    <t>77693940-4_</t>
  </si>
  <si>
    <t>77197843-6_</t>
  </si>
  <si>
    <t>96521240-K_</t>
  </si>
  <si>
    <t>73043500-2_</t>
  </si>
  <si>
    <t>78757320-7_</t>
  </si>
  <si>
    <t>76735770-2_</t>
  </si>
  <si>
    <t>77005409-5_</t>
  </si>
  <si>
    <t>91510000-7_</t>
  </si>
  <si>
    <t>69255400-0_</t>
  </si>
  <si>
    <t>93281000-K_</t>
  </si>
  <si>
    <t>99598660-4_</t>
  </si>
  <si>
    <t>91755000-K_</t>
  </si>
  <si>
    <t>96858720-K_</t>
  </si>
  <si>
    <t>76028141-7_</t>
  </si>
  <si>
    <t>91650000-9_</t>
  </si>
  <si>
    <t>76296863-0_</t>
  </si>
  <si>
    <t>69080200-7_</t>
  </si>
  <si>
    <t>77101893-9_</t>
  </si>
  <si>
    <t>69150300-3_</t>
  </si>
  <si>
    <t>60801000-9_</t>
  </si>
  <si>
    <t>76384016-6_</t>
  </si>
  <si>
    <t>69251600-1_</t>
  </si>
  <si>
    <t>78298010-6_</t>
  </si>
  <si>
    <t>96613220-5_</t>
  </si>
  <si>
    <t>60513000-3_</t>
  </si>
  <si>
    <t>69190800-3_</t>
  </si>
  <si>
    <t>77320354-7_</t>
  </si>
  <si>
    <t>96610780-4_</t>
  </si>
  <si>
    <t>60515000-4_</t>
  </si>
  <si>
    <t>76942020-7_</t>
  </si>
  <si>
    <t>99509000-7_</t>
  </si>
  <si>
    <t>76270561-3_</t>
  </si>
  <si>
    <t>96600850-4_</t>
  </si>
  <si>
    <t>96674170-8_</t>
  </si>
  <si>
    <t>96896610-3_</t>
  </si>
  <si>
    <t>76266276-0_</t>
  </si>
  <si>
    <t>76871990-K_</t>
  </si>
  <si>
    <t>24-08-2024</t>
  </si>
  <si>
    <t>28-09-2024</t>
  </si>
  <si>
    <t>15-01-2025</t>
  </si>
  <si>
    <t>21-01-2025</t>
  </si>
  <si>
    <t>23-01-2025</t>
  </si>
  <si>
    <t>24-01-2025</t>
  </si>
  <si>
    <t>28-01-2025</t>
  </si>
  <si>
    <t>30-01-2025</t>
  </si>
  <si>
    <t>17-02-2025</t>
  </si>
  <si>
    <t>24-02-2025</t>
  </si>
  <si>
    <t>13-03-2025</t>
  </si>
  <si>
    <t>19-03-2025</t>
  </si>
  <si>
    <t>20-03-2025</t>
  </si>
  <si>
    <t>29-03-2025</t>
  </si>
  <si>
    <t>14-04-2025</t>
  </si>
  <si>
    <t>24-04-2025</t>
  </si>
  <si>
    <t>23-04-2025</t>
  </si>
  <si>
    <t>25-04-2025</t>
  </si>
  <si>
    <t>29-04-2025</t>
  </si>
  <si>
    <t>23-05-2025</t>
  </si>
  <si>
    <t>27-05-2025</t>
  </si>
  <si>
    <t>29-05-2025</t>
  </si>
  <si>
    <t>13-06-2025</t>
  </si>
  <si>
    <t>19-06-2025</t>
  </si>
  <si>
    <t>23-06-2025</t>
  </si>
  <si>
    <t>24-06-2025</t>
  </si>
  <si>
    <t>25-06-2025</t>
  </si>
  <si>
    <t>17-07-2025</t>
  </si>
  <si>
    <t>21-07-2025</t>
  </si>
  <si>
    <t>24-07-2025</t>
  </si>
  <si>
    <t>28-07-2025</t>
  </si>
  <si>
    <t>26-07-2025</t>
  </si>
  <si>
    <t>30-07-2025</t>
  </si>
  <si>
    <t>31-07-2025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</si>
</sst>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 * #,##0_ ;_ * \-#,##0_ ;_ * &quot;-&quot;_ ;_ @_ "/>
    <numFmt numFmtId="164" formatCode="_(* #,##0_);_(* \(#,##0\);_(* &quot;-&quot;_);_(@_)"/>
    <numFmt numFmtId="165" formatCode="#,##0;\-#,##0;[Red]&quot;-&quot;"/>
    <numFmt numFmtId="166" formatCode="000"/>
  </numFmts>
  <fonts count="2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6"/>
      <name val="Arial MT"/>
    </font>
    <font>
      <sz val="6"/>
      <color rgb="FF1F2289"/>
      <name val="Arial MT"/>
      <family val="2"/>
    </font>
    <font>
      <sz val="6"/>
      <name val="Arial MT"/>
      <family val="2"/>
    </font>
    <font>
      <sz val="6"/>
      <color rgb="FF000000"/>
      <name val="Arial MT"/>
      <family val="2"/>
    </font>
    <font>
      <sz val="10"/>
      <name val="Arial MT"/>
    </font>
    <font>
      <sz val="10"/>
      <name val="Arial MT"/>
      <family val="2"/>
    </font>
    <font>
      <b/>
      <sz val="10"/>
      <name val="Arial"/>
      <family val="2"/>
    </font>
    <font>
      <sz val="10"/>
      <color rgb="FF000000"/>
      <name val="Arial MT"/>
      <family val="2"/>
    </font>
    <font>
      <sz val="8"/>
      <name val="Arial MT"/>
    </font>
    <font>
      <sz val="8"/>
      <color rgb="FF1F2289"/>
      <name val="Arial MT"/>
      <family val="2"/>
    </font>
    <font>
      <sz val="8"/>
      <color rgb="FF000000"/>
      <name val="Arial MT"/>
      <family val="2"/>
    </font>
    <font>
      <sz val="10"/>
      <color rgb="FF00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1F2289"/>
      <name val="Arial MT"/>
      <family val="2"/>
    </font>
    <font>
      <sz val="18"/>
      <color rgb="FF1F2289"/>
      <name val="Arial MT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FEEFB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15" fillId="0" borderId="0"/>
    <xf numFmtId="0" fontId="20" fillId="0" borderId="0" applyNumberForma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22" fontId="0" fillId="0" borderId="0" xfId="0" applyNumberFormat="1"/>
    <xf numFmtId="165" fontId="0" fillId="0" borderId="13" xfId="0" applyNumberFormat="1" applyBorder="1"/>
    <xf numFmtId="0" fontId="0" fillId="2" borderId="13" xfId="0" applyFill="1" applyBorder="1"/>
    <xf numFmtId="0" fontId="0" fillId="3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41" fontId="0" fillId="0" borderId="0" xfId="1" applyFont="1" applyBorder="1"/>
    <xf numFmtId="3" fontId="0" fillId="0" borderId="0" xfId="1" applyNumberFormat="1" applyFont="1" applyFill="1" applyBorder="1"/>
    <xf numFmtId="0" fontId="1" fillId="2" borderId="14" xfId="0" applyFont="1" applyFill="1" applyBorder="1"/>
    <xf numFmtId="0" fontId="1" fillId="2" borderId="0" xfId="0" applyFont="1" applyFill="1"/>
    <xf numFmtId="0" fontId="1" fillId="0" borderId="14" xfId="0" applyFont="1" applyBorder="1"/>
    <xf numFmtId="0" fontId="0" fillId="0" borderId="4" xfId="0" applyBorder="1"/>
    <xf numFmtId="0" fontId="0" fillId="0" borderId="0" xfId="1" applyNumberFormat="1" applyFont="1" applyBorder="1"/>
    <xf numFmtId="0" fontId="0" fillId="2" borderId="4" xfId="0" applyFill="1" applyBorder="1" applyAlignment="1">
      <alignment wrapText="1"/>
    </xf>
    <xf numFmtId="0" fontId="0" fillId="2" borderId="4" xfId="1" applyNumberFormat="1" applyFont="1" applyFill="1" applyBorder="1" applyAlignment="1">
      <alignment wrapText="1"/>
    </xf>
    <xf numFmtId="41" fontId="0" fillId="2" borderId="4" xfId="1" applyFont="1" applyFill="1" applyBorder="1" applyAlignment="1">
      <alignment wrapText="1"/>
    </xf>
    <xf numFmtId="0" fontId="0" fillId="2" borderId="16" xfId="0" applyFill="1" applyBorder="1"/>
    <xf numFmtId="41" fontId="1" fillId="2" borderId="14" xfId="1" applyFont="1" applyFill="1" applyBorder="1"/>
    <xf numFmtId="41" fontId="0" fillId="0" borderId="0" xfId="1" applyFont="1"/>
    <xf numFmtId="41" fontId="0" fillId="2" borderId="6" xfId="1" applyFont="1" applyFill="1" applyBorder="1"/>
    <xf numFmtId="14" fontId="0" fillId="0" borderId="0" xfId="0" applyNumberFormat="1" applyAlignment="1">
      <alignment horizontal="left"/>
    </xf>
    <xf numFmtId="14" fontId="1" fillId="2" borderId="14" xfId="0" applyNumberFormat="1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3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41" fontId="1" fillId="2" borderId="13" xfId="1" applyFont="1" applyFill="1" applyBorder="1"/>
    <xf numFmtId="0" fontId="0" fillId="2" borderId="17" xfId="0" applyFill="1" applyBorder="1"/>
    <xf numFmtId="0" fontId="1" fillId="2" borderId="4" xfId="0" applyFont="1" applyFill="1" applyBorder="1"/>
    <xf numFmtId="0" fontId="1" fillId="2" borderId="6" xfId="0" applyFont="1" applyFill="1" applyBorder="1"/>
    <xf numFmtId="3" fontId="0" fillId="2" borderId="4" xfId="0" applyNumberFormat="1" applyFill="1" applyBorder="1" applyAlignment="1">
      <alignment wrapText="1"/>
    </xf>
    <xf numFmtId="3" fontId="0" fillId="2" borderId="5" xfId="1" applyNumberFormat="1" applyFont="1" applyFill="1" applyBorder="1"/>
    <xf numFmtId="3" fontId="0" fillId="0" borderId="13" xfId="1" applyNumberFormat="1" applyFont="1" applyFill="1" applyBorder="1"/>
    <xf numFmtId="41" fontId="0" fillId="0" borderId="13" xfId="1" applyFont="1" applyFill="1" applyBorder="1"/>
    <xf numFmtId="0" fontId="0" fillId="0" borderId="13" xfId="1" applyNumberFormat="1" applyFont="1" applyFill="1" applyBorder="1"/>
    <xf numFmtId="0" fontId="1" fillId="2" borderId="21" xfId="0" applyFont="1" applyFill="1" applyBorder="1"/>
    <xf numFmtId="0" fontId="1" fillId="2" borderId="5" xfId="0" applyFont="1" applyFill="1" applyBorder="1"/>
    <xf numFmtId="0" fontId="4" fillId="4" borderId="22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4" fillId="4" borderId="24" xfId="0" applyFont="1" applyFill="1" applyBorder="1" applyAlignment="1">
      <alignment horizontal="center" vertical="top" wrapText="1"/>
    </xf>
    <xf numFmtId="1" fontId="5" fillId="4" borderId="22" xfId="0" applyNumberFormat="1" applyFont="1" applyFill="1" applyBorder="1" applyAlignment="1">
      <alignment horizontal="center" vertical="top" shrinkToFit="1"/>
    </xf>
    <xf numFmtId="0" fontId="4" fillId="4" borderId="23" xfId="0" applyFont="1" applyFill="1" applyBorder="1" applyAlignment="1">
      <alignment horizontal="left" vertical="top" wrapText="1"/>
    </xf>
    <xf numFmtId="166" fontId="5" fillId="4" borderId="23" xfId="0" applyNumberFormat="1" applyFont="1" applyFill="1" applyBorder="1" applyAlignment="1">
      <alignment horizontal="center" vertical="top" shrinkToFit="1"/>
    </xf>
    <xf numFmtId="1" fontId="5" fillId="4" borderId="23" xfId="0" applyNumberFormat="1" applyFont="1" applyFill="1" applyBorder="1" applyAlignment="1">
      <alignment horizontal="center" vertical="top" shrinkToFit="1"/>
    </xf>
    <xf numFmtId="166" fontId="5" fillId="4" borderId="22" xfId="0" applyNumberFormat="1" applyFont="1" applyFill="1" applyBorder="1" applyAlignment="1">
      <alignment horizontal="center" vertical="top" shrinkToFit="1"/>
    </xf>
    <xf numFmtId="0" fontId="0" fillId="0" borderId="25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0" xfId="0" applyAlignment="1">
      <alignment horizontal="left" vertical="top"/>
    </xf>
    <xf numFmtId="0" fontId="8" fillId="4" borderId="28" xfId="0" applyFont="1" applyFill="1" applyBorder="1" applyAlignment="1">
      <alignment horizontal="left" vertical="top" wrapText="1"/>
    </xf>
    <xf numFmtId="0" fontId="10" fillId="4" borderId="28" xfId="0" applyFont="1" applyFill="1" applyBorder="1" applyAlignment="1">
      <alignment horizontal="center" vertical="top" wrapText="1"/>
    </xf>
    <xf numFmtId="1" fontId="11" fillId="5" borderId="28" xfId="0" applyNumberFormat="1" applyFont="1" applyFill="1" applyBorder="1" applyAlignment="1">
      <alignment horizontal="right" vertical="top" shrinkToFit="1"/>
    </xf>
    <xf numFmtId="0" fontId="8" fillId="5" borderId="28" xfId="0" applyFont="1" applyFill="1" applyBorder="1" applyAlignment="1">
      <alignment horizontal="right" vertical="top" wrapText="1"/>
    </xf>
    <xf numFmtId="0" fontId="8" fillId="4" borderId="25" xfId="0" applyFont="1" applyFill="1" applyBorder="1" applyAlignment="1">
      <alignment horizontal="left" vertical="top" wrapText="1"/>
    </xf>
    <xf numFmtId="0" fontId="10" fillId="4" borderId="25" xfId="0" applyFont="1" applyFill="1" applyBorder="1" applyAlignment="1">
      <alignment horizontal="center" vertical="top" wrapText="1"/>
    </xf>
    <xf numFmtId="1" fontId="11" fillId="5" borderId="25" xfId="0" applyNumberFormat="1" applyFont="1" applyFill="1" applyBorder="1" applyAlignment="1">
      <alignment horizontal="right" vertical="top" shrinkToFit="1"/>
    </xf>
    <xf numFmtId="0" fontId="12" fillId="4" borderId="29" xfId="0" applyFont="1" applyFill="1" applyBorder="1" applyAlignment="1">
      <alignment horizontal="left" vertical="top" wrapText="1"/>
    </xf>
    <xf numFmtId="1" fontId="13" fillId="4" borderId="30" xfId="0" applyNumberFormat="1" applyFont="1" applyFill="1" applyBorder="1" applyAlignment="1">
      <alignment horizontal="center" vertical="top" shrinkToFit="1"/>
    </xf>
    <xf numFmtId="0" fontId="0" fillId="5" borderId="31" xfId="0" applyFill="1" applyBorder="1" applyAlignment="1">
      <alignment horizontal="left" wrapText="1"/>
    </xf>
    <xf numFmtId="0" fontId="0" fillId="5" borderId="32" xfId="0" applyFill="1" applyBorder="1" applyAlignment="1">
      <alignment horizontal="left" wrapText="1"/>
    </xf>
    <xf numFmtId="3" fontId="14" fillId="5" borderId="29" xfId="0" applyNumberFormat="1" applyFont="1" applyFill="1" applyBorder="1" applyAlignment="1">
      <alignment horizontal="left" vertical="top" indent="5" shrinkToFit="1"/>
    </xf>
    <xf numFmtId="0" fontId="12" fillId="4" borderId="30" xfId="0" applyFont="1" applyFill="1" applyBorder="1" applyAlignment="1">
      <alignment horizontal="center" vertical="top" wrapText="1"/>
    </xf>
    <xf numFmtId="0" fontId="12" fillId="4" borderId="22" xfId="0" applyFont="1" applyFill="1" applyBorder="1" applyAlignment="1">
      <alignment horizontal="left" vertical="top" wrapText="1"/>
    </xf>
    <xf numFmtId="1" fontId="13" fillId="4" borderId="23" xfId="0" applyNumberFormat="1" applyFont="1" applyFill="1" applyBorder="1" applyAlignment="1">
      <alignment horizontal="center" vertical="top" shrinkToFit="1"/>
    </xf>
    <xf numFmtId="0" fontId="0" fillId="5" borderId="24" xfId="0" applyFill="1" applyBorder="1" applyAlignment="1">
      <alignment horizontal="left" wrapText="1"/>
    </xf>
    <xf numFmtId="0" fontId="0" fillId="5" borderId="28" xfId="0" applyFill="1" applyBorder="1" applyAlignment="1">
      <alignment horizontal="left" wrapText="1"/>
    </xf>
    <xf numFmtId="0" fontId="0" fillId="5" borderId="22" xfId="0" applyFill="1" applyBorder="1" applyAlignment="1">
      <alignment horizontal="left" wrapText="1"/>
    </xf>
    <xf numFmtId="0" fontId="12" fillId="4" borderId="23" xfId="0" applyFont="1" applyFill="1" applyBorder="1" applyAlignment="1">
      <alignment horizontal="center" vertical="top" wrapText="1"/>
    </xf>
    <xf numFmtId="0" fontId="8" fillId="4" borderId="28" xfId="3" applyFont="1" applyFill="1" applyBorder="1" applyAlignment="1">
      <alignment horizontal="left" vertical="top" wrapText="1"/>
    </xf>
    <xf numFmtId="0" fontId="10" fillId="4" borderId="28" xfId="3" applyFont="1" applyFill="1" applyBorder="1" applyAlignment="1">
      <alignment horizontal="center" vertical="top" wrapText="1"/>
    </xf>
    <xf numFmtId="1" fontId="11" fillId="5" borderId="28" xfId="3" applyNumberFormat="1" applyFont="1" applyFill="1" applyBorder="1" applyAlignment="1">
      <alignment horizontal="right" vertical="top" shrinkToFit="1"/>
    </xf>
    <xf numFmtId="0" fontId="8" fillId="5" borderId="28" xfId="3" applyFont="1" applyFill="1" applyBorder="1" applyAlignment="1">
      <alignment horizontal="right" vertical="top" wrapText="1"/>
    </xf>
    <xf numFmtId="0" fontId="8" fillId="4" borderId="25" xfId="3" applyFont="1" applyFill="1" applyBorder="1" applyAlignment="1">
      <alignment horizontal="left" vertical="top" wrapText="1"/>
    </xf>
    <xf numFmtId="0" fontId="10" fillId="4" borderId="25" xfId="3" applyFont="1" applyFill="1" applyBorder="1" applyAlignment="1">
      <alignment horizontal="center" vertical="top" wrapText="1"/>
    </xf>
    <xf numFmtId="1" fontId="11" fillId="5" borderId="25" xfId="3" applyNumberFormat="1" applyFont="1" applyFill="1" applyBorder="1" applyAlignment="1">
      <alignment horizontal="right" vertical="top" shrinkToFit="1"/>
    </xf>
    <xf numFmtId="0" fontId="4" fillId="4" borderId="22" xfId="3" applyFont="1" applyFill="1" applyBorder="1" applyAlignment="1">
      <alignment horizontal="center" vertical="top" wrapText="1"/>
    </xf>
    <xf numFmtId="0" fontId="4" fillId="4" borderId="23" xfId="3" applyFont="1" applyFill="1" applyBorder="1" applyAlignment="1">
      <alignment horizontal="center" vertical="top" wrapText="1"/>
    </xf>
    <xf numFmtId="0" fontId="4" fillId="0" borderId="23" xfId="3" applyFont="1" applyBorder="1" applyAlignment="1">
      <alignment horizontal="center" vertical="top" wrapText="1"/>
    </xf>
    <xf numFmtId="0" fontId="4" fillId="4" borderId="24" xfId="3" applyFont="1" applyFill="1" applyBorder="1" applyAlignment="1">
      <alignment horizontal="center" vertical="top" wrapText="1"/>
    </xf>
    <xf numFmtId="1" fontId="5" fillId="4" borderId="22" xfId="3" applyNumberFormat="1" applyFont="1" applyFill="1" applyBorder="1" applyAlignment="1">
      <alignment horizontal="center" vertical="top" shrinkToFit="1"/>
    </xf>
    <xf numFmtId="0" fontId="4" fillId="4" borderId="23" xfId="3" applyFont="1" applyFill="1" applyBorder="1" applyAlignment="1">
      <alignment horizontal="left" vertical="top" wrapText="1"/>
    </xf>
    <xf numFmtId="166" fontId="5" fillId="4" borderId="23" xfId="3" applyNumberFormat="1" applyFont="1" applyFill="1" applyBorder="1" applyAlignment="1">
      <alignment horizontal="center" vertical="top" shrinkToFit="1"/>
    </xf>
    <xf numFmtId="1" fontId="5" fillId="4" borderId="23" xfId="3" applyNumberFormat="1" applyFont="1" applyFill="1" applyBorder="1" applyAlignment="1">
      <alignment horizontal="center" vertical="top" shrinkToFit="1"/>
    </xf>
    <xf numFmtId="166" fontId="5" fillId="4" borderId="22" xfId="3" applyNumberFormat="1" applyFont="1" applyFill="1" applyBorder="1" applyAlignment="1">
      <alignment horizontal="center" vertical="top" shrinkToFit="1"/>
    </xf>
    <xf numFmtId="0" fontId="15" fillId="0" borderId="25" xfId="3" applyBorder="1" applyAlignment="1">
      <alignment horizontal="left" wrapText="1"/>
    </xf>
    <xf numFmtId="0" fontId="15" fillId="0" borderId="26" xfId="3" applyBorder="1" applyAlignment="1">
      <alignment horizontal="left" wrapText="1"/>
    </xf>
    <xf numFmtId="0" fontId="15" fillId="0" borderId="0" xfId="3" applyAlignment="1">
      <alignment horizontal="left" wrapText="1"/>
    </xf>
    <xf numFmtId="0" fontId="15" fillId="0" borderId="27" xfId="3" applyBorder="1" applyAlignment="1">
      <alignment horizontal="left" wrapText="1"/>
    </xf>
    <xf numFmtId="0" fontId="12" fillId="4" borderId="29" xfId="3" applyFont="1" applyFill="1" applyBorder="1" applyAlignment="1">
      <alignment horizontal="left" vertical="top" wrapText="1"/>
    </xf>
    <xf numFmtId="1" fontId="13" fillId="4" borderId="30" xfId="3" applyNumberFormat="1" applyFont="1" applyFill="1" applyBorder="1" applyAlignment="1">
      <alignment horizontal="center" vertical="top" shrinkToFit="1"/>
    </xf>
    <xf numFmtId="0" fontId="15" fillId="5" borderId="31" xfId="3" applyFill="1" applyBorder="1" applyAlignment="1">
      <alignment horizontal="left" wrapText="1"/>
    </xf>
    <xf numFmtId="0" fontId="15" fillId="5" borderId="32" xfId="3" applyFill="1" applyBorder="1" applyAlignment="1">
      <alignment horizontal="left" wrapText="1"/>
    </xf>
    <xf numFmtId="3" fontId="14" fillId="5" borderId="29" xfId="3" applyNumberFormat="1" applyFont="1" applyFill="1" applyBorder="1" applyAlignment="1">
      <alignment horizontal="left" vertical="top" indent="5" shrinkToFit="1"/>
    </xf>
    <xf numFmtId="0" fontId="12" fillId="4" borderId="30" xfId="3" applyFont="1" applyFill="1" applyBorder="1" applyAlignment="1">
      <alignment horizontal="center" vertical="top" wrapText="1"/>
    </xf>
    <xf numFmtId="0" fontId="12" fillId="4" borderId="22" xfId="3" applyFont="1" applyFill="1" applyBorder="1" applyAlignment="1">
      <alignment horizontal="left" vertical="top" wrapText="1"/>
    </xf>
    <xf numFmtId="1" fontId="13" fillId="4" borderId="23" xfId="3" applyNumberFormat="1" applyFont="1" applyFill="1" applyBorder="1" applyAlignment="1">
      <alignment horizontal="center" vertical="top" shrinkToFit="1"/>
    </xf>
    <xf numFmtId="0" fontId="15" fillId="5" borderId="24" xfId="3" applyFill="1" applyBorder="1" applyAlignment="1">
      <alignment horizontal="left" wrapText="1"/>
    </xf>
    <xf numFmtId="0" fontId="15" fillId="5" borderId="28" xfId="3" applyFill="1" applyBorder="1" applyAlignment="1">
      <alignment horizontal="left" wrapText="1"/>
    </xf>
    <xf numFmtId="0" fontId="15" fillId="5" borderId="22" xfId="3" applyFill="1" applyBorder="1" applyAlignment="1">
      <alignment horizontal="left" wrapText="1"/>
    </xf>
    <xf numFmtId="0" fontId="12" fillId="4" borderId="23" xfId="3" applyFont="1" applyFill="1" applyBorder="1" applyAlignment="1">
      <alignment horizontal="center" vertical="top" wrapText="1"/>
    </xf>
    <xf numFmtId="165" fontId="0" fillId="0" borderId="0" xfId="0" applyNumberFormat="1"/>
    <xf numFmtId="3" fontId="7" fillId="3" borderId="24" xfId="0" applyNumberFormat="1" applyFont="1" applyFill="1" applyBorder="1" applyAlignment="1">
      <alignment horizontal="right" vertical="top" shrinkToFit="1"/>
    </xf>
    <xf numFmtId="165" fontId="0" fillId="3" borderId="13" xfId="0" applyNumberFormat="1" applyFill="1" applyBorder="1"/>
    <xf numFmtId="1" fontId="7" fillId="3" borderId="23" xfId="0" applyNumberFormat="1" applyFont="1" applyFill="1" applyBorder="1" applyAlignment="1">
      <alignment horizontal="right" vertical="top" shrinkToFit="1"/>
    </xf>
    <xf numFmtId="3" fontId="7" fillId="3" borderId="23" xfId="0" applyNumberFormat="1" applyFont="1" applyFill="1" applyBorder="1" applyAlignment="1">
      <alignment horizontal="right" vertical="top" shrinkToFit="1"/>
    </xf>
    <xf numFmtId="1" fontId="7" fillId="6" borderId="23" xfId="0" applyNumberFormat="1" applyFont="1" applyFill="1" applyBorder="1" applyAlignment="1">
      <alignment horizontal="right" vertical="top" shrinkToFit="1"/>
    </xf>
    <xf numFmtId="3" fontId="7" fillId="7" borderId="23" xfId="0" applyNumberFormat="1" applyFont="1" applyFill="1" applyBorder="1" applyAlignment="1">
      <alignment horizontal="right" vertical="top" shrinkToFit="1"/>
    </xf>
    <xf numFmtId="0" fontId="4" fillId="4" borderId="30" xfId="0" applyFont="1" applyFill="1" applyBorder="1" applyAlignment="1">
      <alignment horizontal="center" vertical="top" wrapText="1"/>
    </xf>
    <xf numFmtId="0" fontId="0" fillId="8" borderId="34" xfId="0" applyFill="1" applyBorder="1" applyAlignment="1">
      <alignment horizontal="left" vertical="top"/>
    </xf>
    <xf numFmtId="0" fontId="0" fillId="8" borderId="35" xfId="0" applyFill="1" applyBorder="1" applyAlignment="1">
      <alignment horizontal="left" vertical="top"/>
    </xf>
    <xf numFmtId="0" fontId="0" fillId="8" borderId="36" xfId="0" applyFill="1" applyBorder="1" applyAlignment="1">
      <alignment horizontal="left" vertical="top"/>
    </xf>
    <xf numFmtId="1" fontId="5" fillId="6" borderId="23" xfId="0" applyNumberFormat="1" applyFont="1" applyFill="1" applyBorder="1" applyAlignment="1">
      <alignment horizontal="center" vertical="top" shrinkToFit="1"/>
    </xf>
    <xf numFmtId="0" fontId="4" fillId="6" borderId="23" xfId="0" applyFont="1" applyFill="1" applyBorder="1" applyAlignment="1">
      <alignment horizontal="left" vertical="top" wrapText="1"/>
    </xf>
    <xf numFmtId="1" fontId="7" fillId="6" borderId="24" xfId="0" applyNumberFormat="1" applyFont="1" applyFill="1" applyBorder="1" applyAlignment="1">
      <alignment horizontal="right" vertical="top" shrinkToFit="1"/>
    </xf>
    <xf numFmtId="166" fontId="5" fillId="6" borderId="22" xfId="0" applyNumberFormat="1" applyFont="1" applyFill="1" applyBorder="1" applyAlignment="1">
      <alignment horizontal="center" vertical="top" shrinkToFit="1"/>
    </xf>
    <xf numFmtId="3" fontId="7" fillId="6" borderId="23" xfId="0" applyNumberFormat="1" applyFont="1" applyFill="1" applyBorder="1" applyAlignment="1">
      <alignment horizontal="right" vertical="top" shrinkToFit="1"/>
    </xf>
    <xf numFmtId="41" fontId="0" fillId="8" borderId="0" xfId="1" applyFont="1" applyFill="1"/>
    <xf numFmtId="165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3" fontId="7" fillId="6" borderId="23" xfId="3" applyNumberFormat="1" applyFont="1" applyFill="1" applyBorder="1" applyAlignment="1">
      <alignment horizontal="right" vertical="top" shrinkToFit="1"/>
    </xf>
    <xf numFmtId="166" fontId="5" fillId="6" borderId="22" xfId="3" applyNumberFormat="1" applyFont="1" applyFill="1" applyBorder="1" applyAlignment="1">
      <alignment horizontal="center" vertical="top" shrinkToFit="1"/>
    </xf>
    <xf numFmtId="0" fontId="4" fillId="6" borderId="23" xfId="3" applyFont="1" applyFill="1" applyBorder="1" applyAlignment="1">
      <alignment horizontal="left" vertical="top" wrapText="1"/>
    </xf>
    <xf numFmtId="1" fontId="7" fillId="7" borderId="23" xfId="0" applyNumberFormat="1" applyFont="1" applyFill="1" applyBorder="1" applyAlignment="1">
      <alignment horizontal="right" vertical="top" shrinkToFit="1"/>
    </xf>
    <xf numFmtId="1" fontId="18" fillId="4" borderId="22" xfId="0" applyNumberFormat="1" applyFont="1" applyFill="1" applyBorder="1" applyAlignment="1">
      <alignment horizontal="center" vertical="top" shrinkToFit="1"/>
    </xf>
    <xf numFmtId="1" fontId="19" fillId="4" borderId="22" xfId="0" applyNumberFormat="1" applyFont="1" applyFill="1" applyBorder="1" applyAlignment="1">
      <alignment horizontal="center" vertical="top" shrinkToFit="1"/>
    </xf>
    <xf numFmtId="41" fontId="0" fillId="2" borderId="37" xfId="1" applyFont="1" applyFill="1" applyBorder="1"/>
    <xf numFmtId="0" fontId="0" fillId="0" borderId="13" xfId="0" applyBorder="1"/>
    <xf numFmtId="0" fontId="1" fillId="0" borderId="0" xfId="0" applyFont="1"/>
    <xf numFmtId="41" fontId="0" fillId="2" borderId="4" xfId="1" applyFont="1" applyFill="1" applyBorder="1"/>
    <xf numFmtId="3" fontId="7" fillId="5" borderId="23" xfId="0" applyNumberFormat="1" applyFont="1" applyFill="1" applyBorder="1" applyAlignment="1">
      <alignment horizontal="right" vertical="top" shrinkToFit="1"/>
    </xf>
    <xf numFmtId="3" fontId="7" fillId="5" borderId="24" xfId="0" applyNumberFormat="1" applyFont="1" applyFill="1" applyBorder="1" applyAlignment="1">
      <alignment horizontal="right" vertical="top" shrinkToFit="1"/>
    </xf>
    <xf numFmtId="1" fontId="7" fillId="5" borderId="23" xfId="0" applyNumberFormat="1" applyFont="1" applyFill="1" applyBorder="1" applyAlignment="1">
      <alignment horizontal="right" vertical="top" shrinkToFit="1"/>
    </xf>
    <xf numFmtId="1" fontId="7" fillId="5" borderId="24" xfId="0" applyNumberFormat="1" applyFont="1" applyFill="1" applyBorder="1" applyAlignment="1">
      <alignment horizontal="right" vertical="top" shrinkToFit="1"/>
    </xf>
    <xf numFmtId="41" fontId="0" fillId="0" borderId="0" xfId="1" applyFont="1" applyFill="1" applyBorder="1"/>
    <xf numFmtId="0" fontId="0" fillId="0" borderId="0" xfId="1" applyNumberFormat="1" applyFont="1" applyFill="1" applyBorder="1"/>
    <xf numFmtId="41" fontId="0" fillId="0" borderId="0" xfId="1" applyFont="1" applyFill="1"/>
    <xf numFmtId="41" fontId="0" fillId="3" borderId="0" xfId="1" applyFont="1" applyFill="1"/>
    <xf numFmtId="0" fontId="0" fillId="0" borderId="40" xfId="0" applyBorder="1"/>
    <xf numFmtId="41" fontId="0" fillId="0" borderId="40" xfId="1" applyFont="1" applyBorder="1"/>
    <xf numFmtId="14" fontId="0" fillId="0" borderId="13" xfId="0" applyNumberFormat="1" applyBorder="1"/>
    <xf numFmtId="3" fontId="0" fillId="0" borderId="13" xfId="0" applyNumberFormat="1" applyBorder="1"/>
    <xf numFmtId="0" fontId="20" fillId="0" borderId="0" xfId="4"/>
    <xf numFmtId="164" fontId="0" fillId="0" borderId="0" xfId="1" applyNumberFormat="1" applyFont="1"/>
    <xf numFmtId="0" fontId="0" fillId="0" borderId="0" xfId="0" applyAlignment="1">
      <alignment wrapText="1"/>
    </xf>
    <xf numFmtId="0" fontId="20" fillId="0" borderId="0" xfId="4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22" fontId="0" fillId="0" borderId="0" xfId="0" applyNumberFormat="1" applyAlignment="1">
      <alignment horizontal="right"/>
    </xf>
    <xf numFmtId="0" fontId="0" fillId="2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2" borderId="5" xfId="0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top"/>
    </xf>
    <xf numFmtId="0" fontId="12" fillId="0" borderId="0" xfId="0" applyFont="1" applyAlignment="1">
      <alignment horizontal="left" vertical="top" wrapText="1" indent="1"/>
    </xf>
    <xf numFmtId="0" fontId="12" fillId="0" borderId="0" xfId="3" applyFont="1" applyAlignment="1">
      <alignment horizontal="left" vertical="top" wrapText="1" indent="1"/>
    </xf>
    <xf numFmtId="165" fontId="0" fillId="0" borderId="0" xfId="0" applyNumberFormat="1" applyBorder="1"/>
    <xf numFmtId="0" fontId="0" fillId="0" borderId="0" xfId="0" applyBorder="1"/>
    <xf numFmtId="14" fontId="0" fillId="0" borderId="0" xfId="0" applyNumberFormat="1" applyBorder="1"/>
    <xf numFmtId="3" fontId="0" fillId="0" borderId="0" xfId="0" applyNumberFormat="1" applyBorder="1"/>
  </cellXfs>
  <cellStyles count="5">
    <cellStyle name="Hipervínculo" xfId="4" builtinId="8"/>
    <cellStyle name="Millares [0]" xfId="1" builtinId="6"/>
    <cellStyle name="Millares [0] 2" xfId="2" xr:uid="{71CA2644-EAF3-4988-9675-2B1CC2F69B7E}"/>
    <cellStyle name="Normal" xfId="0" builtinId="0"/>
    <cellStyle name="Normal 2" xfId="3" xr:uid="{FF718D26-A450-44FE-81A1-CB6733604F79}"/>
  </cellStyles>
  <dxfs count="0"/>
  <tableStyles count="1" defaultTableStyle="TableStyleMedium2" defaultPivotStyle="PivotStyleLight16">
    <tableStyle name="Invisible" pivot="0" table="0" count="0" xr9:uid="{939CDF2D-904A-4F85-9AF5-5B65832E16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15</xdr:row>
          <xdr:rowOff>38100</xdr:rowOff>
        </xdr:from>
        <xdr:to>
          <xdr:col>3</xdr:col>
          <xdr:colOff>1242060</xdr:colOff>
          <xdr:row>16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Armado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17</xdr:row>
          <xdr:rowOff>91440</xdr:rowOff>
        </xdr:from>
        <xdr:to>
          <xdr:col>3</xdr:col>
          <xdr:colOff>1280160</xdr:colOff>
          <xdr:row>19</xdr:row>
          <xdr:rowOff>15240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Traer 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10</xdr:row>
          <xdr:rowOff>15240</xdr:rowOff>
        </xdr:from>
        <xdr:to>
          <xdr:col>3</xdr:col>
          <xdr:colOff>1234440</xdr:colOff>
          <xdr:row>10</xdr:row>
          <xdr:rowOff>259080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Consolidar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9</xdr:row>
          <xdr:rowOff>53340</xdr:rowOff>
        </xdr:from>
        <xdr:to>
          <xdr:col>3</xdr:col>
          <xdr:colOff>1181100</xdr:colOff>
          <xdr:row>9</xdr:row>
          <xdr:rowOff>205740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Consolidar 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205740</xdr:colOff>
          <xdr:row>12</xdr:row>
          <xdr:rowOff>7620</xdr:rowOff>
        </xdr:from>
        <xdr:to>
          <xdr:col>3</xdr:col>
          <xdr:colOff>1280160</xdr:colOff>
          <xdr:row>14</xdr:row>
          <xdr:rowOff>30480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8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 RCV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19</xdr:row>
          <xdr:rowOff>137160</xdr:rowOff>
        </xdr:from>
        <xdr:to>
          <xdr:col>3</xdr:col>
          <xdr:colOff>1280160</xdr:colOff>
          <xdr:row>22</xdr:row>
          <xdr:rowOff>7620</xdr:rowOff>
        </xdr:to>
        <xdr:sp macro="" textlink="">
          <xdr:nvSpPr>
            <xdr:cNvPr id="10267" name="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8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Procesar NC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22</xdr:row>
          <xdr:rowOff>121920</xdr:rowOff>
        </xdr:from>
        <xdr:to>
          <xdr:col>3</xdr:col>
          <xdr:colOff>1211580</xdr:colOff>
          <xdr:row>25</xdr:row>
          <xdr:rowOff>30480</xdr:rowOff>
        </xdr:to>
        <xdr:sp macro="" textlink="">
          <xdr:nvSpPr>
            <xdr:cNvPr id="10268" name="Button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8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Procesar NC Compras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60960</xdr:rowOff>
        </xdr:from>
        <xdr:to>
          <xdr:col>11</xdr:col>
          <xdr:colOff>510540</xdr:colOff>
          <xdr:row>4</xdr:row>
          <xdr:rowOff>137160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F-29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0</xdr:rowOff>
    </xdr:from>
    <xdr:ext cx="10795" cy="1550035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9644ECD8-87C6-4322-9760-A140E028B28F}"/>
            </a:ext>
          </a:extLst>
        </xdr:cNvPr>
        <xdr:cNvSpPr/>
      </xdr:nvSpPr>
      <xdr:spPr>
        <a:xfrm>
          <a:off x="0" y="0"/>
          <a:ext cx="10795" cy="1550035"/>
        </a:xfrm>
        <a:custGeom>
          <a:avLst/>
          <a:gdLst/>
          <a:ahLst/>
          <a:cxnLst/>
          <a:rect l="0" t="0" r="0" b="0"/>
          <a:pathLst>
            <a:path w="10795" h="1550035">
              <a:moveTo>
                <a:pt x="10795" y="1440281"/>
              </a:moveTo>
              <a:lnTo>
                <a:pt x="0" y="1440281"/>
              </a:lnTo>
              <a:lnTo>
                <a:pt x="0" y="1531721"/>
              </a:lnTo>
              <a:lnTo>
                <a:pt x="0" y="1549501"/>
              </a:lnTo>
              <a:lnTo>
                <a:pt x="5600" y="1549501"/>
              </a:lnTo>
              <a:lnTo>
                <a:pt x="5600" y="1531721"/>
              </a:lnTo>
              <a:lnTo>
                <a:pt x="10795" y="1531721"/>
              </a:lnTo>
              <a:lnTo>
                <a:pt x="10795" y="1440281"/>
              </a:lnTo>
              <a:close/>
            </a:path>
            <a:path w="10795" h="1550035">
              <a:moveTo>
                <a:pt x="10795" y="1330858"/>
              </a:moveTo>
              <a:lnTo>
                <a:pt x="0" y="1330858"/>
              </a:lnTo>
              <a:lnTo>
                <a:pt x="0" y="1422298"/>
              </a:lnTo>
              <a:lnTo>
                <a:pt x="0" y="1431188"/>
              </a:lnTo>
              <a:lnTo>
                <a:pt x="8267" y="1431188"/>
              </a:lnTo>
              <a:lnTo>
                <a:pt x="8267" y="1422298"/>
              </a:lnTo>
              <a:lnTo>
                <a:pt x="10795" y="1422298"/>
              </a:lnTo>
              <a:lnTo>
                <a:pt x="10795" y="1330858"/>
              </a:lnTo>
              <a:close/>
            </a:path>
            <a:path w="10795" h="1550035">
              <a:moveTo>
                <a:pt x="10795" y="1221435"/>
              </a:moveTo>
              <a:lnTo>
                <a:pt x="0" y="1221435"/>
              </a:lnTo>
              <a:lnTo>
                <a:pt x="0" y="1312875"/>
              </a:lnTo>
              <a:lnTo>
                <a:pt x="0" y="1321765"/>
              </a:lnTo>
              <a:lnTo>
                <a:pt x="8267" y="1321765"/>
              </a:lnTo>
              <a:lnTo>
                <a:pt x="8267" y="1312875"/>
              </a:lnTo>
              <a:lnTo>
                <a:pt x="10795" y="1312875"/>
              </a:lnTo>
              <a:lnTo>
                <a:pt x="10795" y="1221435"/>
              </a:lnTo>
              <a:close/>
            </a:path>
            <a:path w="10795" h="1550035">
              <a:moveTo>
                <a:pt x="10795" y="1112012"/>
              </a:moveTo>
              <a:lnTo>
                <a:pt x="0" y="1112012"/>
              </a:lnTo>
              <a:lnTo>
                <a:pt x="0" y="1203452"/>
              </a:lnTo>
              <a:lnTo>
                <a:pt x="0" y="1212342"/>
              </a:lnTo>
              <a:lnTo>
                <a:pt x="8267" y="1212342"/>
              </a:lnTo>
              <a:lnTo>
                <a:pt x="8267" y="1203452"/>
              </a:lnTo>
              <a:lnTo>
                <a:pt x="10795" y="1203452"/>
              </a:lnTo>
              <a:lnTo>
                <a:pt x="10795" y="1112012"/>
              </a:lnTo>
              <a:close/>
            </a:path>
            <a:path w="10795" h="1550035">
              <a:moveTo>
                <a:pt x="10795" y="1002588"/>
              </a:moveTo>
              <a:lnTo>
                <a:pt x="0" y="1002588"/>
              </a:lnTo>
              <a:lnTo>
                <a:pt x="0" y="1094028"/>
              </a:lnTo>
              <a:lnTo>
                <a:pt x="0" y="1102918"/>
              </a:lnTo>
              <a:lnTo>
                <a:pt x="8267" y="1102918"/>
              </a:lnTo>
              <a:lnTo>
                <a:pt x="8267" y="1094028"/>
              </a:lnTo>
              <a:lnTo>
                <a:pt x="10795" y="1094028"/>
              </a:lnTo>
              <a:lnTo>
                <a:pt x="10795" y="1002588"/>
              </a:lnTo>
              <a:close/>
            </a:path>
            <a:path w="10795" h="1550035">
              <a:moveTo>
                <a:pt x="10795" y="893165"/>
              </a:moveTo>
              <a:lnTo>
                <a:pt x="0" y="893165"/>
              </a:lnTo>
              <a:lnTo>
                <a:pt x="0" y="984605"/>
              </a:lnTo>
              <a:lnTo>
                <a:pt x="0" y="993495"/>
              </a:lnTo>
              <a:lnTo>
                <a:pt x="8267" y="993495"/>
              </a:lnTo>
              <a:lnTo>
                <a:pt x="8267" y="984605"/>
              </a:lnTo>
              <a:lnTo>
                <a:pt x="10795" y="984605"/>
              </a:lnTo>
              <a:lnTo>
                <a:pt x="10795" y="893165"/>
              </a:lnTo>
              <a:close/>
            </a:path>
            <a:path w="10795" h="1550035">
              <a:moveTo>
                <a:pt x="10795" y="783742"/>
              </a:moveTo>
              <a:lnTo>
                <a:pt x="0" y="783742"/>
              </a:lnTo>
              <a:lnTo>
                <a:pt x="0" y="875182"/>
              </a:lnTo>
              <a:lnTo>
                <a:pt x="0" y="884072"/>
              </a:lnTo>
              <a:lnTo>
                <a:pt x="8267" y="884072"/>
              </a:lnTo>
              <a:lnTo>
                <a:pt x="8267" y="875182"/>
              </a:lnTo>
              <a:lnTo>
                <a:pt x="10795" y="875182"/>
              </a:lnTo>
              <a:lnTo>
                <a:pt x="10795" y="783742"/>
              </a:lnTo>
              <a:close/>
            </a:path>
            <a:path w="10795" h="1550035">
              <a:moveTo>
                <a:pt x="10795" y="674319"/>
              </a:moveTo>
              <a:lnTo>
                <a:pt x="0" y="674319"/>
              </a:lnTo>
              <a:lnTo>
                <a:pt x="0" y="765759"/>
              </a:lnTo>
              <a:lnTo>
                <a:pt x="0" y="774649"/>
              </a:lnTo>
              <a:lnTo>
                <a:pt x="8267" y="774649"/>
              </a:lnTo>
              <a:lnTo>
                <a:pt x="8267" y="765759"/>
              </a:lnTo>
              <a:lnTo>
                <a:pt x="10795" y="765759"/>
              </a:lnTo>
              <a:lnTo>
                <a:pt x="10795" y="674319"/>
              </a:lnTo>
              <a:close/>
            </a:path>
            <a:path w="10795" h="1550035">
              <a:moveTo>
                <a:pt x="10795" y="564896"/>
              </a:moveTo>
              <a:lnTo>
                <a:pt x="0" y="564896"/>
              </a:lnTo>
              <a:lnTo>
                <a:pt x="0" y="656336"/>
              </a:lnTo>
              <a:lnTo>
                <a:pt x="0" y="665226"/>
              </a:lnTo>
              <a:lnTo>
                <a:pt x="8267" y="665226"/>
              </a:lnTo>
              <a:lnTo>
                <a:pt x="8267" y="656336"/>
              </a:lnTo>
              <a:lnTo>
                <a:pt x="10795" y="656336"/>
              </a:lnTo>
              <a:lnTo>
                <a:pt x="10795" y="564896"/>
              </a:lnTo>
              <a:close/>
            </a:path>
            <a:path w="10795" h="1550035">
              <a:moveTo>
                <a:pt x="10795" y="455472"/>
              </a:moveTo>
              <a:lnTo>
                <a:pt x="0" y="455472"/>
              </a:lnTo>
              <a:lnTo>
                <a:pt x="0" y="546912"/>
              </a:lnTo>
              <a:lnTo>
                <a:pt x="0" y="555802"/>
              </a:lnTo>
              <a:lnTo>
                <a:pt x="8267" y="555802"/>
              </a:lnTo>
              <a:lnTo>
                <a:pt x="8267" y="546912"/>
              </a:lnTo>
              <a:lnTo>
                <a:pt x="10795" y="546912"/>
              </a:lnTo>
              <a:lnTo>
                <a:pt x="10795" y="455472"/>
              </a:lnTo>
              <a:close/>
            </a:path>
            <a:path w="10795" h="1550035">
              <a:moveTo>
                <a:pt x="10795" y="346049"/>
              </a:moveTo>
              <a:lnTo>
                <a:pt x="0" y="346049"/>
              </a:lnTo>
              <a:lnTo>
                <a:pt x="0" y="437489"/>
              </a:lnTo>
              <a:lnTo>
                <a:pt x="0" y="446379"/>
              </a:lnTo>
              <a:lnTo>
                <a:pt x="8267" y="446379"/>
              </a:lnTo>
              <a:lnTo>
                <a:pt x="8267" y="437489"/>
              </a:lnTo>
              <a:lnTo>
                <a:pt x="10795" y="437489"/>
              </a:lnTo>
              <a:lnTo>
                <a:pt x="10795" y="346049"/>
              </a:lnTo>
              <a:close/>
            </a:path>
            <a:path w="10795" h="1550035">
              <a:moveTo>
                <a:pt x="10795" y="236626"/>
              </a:moveTo>
              <a:lnTo>
                <a:pt x="0" y="236626"/>
              </a:lnTo>
              <a:lnTo>
                <a:pt x="0" y="328066"/>
              </a:lnTo>
              <a:lnTo>
                <a:pt x="0" y="336956"/>
              </a:lnTo>
              <a:lnTo>
                <a:pt x="8267" y="336956"/>
              </a:lnTo>
              <a:lnTo>
                <a:pt x="8267" y="328066"/>
              </a:lnTo>
              <a:lnTo>
                <a:pt x="10795" y="328066"/>
              </a:lnTo>
              <a:lnTo>
                <a:pt x="10795" y="236626"/>
              </a:lnTo>
              <a:close/>
            </a:path>
            <a:path w="10795" h="1550035">
              <a:moveTo>
                <a:pt x="10795" y="127203"/>
              </a:moveTo>
              <a:lnTo>
                <a:pt x="0" y="127203"/>
              </a:lnTo>
              <a:lnTo>
                <a:pt x="0" y="218643"/>
              </a:lnTo>
              <a:lnTo>
                <a:pt x="0" y="227533"/>
              </a:lnTo>
              <a:lnTo>
                <a:pt x="8267" y="227533"/>
              </a:lnTo>
              <a:lnTo>
                <a:pt x="8267" y="218643"/>
              </a:lnTo>
              <a:lnTo>
                <a:pt x="10795" y="218643"/>
              </a:lnTo>
              <a:lnTo>
                <a:pt x="10795" y="127203"/>
              </a:lnTo>
              <a:close/>
            </a:path>
            <a:path w="10795" h="1550035">
              <a:moveTo>
                <a:pt x="10795" y="17780"/>
              </a:moveTo>
              <a:lnTo>
                <a:pt x="5334" y="17780"/>
              </a:lnTo>
              <a:lnTo>
                <a:pt x="5334" y="0"/>
              </a:lnTo>
              <a:lnTo>
                <a:pt x="0" y="0"/>
              </a:lnTo>
              <a:lnTo>
                <a:pt x="0" y="17780"/>
              </a:lnTo>
              <a:lnTo>
                <a:pt x="0" y="109220"/>
              </a:lnTo>
              <a:lnTo>
                <a:pt x="0" y="118110"/>
              </a:lnTo>
              <a:lnTo>
                <a:pt x="8267" y="118110"/>
              </a:lnTo>
              <a:lnTo>
                <a:pt x="8267" y="109220"/>
              </a:lnTo>
              <a:lnTo>
                <a:pt x="10795" y="109220"/>
              </a:lnTo>
              <a:lnTo>
                <a:pt x="10795" y="17780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3</xdr:col>
      <xdr:colOff>28704</xdr:colOff>
      <xdr:row>4</xdr:row>
      <xdr:rowOff>0</xdr:rowOff>
    </xdr:from>
    <xdr:ext cx="373380" cy="118745"/>
    <xdr:grpSp>
      <xdr:nvGrpSpPr>
        <xdr:cNvPr id="3" name="Group 3">
          <a:extLst>
            <a:ext uri="{FF2B5EF4-FFF2-40B4-BE49-F238E27FC236}">
              <a16:creationId xmlns:a16="http://schemas.microsoft.com/office/drawing/2014/main" id="{A1A63FB7-F1DA-46C4-92DF-7AA228DFF350}"/>
            </a:ext>
          </a:extLst>
        </xdr:cNvPr>
        <xdr:cNvGrpSpPr/>
      </xdr:nvGrpSpPr>
      <xdr:grpSpPr>
        <a:xfrm>
          <a:off x="3930144" y="899160"/>
          <a:ext cx="373380" cy="118745"/>
          <a:chOff x="0" y="0"/>
          <a:chExt cx="373380" cy="118745"/>
        </a:xfrm>
      </xdr:grpSpPr>
      <xdr:sp macro="" textlink="">
        <xdr:nvSpPr>
          <xdr:cNvPr id="4" name="Shape 4">
            <a:extLst>
              <a:ext uri="{FF2B5EF4-FFF2-40B4-BE49-F238E27FC236}">
                <a16:creationId xmlns:a16="http://schemas.microsoft.com/office/drawing/2014/main" id="{C7188270-249A-F2CC-A582-1BB67F0D3903}"/>
              </a:ext>
            </a:extLst>
          </xdr:cNvPr>
          <xdr:cNvSpPr/>
        </xdr:nvSpPr>
        <xdr:spPr>
          <a:xfrm>
            <a:off x="17995" y="17995"/>
            <a:ext cx="355600" cy="91440"/>
          </a:xfrm>
          <a:custGeom>
            <a:avLst/>
            <a:gdLst/>
            <a:ahLst/>
            <a:cxnLst/>
            <a:rect l="0" t="0" r="0" b="0"/>
            <a:pathLst>
              <a:path w="355600" h="91440">
                <a:moveTo>
                  <a:pt x="355346" y="91439"/>
                </a:moveTo>
                <a:lnTo>
                  <a:pt x="0" y="91439"/>
                </a:lnTo>
                <a:lnTo>
                  <a:pt x="0" y="0"/>
                </a:lnTo>
                <a:lnTo>
                  <a:pt x="355346" y="0"/>
                </a:lnTo>
                <a:lnTo>
                  <a:pt x="355346" y="91439"/>
                </a:lnTo>
                <a:close/>
              </a:path>
            </a:pathLst>
          </a:custGeom>
          <a:solidFill>
            <a:srgbClr val="EFEEFB">
              <a:alpha val="50000"/>
            </a:srgbClr>
          </a:solidFill>
        </xdr:spPr>
      </xdr:sp>
      <xdr:sp macro="" textlink="">
        <xdr:nvSpPr>
          <xdr:cNvPr id="5" name="Shape 5">
            <a:extLst>
              <a:ext uri="{FF2B5EF4-FFF2-40B4-BE49-F238E27FC236}">
                <a16:creationId xmlns:a16="http://schemas.microsoft.com/office/drawing/2014/main" id="{F41E74EB-7F68-6567-1DDA-71C3A61E81E2}"/>
              </a:ext>
            </a:extLst>
          </xdr:cNvPr>
          <xdr:cNvSpPr/>
        </xdr:nvSpPr>
        <xdr:spPr>
          <a:xfrm>
            <a:off x="0" y="0"/>
            <a:ext cx="18415" cy="118745"/>
          </a:xfrm>
          <a:custGeom>
            <a:avLst/>
            <a:gdLst/>
            <a:ahLst/>
            <a:cxnLst/>
            <a:rect l="0" t="0" r="0" b="0"/>
            <a:pathLst>
              <a:path w="18415" h="118745">
                <a:moveTo>
                  <a:pt x="8991" y="118440"/>
                </a:moveTo>
                <a:lnTo>
                  <a:pt x="0" y="118440"/>
                </a:lnTo>
                <a:lnTo>
                  <a:pt x="0" y="0"/>
                </a:lnTo>
                <a:lnTo>
                  <a:pt x="17995" y="17995"/>
                </a:lnTo>
                <a:lnTo>
                  <a:pt x="17995" y="109435"/>
                </a:lnTo>
                <a:lnTo>
                  <a:pt x="8991" y="118440"/>
                </a:lnTo>
                <a:close/>
              </a:path>
            </a:pathLst>
          </a:custGeom>
          <a:solidFill>
            <a:srgbClr val="000000">
              <a:alpha val="50000"/>
            </a:srgbClr>
          </a:solidFill>
        </xdr:spPr>
      </xdr:sp>
    </xdr:grpSp>
    <xdr:clientData/>
  </xdr:oneCellAnchor>
  <xdr:oneCellAnchor>
    <xdr:from>
      <xdr:col>18</xdr:col>
      <xdr:colOff>0</xdr:colOff>
      <xdr:row>4</xdr:row>
      <xdr:rowOff>0</xdr:rowOff>
    </xdr:from>
    <xdr:ext cx="10795" cy="1878330"/>
    <xdr:sp macro="" textlink="">
      <xdr:nvSpPr>
        <xdr:cNvPr id="6" name="Shape 2">
          <a:extLst>
            <a:ext uri="{FF2B5EF4-FFF2-40B4-BE49-F238E27FC236}">
              <a16:creationId xmlns:a16="http://schemas.microsoft.com/office/drawing/2014/main" id="{BE410888-AE11-465B-A9D8-B75995E0ED78}"/>
            </a:ext>
          </a:extLst>
        </xdr:cNvPr>
        <xdr:cNvSpPr/>
      </xdr:nvSpPr>
      <xdr:spPr>
        <a:xfrm>
          <a:off x="0" y="0"/>
          <a:ext cx="10795" cy="1878330"/>
        </a:xfrm>
        <a:custGeom>
          <a:avLst/>
          <a:gdLst/>
          <a:ahLst/>
          <a:cxnLst/>
          <a:rect l="0" t="0" r="0" b="0"/>
          <a:pathLst>
            <a:path w="10795" h="1878330">
              <a:moveTo>
                <a:pt x="10795" y="1768551"/>
              </a:moveTo>
              <a:lnTo>
                <a:pt x="0" y="1768551"/>
              </a:lnTo>
              <a:lnTo>
                <a:pt x="0" y="1859991"/>
              </a:lnTo>
              <a:lnTo>
                <a:pt x="0" y="1877771"/>
              </a:lnTo>
              <a:lnTo>
                <a:pt x="5600" y="1877771"/>
              </a:lnTo>
              <a:lnTo>
                <a:pt x="5600" y="1859991"/>
              </a:lnTo>
              <a:lnTo>
                <a:pt x="10795" y="1859991"/>
              </a:lnTo>
              <a:lnTo>
                <a:pt x="10795" y="1768551"/>
              </a:lnTo>
              <a:close/>
            </a:path>
            <a:path w="10795" h="1878330">
              <a:moveTo>
                <a:pt x="10795" y="1659128"/>
              </a:moveTo>
              <a:lnTo>
                <a:pt x="0" y="1659128"/>
              </a:lnTo>
              <a:lnTo>
                <a:pt x="0" y="1750568"/>
              </a:lnTo>
              <a:lnTo>
                <a:pt x="0" y="1759458"/>
              </a:lnTo>
              <a:lnTo>
                <a:pt x="8267" y="1759458"/>
              </a:lnTo>
              <a:lnTo>
                <a:pt x="8267" y="1750568"/>
              </a:lnTo>
              <a:lnTo>
                <a:pt x="10795" y="1750568"/>
              </a:lnTo>
              <a:lnTo>
                <a:pt x="10795" y="1659128"/>
              </a:lnTo>
              <a:close/>
            </a:path>
            <a:path w="10795" h="1878330">
              <a:moveTo>
                <a:pt x="10795" y="1549704"/>
              </a:moveTo>
              <a:lnTo>
                <a:pt x="0" y="1549704"/>
              </a:lnTo>
              <a:lnTo>
                <a:pt x="0" y="1641144"/>
              </a:lnTo>
              <a:lnTo>
                <a:pt x="0" y="1650034"/>
              </a:lnTo>
              <a:lnTo>
                <a:pt x="8267" y="1650034"/>
              </a:lnTo>
              <a:lnTo>
                <a:pt x="8267" y="1641144"/>
              </a:lnTo>
              <a:lnTo>
                <a:pt x="10795" y="1641144"/>
              </a:lnTo>
              <a:lnTo>
                <a:pt x="10795" y="1549704"/>
              </a:lnTo>
              <a:close/>
            </a:path>
            <a:path w="10795" h="1878330">
              <a:moveTo>
                <a:pt x="10795" y="1440281"/>
              </a:moveTo>
              <a:lnTo>
                <a:pt x="0" y="1440281"/>
              </a:lnTo>
              <a:lnTo>
                <a:pt x="0" y="1531721"/>
              </a:lnTo>
              <a:lnTo>
                <a:pt x="0" y="1540611"/>
              </a:lnTo>
              <a:lnTo>
                <a:pt x="8267" y="1540611"/>
              </a:lnTo>
              <a:lnTo>
                <a:pt x="8267" y="1531721"/>
              </a:lnTo>
              <a:lnTo>
                <a:pt x="10795" y="1531721"/>
              </a:lnTo>
              <a:lnTo>
                <a:pt x="10795" y="1440281"/>
              </a:lnTo>
              <a:close/>
            </a:path>
            <a:path w="10795" h="1878330">
              <a:moveTo>
                <a:pt x="10795" y="1330858"/>
              </a:moveTo>
              <a:lnTo>
                <a:pt x="0" y="1330858"/>
              </a:lnTo>
              <a:lnTo>
                <a:pt x="0" y="1422298"/>
              </a:lnTo>
              <a:lnTo>
                <a:pt x="0" y="1431188"/>
              </a:lnTo>
              <a:lnTo>
                <a:pt x="8267" y="1431188"/>
              </a:lnTo>
              <a:lnTo>
                <a:pt x="8267" y="1422298"/>
              </a:lnTo>
              <a:lnTo>
                <a:pt x="10795" y="1422298"/>
              </a:lnTo>
              <a:lnTo>
                <a:pt x="10795" y="1330858"/>
              </a:lnTo>
              <a:close/>
            </a:path>
            <a:path w="10795" h="1878330">
              <a:moveTo>
                <a:pt x="10795" y="1221435"/>
              </a:moveTo>
              <a:lnTo>
                <a:pt x="0" y="1221435"/>
              </a:lnTo>
              <a:lnTo>
                <a:pt x="0" y="1312875"/>
              </a:lnTo>
              <a:lnTo>
                <a:pt x="0" y="1321765"/>
              </a:lnTo>
              <a:lnTo>
                <a:pt x="8267" y="1321765"/>
              </a:lnTo>
              <a:lnTo>
                <a:pt x="8267" y="1312875"/>
              </a:lnTo>
              <a:lnTo>
                <a:pt x="10795" y="1312875"/>
              </a:lnTo>
              <a:lnTo>
                <a:pt x="10795" y="1221435"/>
              </a:lnTo>
              <a:close/>
            </a:path>
            <a:path w="10795" h="1878330">
              <a:moveTo>
                <a:pt x="10795" y="1112012"/>
              </a:moveTo>
              <a:lnTo>
                <a:pt x="0" y="1112012"/>
              </a:lnTo>
              <a:lnTo>
                <a:pt x="0" y="1203452"/>
              </a:lnTo>
              <a:lnTo>
                <a:pt x="0" y="1212342"/>
              </a:lnTo>
              <a:lnTo>
                <a:pt x="8267" y="1212342"/>
              </a:lnTo>
              <a:lnTo>
                <a:pt x="8267" y="1203452"/>
              </a:lnTo>
              <a:lnTo>
                <a:pt x="10795" y="1203452"/>
              </a:lnTo>
              <a:lnTo>
                <a:pt x="10795" y="1112012"/>
              </a:lnTo>
              <a:close/>
            </a:path>
            <a:path w="10795" h="1878330">
              <a:moveTo>
                <a:pt x="10795" y="1002588"/>
              </a:moveTo>
              <a:lnTo>
                <a:pt x="0" y="1002588"/>
              </a:lnTo>
              <a:lnTo>
                <a:pt x="0" y="1094028"/>
              </a:lnTo>
              <a:lnTo>
                <a:pt x="0" y="1102918"/>
              </a:lnTo>
              <a:lnTo>
                <a:pt x="8267" y="1102918"/>
              </a:lnTo>
              <a:lnTo>
                <a:pt x="8267" y="1094028"/>
              </a:lnTo>
              <a:lnTo>
                <a:pt x="10795" y="1094028"/>
              </a:lnTo>
              <a:lnTo>
                <a:pt x="10795" y="1002588"/>
              </a:lnTo>
              <a:close/>
            </a:path>
            <a:path w="10795" h="1878330">
              <a:moveTo>
                <a:pt x="10795" y="893165"/>
              </a:moveTo>
              <a:lnTo>
                <a:pt x="0" y="893165"/>
              </a:lnTo>
              <a:lnTo>
                <a:pt x="0" y="984605"/>
              </a:lnTo>
              <a:lnTo>
                <a:pt x="0" y="993495"/>
              </a:lnTo>
              <a:lnTo>
                <a:pt x="8267" y="993495"/>
              </a:lnTo>
              <a:lnTo>
                <a:pt x="8267" y="984605"/>
              </a:lnTo>
              <a:lnTo>
                <a:pt x="10795" y="984605"/>
              </a:lnTo>
              <a:lnTo>
                <a:pt x="10795" y="893165"/>
              </a:lnTo>
              <a:close/>
            </a:path>
            <a:path w="10795" h="1878330">
              <a:moveTo>
                <a:pt x="10795" y="783742"/>
              </a:moveTo>
              <a:lnTo>
                <a:pt x="0" y="783742"/>
              </a:lnTo>
              <a:lnTo>
                <a:pt x="0" y="875182"/>
              </a:lnTo>
              <a:lnTo>
                <a:pt x="0" y="884072"/>
              </a:lnTo>
              <a:lnTo>
                <a:pt x="8267" y="884072"/>
              </a:lnTo>
              <a:lnTo>
                <a:pt x="8267" y="875182"/>
              </a:lnTo>
              <a:lnTo>
                <a:pt x="10795" y="875182"/>
              </a:lnTo>
              <a:lnTo>
                <a:pt x="10795" y="783742"/>
              </a:lnTo>
              <a:close/>
            </a:path>
            <a:path w="10795" h="1878330">
              <a:moveTo>
                <a:pt x="10795" y="674319"/>
              </a:moveTo>
              <a:lnTo>
                <a:pt x="0" y="674319"/>
              </a:lnTo>
              <a:lnTo>
                <a:pt x="0" y="765759"/>
              </a:lnTo>
              <a:lnTo>
                <a:pt x="0" y="774649"/>
              </a:lnTo>
              <a:lnTo>
                <a:pt x="8267" y="774649"/>
              </a:lnTo>
              <a:lnTo>
                <a:pt x="8267" y="765759"/>
              </a:lnTo>
              <a:lnTo>
                <a:pt x="10795" y="765759"/>
              </a:lnTo>
              <a:lnTo>
                <a:pt x="10795" y="674319"/>
              </a:lnTo>
              <a:close/>
            </a:path>
            <a:path w="10795" h="1878330">
              <a:moveTo>
                <a:pt x="10795" y="564896"/>
              </a:moveTo>
              <a:lnTo>
                <a:pt x="0" y="564896"/>
              </a:lnTo>
              <a:lnTo>
                <a:pt x="0" y="656336"/>
              </a:lnTo>
              <a:lnTo>
                <a:pt x="0" y="665226"/>
              </a:lnTo>
              <a:lnTo>
                <a:pt x="8267" y="665226"/>
              </a:lnTo>
              <a:lnTo>
                <a:pt x="8267" y="656336"/>
              </a:lnTo>
              <a:lnTo>
                <a:pt x="10795" y="656336"/>
              </a:lnTo>
              <a:lnTo>
                <a:pt x="10795" y="564896"/>
              </a:lnTo>
              <a:close/>
            </a:path>
            <a:path w="10795" h="1878330">
              <a:moveTo>
                <a:pt x="10795" y="455472"/>
              </a:moveTo>
              <a:lnTo>
                <a:pt x="0" y="455472"/>
              </a:lnTo>
              <a:lnTo>
                <a:pt x="0" y="546912"/>
              </a:lnTo>
              <a:lnTo>
                <a:pt x="0" y="555802"/>
              </a:lnTo>
              <a:lnTo>
                <a:pt x="8267" y="555802"/>
              </a:lnTo>
              <a:lnTo>
                <a:pt x="8267" y="546912"/>
              </a:lnTo>
              <a:lnTo>
                <a:pt x="10795" y="546912"/>
              </a:lnTo>
              <a:lnTo>
                <a:pt x="10795" y="455472"/>
              </a:lnTo>
              <a:close/>
            </a:path>
            <a:path w="10795" h="1878330">
              <a:moveTo>
                <a:pt x="10795" y="346049"/>
              </a:moveTo>
              <a:lnTo>
                <a:pt x="0" y="346049"/>
              </a:lnTo>
              <a:lnTo>
                <a:pt x="0" y="437489"/>
              </a:lnTo>
              <a:lnTo>
                <a:pt x="0" y="446379"/>
              </a:lnTo>
              <a:lnTo>
                <a:pt x="8267" y="446379"/>
              </a:lnTo>
              <a:lnTo>
                <a:pt x="8267" y="437489"/>
              </a:lnTo>
              <a:lnTo>
                <a:pt x="10795" y="437489"/>
              </a:lnTo>
              <a:lnTo>
                <a:pt x="10795" y="346049"/>
              </a:lnTo>
              <a:close/>
            </a:path>
            <a:path w="10795" h="1878330">
              <a:moveTo>
                <a:pt x="10795" y="236626"/>
              </a:moveTo>
              <a:lnTo>
                <a:pt x="0" y="236626"/>
              </a:lnTo>
              <a:lnTo>
                <a:pt x="0" y="328066"/>
              </a:lnTo>
              <a:lnTo>
                <a:pt x="0" y="336956"/>
              </a:lnTo>
              <a:lnTo>
                <a:pt x="8267" y="336956"/>
              </a:lnTo>
              <a:lnTo>
                <a:pt x="8267" y="328066"/>
              </a:lnTo>
              <a:lnTo>
                <a:pt x="10795" y="328066"/>
              </a:lnTo>
              <a:lnTo>
                <a:pt x="10795" y="236626"/>
              </a:lnTo>
              <a:close/>
            </a:path>
            <a:path w="10795" h="1878330">
              <a:moveTo>
                <a:pt x="10795" y="127203"/>
              </a:moveTo>
              <a:lnTo>
                <a:pt x="0" y="127203"/>
              </a:lnTo>
              <a:lnTo>
                <a:pt x="0" y="218643"/>
              </a:lnTo>
              <a:lnTo>
                <a:pt x="0" y="227533"/>
              </a:lnTo>
              <a:lnTo>
                <a:pt x="8267" y="227533"/>
              </a:lnTo>
              <a:lnTo>
                <a:pt x="8267" y="218643"/>
              </a:lnTo>
              <a:lnTo>
                <a:pt x="10795" y="218643"/>
              </a:lnTo>
              <a:lnTo>
                <a:pt x="10795" y="127203"/>
              </a:lnTo>
              <a:close/>
            </a:path>
            <a:path w="10795" h="1878330">
              <a:moveTo>
                <a:pt x="10795" y="17780"/>
              </a:moveTo>
              <a:lnTo>
                <a:pt x="5334" y="17780"/>
              </a:lnTo>
              <a:lnTo>
                <a:pt x="5334" y="0"/>
              </a:lnTo>
              <a:lnTo>
                <a:pt x="0" y="0"/>
              </a:lnTo>
              <a:lnTo>
                <a:pt x="0" y="17780"/>
              </a:lnTo>
              <a:lnTo>
                <a:pt x="0" y="109220"/>
              </a:lnTo>
              <a:lnTo>
                <a:pt x="0" y="118110"/>
              </a:lnTo>
              <a:lnTo>
                <a:pt x="8267" y="118110"/>
              </a:lnTo>
              <a:lnTo>
                <a:pt x="8267" y="109220"/>
              </a:lnTo>
              <a:lnTo>
                <a:pt x="10795" y="109220"/>
              </a:lnTo>
              <a:lnTo>
                <a:pt x="10795" y="17780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21</xdr:col>
      <xdr:colOff>28704</xdr:colOff>
      <xdr:row>4</xdr:row>
      <xdr:rowOff>0</xdr:rowOff>
    </xdr:from>
    <xdr:ext cx="373380" cy="118745"/>
    <xdr:grpSp>
      <xdr:nvGrpSpPr>
        <xdr:cNvPr id="7" name="Group 3">
          <a:extLst>
            <a:ext uri="{FF2B5EF4-FFF2-40B4-BE49-F238E27FC236}">
              <a16:creationId xmlns:a16="http://schemas.microsoft.com/office/drawing/2014/main" id="{65FB2BE6-B4E3-491A-A1FB-6D14E9D1E702}"/>
            </a:ext>
          </a:extLst>
        </xdr:cNvPr>
        <xdr:cNvGrpSpPr/>
      </xdr:nvGrpSpPr>
      <xdr:grpSpPr>
        <a:xfrm>
          <a:off x="21075144" y="899160"/>
          <a:ext cx="373380" cy="118745"/>
          <a:chOff x="0" y="0"/>
          <a:chExt cx="373380" cy="118745"/>
        </a:xfrm>
      </xdr:grpSpPr>
      <xdr:sp macro="" textlink="">
        <xdr:nvSpPr>
          <xdr:cNvPr id="8" name="Shape 4">
            <a:extLst>
              <a:ext uri="{FF2B5EF4-FFF2-40B4-BE49-F238E27FC236}">
                <a16:creationId xmlns:a16="http://schemas.microsoft.com/office/drawing/2014/main" id="{A6B8CB0A-0539-039A-3EAC-98C1BB9F13A3}"/>
              </a:ext>
            </a:extLst>
          </xdr:cNvPr>
          <xdr:cNvSpPr/>
        </xdr:nvSpPr>
        <xdr:spPr>
          <a:xfrm>
            <a:off x="17995" y="17995"/>
            <a:ext cx="355600" cy="91440"/>
          </a:xfrm>
          <a:custGeom>
            <a:avLst/>
            <a:gdLst/>
            <a:ahLst/>
            <a:cxnLst/>
            <a:rect l="0" t="0" r="0" b="0"/>
            <a:pathLst>
              <a:path w="355600" h="91440">
                <a:moveTo>
                  <a:pt x="355346" y="91439"/>
                </a:moveTo>
                <a:lnTo>
                  <a:pt x="0" y="91439"/>
                </a:lnTo>
                <a:lnTo>
                  <a:pt x="0" y="0"/>
                </a:lnTo>
                <a:lnTo>
                  <a:pt x="355346" y="0"/>
                </a:lnTo>
                <a:lnTo>
                  <a:pt x="355346" y="91439"/>
                </a:lnTo>
                <a:close/>
              </a:path>
            </a:pathLst>
          </a:custGeom>
          <a:solidFill>
            <a:srgbClr val="EFEEFB">
              <a:alpha val="50000"/>
            </a:srgbClr>
          </a:solidFill>
        </xdr:spPr>
      </xdr:sp>
      <xdr:sp macro="" textlink="">
        <xdr:nvSpPr>
          <xdr:cNvPr id="9" name="Shape 5">
            <a:extLst>
              <a:ext uri="{FF2B5EF4-FFF2-40B4-BE49-F238E27FC236}">
                <a16:creationId xmlns:a16="http://schemas.microsoft.com/office/drawing/2014/main" id="{A23E3D70-F4B2-0B49-DF9B-D1AAE9F00223}"/>
              </a:ext>
            </a:extLst>
          </xdr:cNvPr>
          <xdr:cNvSpPr/>
        </xdr:nvSpPr>
        <xdr:spPr>
          <a:xfrm>
            <a:off x="0" y="0"/>
            <a:ext cx="18415" cy="118745"/>
          </a:xfrm>
          <a:custGeom>
            <a:avLst/>
            <a:gdLst/>
            <a:ahLst/>
            <a:cxnLst/>
            <a:rect l="0" t="0" r="0" b="0"/>
            <a:pathLst>
              <a:path w="18415" h="118745">
                <a:moveTo>
                  <a:pt x="8991" y="118440"/>
                </a:moveTo>
                <a:lnTo>
                  <a:pt x="0" y="118440"/>
                </a:lnTo>
                <a:lnTo>
                  <a:pt x="0" y="0"/>
                </a:lnTo>
                <a:lnTo>
                  <a:pt x="17995" y="17995"/>
                </a:lnTo>
                <a:lnTo>
                  <a:pt x="17995" y="109435"/>
                </a:lnTo>
                <a:lnTo>
                  <a:pt x="8991" y="118440"/>
                </a:lnTo>
                <a:close/>
              </a:path>
            </a:pathLst>
          </a:custGeom>
          <a:solidFill>
            <a:srgbClr val="000000">
              <a:alpha val="50000"/>
            </a:srgbClr>
          </a:solidFill>
        </xdr:spPr>
      </xdr:sp>
    </xdr:grp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colás Gómez" id="{7019B9D9-6E0C-4323-960C-EB915C901198}" userId="S::Nicolas.Gomez@rsmchile.cl::ce2a2ca6-0ae6-4af7-8a24-b9011ba38bbe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1-16T20:54:26.33" personId="{7019B9D9-6E0C-4323-960C-EB915C901198}" id="{A8D4785F-E5CA-4F90-BD6A-A4FE5071F846}">
    <text>En f-29 octubre, sale la suma de cantidad entre las 33 y 61</text>
  </threadedComment>
  <threadedComment ref="B10" dT="2025-01-21T18:31:17.16" personId="{7019B9D9-6E0C-4323-960C-EB915C901198}" id="{2D5602CF-F20E-4484-A964-1E701FD33AAA}">
    <text>OJO: Se excluyen las boletas, en columna Y de LV fijarse en los 33, excluir los 39, que se declaran en codigos 708 y 709</text>
  </threadedComment>
</ThreadedComment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BE4A-D38D-4575-BAB3-620C785AE2FD}">
  <sheetPr codeName="Hoja6"/>
  <dimension ref="A3:Q56"/>
  <sheetViews>
    <sheetView zoomScaleNormal="100" workbookViewId="0"/>
  </sheetViews>
  <sheetFormatPr baseColWidth="10" defaultColWidth="11.44140625" defaultRowHeight="14.4"/>
  <cols>
    <col min="1" max="1" width="16.5546875" bestFit="1" customWidth="1"/>
    <col min="4" max="4" width="45.88671875" bestFit="1" customWidth="1"/>
    <col min="7" max="7" width="10.88671875" style="21"/>
    <col min="8" max="8" width="23.109375" bestFit="1" customWidth="1"/>
    <col min="12" max="12" width="38.88671875" bestFit="1" customWidth="1"/>
    <col min="13" max="13" width="26.44140625" bestFit="1" customWidth="1"/>
  </cols>
  <sheetData>
    <row r="3" spans="1:17">
      <c r="A3" t="s">
        <v>0</v>
      </c>
      <c r="B3" t="s">
        <v>1</v>
      </c>
    </row>
    <row r="4" spans="1:17">
      <c r="A4" t="s">
        <v>2</v>
      </c>
      <c r="B4" t="s">
        <v>3</v>
      </c>
    </row>
    <row r="5" spans="1:17">
      <c r="A5" t="s">
        <v>4</v>
      </c>
      <c r="B5" t="s">
        <v>5</v>
      </c>
    </row>
    <row r="6" spans="1:17">
      <c r="A6" t="s">
        <v>6</v>
      </c>
      <c r="B6" t="str">
        <f>+'Panel control'!C14</f>
        <v>Junio</v>
      </c>
    </row>
    <row r="7" spans="1:17">
      <c r="K7" s="157" t="s">
        <v>7</v>
      </c>
      <c r="L7" s="157"/>
      <c r="M7" s="157"/>
      <c r="N7" s="157"/>
      <c r="O7" s="157"/>
      <c r="P7" s="157"/>
      <c r="Q7" s="157"/>
    </row>
    <row r="8" spans="1:17">
      <c r="A8" t="s">
        <v>8</v>
      </c>
      <c r="B8" s="156" t="s">
        <v>9</v>
      </c>
      <c r="C8" s="156"/>
      <c r="D8" s="156"/>
      <c r="E8" s="156"/>
      <c r="F8" s="156"/>
      <c r="G8" s="156"/>
      <c r="H8" s="156"/>
      <c r="K8" s="158" t="s">
        <v>10</v>
      </c>
      <c r="L8" s="159"/>
      <c r="M8" s="133" t="s">
        <v>11</v>
      </c>
      <c r="N8" s="133"/>
      <c r="O8" s="133" t="s">
        <v>12</v>
      </c>
      <c r="P8" s="133"/>
      <c r="Q8" s="133"/>
    </row>
    <row r="9" spans="1:17" ht="15" thickBot="1">
      <c r="B9" s="6" t="s">
        <v>13</v>
      </c>
      <c r="C9" s="7" t="s">
        <v>14</v>
      </c>
      <c r="D9" s="7" t="s">
        <v>15</v>
      </c>
      <c r="E9" s="7" t="s">
        <v>16</v>
      </c>
      <c r="F9" s="7" t="s">
        <v>17</v>
      </c>
      <c r="G9" s="132" t="s">
        <v>18</v>
      </c>
      <c r="H9" s="4" t="s">
        <v>19</v>
      </c>
      <c r="K9" s="4" t="s">
        <v>20</v>
      </c>
      <c r="L9" s="4" t="s">
        <v>21</v>
      </c>
      <c r="M9" s="4" t="s">
        <v>22</v>
      </c>
      <c r="N9" s="133"/>
      <c r="O9" s="133" t="s">
        <v>20</v>
      </c>
      <c r="P9" s="133" t="s">
        <v>21</v>
      </c>
      <c r="Q9" s="133" t="s">
        <v>23</v>
      </c>
    </row>
    <row r="10" spans="1:17">
      <c r="F10" s="1"/>
    </row>
    <row r="11" spans="1:17">
      <c r="F11" s="1"/>
    </row>
    <row r="12" spans="1:17">
      <c r="F12" s="1"/>
    </row>
    <row r="13" spans="1:17">
      <c r="F13" s="1"/>
    </row>
    <row r="14" spans="1:17">
      <c r="F14" s="1"/>
    </row>
    <row r="15" spans="1:17">
      <c r="F15" s="1"/>
    </row>
    <row r="16" spans="1:17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  <row r="21" spans="6:6">
      <c r="F21" s="1"/>
    </row>
    <row r="22" spans="6:6">
      <c r="F22" s="1"/>
    </row>
    <row r="23" spans="6:6">
      <c r="F23" s="1"/>
    </row>
    <row r="24" spans="6:6">
      <c r="F24" s="1"/>
    </row>
    <row r="25" spans="6:6">
      <c r="F25" s="1"/>
    </row>
    <row r="26" spans="6:6">
      <c r="F26" s="1"/>
    </row>
    <row r="27" spans="6:6">
      <c r="F27" s="1"/>
    </row>
    <row r="28" spans="6:6">
      <c r="F28" s="1"/>
    </row>
    <row r="29" spans="6:6">
      <c r="F29" s="1"/>
    </row>
    <row r="30" spans="6:6">
      <c r="F30" s="1"/>
    </row>
    <row r="31" spans="6:6">
      <c r="F31" s="1"/>
    </row>
    <row r="32" spans="6:6">
      <c r="F32" s="1"/>
    </row>
    <row r="33" spans="6:6">
      <c r="F33" s="1"/>
    </row>
    <row r="34" spans="6:6">
      <c r="F34" s="1"/>
    </row>
    <row r="35" spans="6:6">
      <c r="F35" s="1"/>
    </row>
    <row r="36" spans="6:6">
      <c r="F36" s="1"/>
    </row>
    <row r="37" spans="6:6">
      <c r="F37" s="1"/>
    </row>
    <row r="38" spans="6:6">
      <c r="F38" s="1"/>
    </row>
    <row r="44" spans="6:6">
      <c r="F44" s="1"/>
    </row>
    <row r="45" spans="6:6">
      <c r="F45" s="1"/>
    </row>
    <row r="46" spans="6:6">
      <c r="F46" s="1"/>
    </row>
    <row r="47" spans="6:6">
      <c r="F47" s="1"/>
    </row>
    <row r="48" spans="6:6">
      <c r="F48" s="1"/>
    </row>
    <row r="49" spans="6:6">
      <c r="F49" s="1"/>
    </row>
    <row r="50" spans="6:6">
      <c r="F50" s="1"/>
    </row>
    <row r="51" spans="6:6">
      <c r="F51" s="1"/>
    </row>
    <row r="52" spans="6:6">
      <c r="F52" s="1"/>
    </row>
    <row r="53" spans="6:6">
      <c r="F53" s="1"/>
    </row>
    <row r="56" spans="6:6">
      <c r="F56" s="1"/>
    </row>
  </sheetData>
  <mergeCells count="3">
    <mergeCell ref="B8:H8"/>
    <mergeCell ref="K7:Q7"/>
    <mergeCell ref="K8:L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7D71-2ECF-4AB6-A163-BEF19C2E6D2C}">
  <sheetPr codeName="Hoja10">
    <tabColor rgb="FF92D050"/>
  </sheetPr>
  <dimension ref="A1:AX15846"/>
  <sheetViews>
    <sheetView topLeftCell="B2267" zoomScale="85" zoomScaleNormal="85" workbookViewId="0">
      <selection activeCell="G2299" sqref="G2299"/>
    </sheetView>
  </sheetViews>
  <sheetFormatPr baseColWidth="10" defaultColWidth="11.44140625" defaultRowHeight="14.4"/>
  <cols>
    <col min="1" max="2" width="11.5546875" bestFit="1" customWidth="1"/>
    <col min="5" max="5" width="29.109375" customWidth="1"/>
    <col min="6" max="6" width="11.5546875" bestFit="1" customWidth="1"/>
    <col min="7" max="7" width="14.109375" style="23" bestFit="1" customWidth="1"/>
    <col min="8" max="10" width="15.5546875" bestFit="1" customWidth="1"/>
    <col min="11" max="11" width="14.109375" style="21" bestFit="1" customWidth="1"/>
    <col min="12" max="12" width="14.5546875" style="21" bestFit="1" customWidth="1"/>
    <col min="13" max="13" width="12.88671875" style="21" bestFit="1" customWidth="1"/>
    <col min="14" max="14" width="14.109375" style="21" bestFit="1" customWidth="1"/>
    <col min="15" max="19" width="11.5546875" bestFit="1" customWidth="1"/>
    <col min="21" max="26" width="11.5546875" bestFit="1" customWidth="1"/>
    <col min="29" max="29" width="11.5546875" bestFit="1" customWidth="1"/>
    <col min="31" max="35" width="11.5546875" bestFit="1" customWidth="1"/>
    <col min="39" max="39" width="11.5546875" bestFit="1" customWidth="1"/>
    <col min="44" max="44" width="28" bestFit="1" customWidth="1"/>
    <col min="47" max="47" width="10.88671875" customWidth="1"/>
    <col min="48" max="48" width="9.6640625" bestFit="1" customWidth="1"/>
    <col min="50" max="50" width="17.5546875" bestFit="1" customWidth="1"/>
  </cols>
  <sheetData>
    <row r="1" spans="1:50">
      <c r="A1" s="11" t="s">
        <v>31</v>
      </c>
      <c r="B1" s="11" t="s">
        <v>13</v>
      </c>
      <c r="C1" s="11" t="s">
        <v>32</v>
      </c>
      <c r="D1" s="11" t="s">
        <v>14</v>
      </c>
      <c r="E1" s="11" t="s">
        <v>15</v>
      </c>
      <c r="F1" s="11" t="s">
        <v>33</v>
      </c>
      <c r="G1" s="24" t="s">
        <v>17</v>
      </c>
      <c r="H1" s="11" t="s">
        <v>34</v>
      </c>
      <c r="I1" s="11" t="s">
        <v>35</v>
      </c>
      <c r="J1" s="11" t="s">
        <v>36</v>
      </c>
      <c r="K1" s="20" t="s">
        <v>37</v>
      </c>
      <c r="L1" s="20" t="s">
        <v>38</v>
      </c>
      <c r="M1" s="20" t="s">
        <v>39</v>
      </c>
      <c r="N1" s="20" t="s">
        <v>18</v>
      </c>
      <c r="O1" s="11" t="s">
        <v>40</v>
      </c>
      <c r="P1" s="11" t="s">
        <v>41</v>
      </c>
      <c r="Q1" s="11" t="s">
        <v>42</v>
      </c>
      <c r="R1" s="11" t="s">
        <v>43</v>
      </c>
      <c r="S1" s="11" t="s">
        <v>44</v>
      </c>
      <c r="T1" s="11" t="s">
        <v>45</v>
      </c>
      <c r="U1" s="11" t="s">
        <v>46</v>
      </c>
      <c r="V1" s="11" t="s">
        <v>47</v>
      </c>
      <c r="W1" s="11" t="s">
        <v>48</v>
      </c>
      <c r="X1" s="11" t="s">
        <v>49</v>
      </c>
      <c r="Y1" s="11" t="s">
        <v>50</v>
      </c>
      <c r="Z1" s="11" t="s">
        <v>51</v>
      </c>
      <c r="AA1" s="11" t="s">
        <v>52</v>
      </c>
      <c r="AB1" s="11" t="s">
        <v>53</v>
      </c>
      <c r="AC1" s="11" t="s">
        <v>54</v>
      </c>
      <c r="AD1" s="11" t="s">
        <v>55</v>
      </c>
      <c r="AE1" s="11" t="s">
        <v>56</v>
      </c>
      <c r="AF1" s="11" t="s">
        <v>57</v>
      </c>
      <c r="AG1" s="11" t="s">
        <v>58</v>
      </c>
      <c r="AH1" s="11"/>
      <c r="AI1" s="11" t="s">
        <v>59</v>
      </c>
      <c r="AJ1" s="11" t="s">
        <v>60</v>
      </c>
      <c r="AK1" s="11" t="s">
        <v>61</v>
      </c>
      <c r="AL1" s="11" t="s">
        <v>62</v>
      </c>
      <c r="AM1" s="11" t="s">
        <v>63</v>
      </c>
      <c r="AN1" s="11" t="s">
        <v>64</v>
      </c>
      <c r="AO1" s="11" t="s">
        <v>65</v>
      </c>
      <c r="AP1" s="11" t="s">
        <v>66</v>
      </c>
      <c r="AQ1" s="11" t="s">
        <v>67</v>
      </c>
      <c r="AR1" s="11" t="s">
        <v>68</v>
      </c>
      <c r="AS1" s="11" t="s">
        <v>69</v>
      </c>
      <c r="AT1" s="11" t="s">
        <v>70</v>
      </c>
      <c r="AU1" s="11" t="s">
        <v>71</v>
      </c>
      <c r="AV1" s="11" t="s">
        <v>72</v>
      </c>
      <c r="AX1" s="12" t="s">
        <v>73</v>
      </c>
    </row>
    <row r="2" spans="1:50">
      <c r="A2">
        <v>1</v>
      </c>
      <c r="B2">
        <v>33</v>
      </c>
      <c r="C2" t="s">
        <v>74</v>
      </c>
      <c r="D2" t="s">
        <v>1222</v>
      </c>
      <c r="E2" t="s">
        <v>1223</v>
      </c>
      <c r="F2">
        <v>3105</v>
      </c>
      <c r="G2" s="23">
        <v>45476</v>
      </c>
      <c r="H2" s="2" t="s">
        <v>1552</v>
      </c>
      <c r="I2" s="2"/>
      <c r="J2" s="2">
        <v>45419.473124999997</v>
      </c>
      <c r="K2" s="149">
        <v>0</v>
      </c>
      <c r="L2" s="149">
        <v>447860</v>
      </c>
      <c r="M2" s="149">
        <v>85093</v>
      </c>
      <c r="N2" s="149">
        <v>532953</v>
      </c>
      <c r="O2">
        <v>0</v>
      </c>
      <c r="P2">
        <v>0</v>
      </c>
      <c r="Q2">
        <v>0</v>
      </c>
      <c r="R2">
        <v>0</v>
      </c>
      <c r="S2">
        <v>0</v>
      </c>
      <c r="T2" t="s">
        <v>77</v>
      </c>
      <c r="U2">
        <v>0</v>
      </c>
      <c r="V2">
        <v>0</v>
      </c>
      <c r="W2">
        <v>0</v>
      </c>
      <c r="X2">
        <v>0</v>
      </c>
      <c r="AC2">
        <v>0</v>
      </c>
      <c r="AE2">
        <v>0</v>
      </c>
      <c r="AF2">
        <v>2</v>
      </c>
      <c r="AG2">
        <v>0</v>
      </c>
      <c r="AH2">
        <v>0</v>
      </c>
      <c r="AI2">
        <v>0</v>
      </c>
      <c r="AM2">
        <v>0</v>
      </c>
      <c r="AR2" t="s">
        <v>1679</v>
      </c>
      <c r="AS2" t="s">
        <v>1680</v>
      </c>
      <c r="AT2">
        <v>2024</v>
      </c>
      <c r="AU2">
        <v>7</v>
      </c>
      <c r="AV2" t="s">
        <v>78</v>
      </c>
      <c r="AX2" t="s">
        <v>1681</v>
      </c>
    </row>
    <row r="3" spans="1:50">
      <c r="A3">
        <v>2</v>
      </c>
      <c r="B3">
        <v>33</v>
      </c>
      <c r="C3" t="s">
        <v>74</v>
      </c>
      <c r="D3" t="s">
        <v>1222</v>
      </c>
      <c r="E3" t="s">
        <v>1223</v>
      </c>
      <c r="F3">
        <v>3106</v>
      </c>
      <c r="G3" s="23">
        <v>45476</v>
      </c>
      <c r="H3" s="2" t="s">
        <v>1553</v>
      </c>
      <c r="I3" s="2"/>
      <c r="J3" s="2">
        <v>45419.472708333335</v>
      </c>
      <c r="K3" s="149">
        <v>0</v>
      </c>
      <c r="L3" s="149">
        <v>4768560</v>
      </c>
      <c r="M3" s="149">
        <v>906026</v>
      </c>
      <c r="N3" s="149">
        <v>5674586</v>
      </c>
      <c r="O3">
        <v>0</v>
      </c>
      <c r="P3">
        <v>0</v>
      </c>
      <c r="Q3">
        <v>0</v>
      </c>
      <c r="R3">
        <v>0</v>
      </c>
      <c r="S3">
        <v>0</v>
      </c>
      <c r="T3" t="s">
        <v>77</v>
      </c>
      <c r="U3">
        <v>0</v>
      </c>
      <c r="V3">
        <v>0</v>
      </c>
      <c r="W3">
        <v>0</v>
      </c>
      <c r="X3">
        <v>0</v>
      </c>
      <c r="AC3">
        <v>0</v>
      </c>
      <c r="AE3">
        <v>0</v>
      </c>
      <c r="AF3">
        <v>2</v>
      </c>
      <c r="AG3">
        <v>0</v>
      </c>
      <c r="AH3">
        <v>0</v>
      </c>
      <c r="AI3">
        <v>0</v>
      </c>
      <c r="AM3">
        <v>0</v>
      </c>
      <c r="AR3" t="s">
        <v>1679</v>
      </c>
      <c r="AS3" t="s">
        <v>1680</v>
      </c>
      <c r="AT3">
        <v>2024</v>
      </c>
      <c r="AU3">
        <v>7</v>
      </c>
      <c r="AV3" t="s">
        <v>78</v>
      </c>
      <c r="AX3" t="s">
        <v>1682</v>
      </c>
    </row>
    <row r="4" spans="1:50">
      <c r="A4">
        <v>3</v>
      </c>
      <c r="B4">
        <v>33</v>
      </c>
      <c r="C4" t="s">
        <v>74</v>
      </c>
      <c r="D4" t="s">
        <v>1222</v>
      </c>
      <c r="E4" t="s">
        <v>1223</v>
      </c>
      <c r="F4">
        <v>3107</v>
      </c>
      <c r="G4" s="23">
        <v>45476</v>
      </c>
      <c r="H4" s="2" t="s">
        <v>1554</v>
      </c>
      <c r="I4" s="2"/>
      <c r="J4" s="2">
        <v>45419.473055555558</v>
      </c>
      <c r="K4" s="149">
        <v>0</v>
      </c>
      <c r="L4" s="149">
        <v>10369826</v>
      </c>
      <c r="M4" s="149">
        <v>1970267</v>
      </c>
      <c r="N4" s="149">
        <v>12340093</v>
      </c>
      <c r="O4">
        <v>0</v>
      </c>
      <c r="P4">
        <v>0</v>
      </c>
      <c r="Q4">
        <v>0</v>
      </c>
      <c r="R4">
        <v>0</v>
      </c>
      <c r="S4">
        <v>0</v>
      </c>
      <c r="T4" t="s">
        <v>77</v>
      </c>
      <c r="U4">
        <v>0</v>
      </c>
      <c r="V4">
        <v>0</v>
      </c>
      <c r="W4">
        <v>0</v>
      </c>
      <c r="X4">
        <v>0</v>
      </c>
      <c r="AC4">
        <v>0</v>
      </c>
      <c r="AE4">
        <v>0</v>
      </c>
      <c r="AF4">
        <v>2</v>
      </c>
      <c r="AG4">
        <v>0</v>
      </c>
      <c r="AH4">
        <v>0</v>
      </c>
      <c r="AI4">
        <v>0</v>
      </c>
      <c r="AM4">
        <v>0</v>
      </c>
      <c r="AR4" t="s">
        <v>1679</v>
      </c>
      <c r="AS4" t="s">
        <v>1680</v>
      </c>
      <c r="AT4">
        <v>2024</v>
      </c>
      <c r="AU4">
        <v>7</v>
      </c>
      <c r="AV4" t="s">
        <v>78</v>
      </c>
      <c r="AX4" t="s">
        <v>1683</v>
      </c>
    </row>
    <row r="5" spans="1:50">
      <c r="A5">
        <v>4</v>
      </c>
      <c r="B5">
        <v>33</v>
      </c>
      <c r="C5" t="s">
        <v>74</v>
      </c>
      <c r="D5" t="s">
        <v>1555</v>
      </c>
      <c r="E5" t="s">
        <v>1556</v>
      </c>
      <c r="F5">
        <v>3108</v>
      </c>
      <c r="G5" s="23">
        <v>45476</v>
      </c>
      <c r="H5" s="2" t="s">
        <v>1557</v>
      </c>
      <c r="I5" s="2">
        <v>45358.708553240744</v>
      </c>
      <c r="K5" s="149">
        <v>0</v>
      </c>
      <c r="L5" s="149">
        <v>1849780</v>
      </c>
      <c r="M5" s="149">
        <v>351458</v>
      </c>
      <c r="N5" s="149">
        <v>2201238</v>
      </c>
      <c r="O5">
        <v>0</v>
      </c>
      <c r="P5">
        <v>0</v>
      </c>
      <c r="Q5">
        <v>0</v>
      </c>
      <c r="R5">
        <v>0</v>
      </c>
      <c r="S5">
        <v>0</v>
      </c>
      <c r="T5" t="s">
        <v>77</v>
      </c>
      <c r="U5">
        <v>0</v>
      </c>
      <c r="V5">
        <v>0</v>
      </c>
      <c r="W5">
        <v>0</v>
      </c>
      <c r="X5">
        <v>0</v>
      </c>
      <c r="AC5">
        <v>0</v>
      </c>
      <c r="AE5">
        <v>0</v>
      </c>
      <c r="AF5">
        <v>2</v>
      </c>
      <c r="AG5">
        <v>0</v>
      </c>
      <c r="AH5">
        <v>0</v>
      </c>
      <c r="AI5">
        <v>0</v>
      </c>
      <c r="AM5">
        <v>0</v>
      </c>
      <c r="AR5" t="s">
        <v>1679</v>
      </c>
      <c r="AS5" t="s">
        <v>1680</v>
      </c>
      <c r="AT5">
        <v>2024</v>
      </c>
      <c r="AU5">
        <v>7</v>
      </c>
      <c r="AV5" t="s">
        <v>78</v>
      </c>
      <c r="AX5" t="s">
        <v>1684</v>
      </c>
    </row>
    <row r="6" spans="1:50">
      <c r="A6">
        <v>5</v>
      </c>
      <c r="B6">
        <v>33</v>
      </c>
      <c r="C6" t="s">
        <v>74</v>
      </c>
      <c r="D6" t="s">
        <v>1558</v>
      </c>
      <c r="E6" t="s">
        <v>1559</v>
      </c>
      <c r="F6">
        <v>3109</v>
      </c>
      <c r="G6" s="23">
        <v>45475</v>
      </c>
      <c r="H6" s="2" t="s">
        <v>1560</v>
      </c>
      <c r="I6" s="2">
        <v>45329.61173611111</v>
      </c>
      <c r="K6" s="149">
        <v>0</v>
      </c>
      <c r="L6" s="149">
        <v>103680</v>
      </c>
      <c r="M6" s="149">
        <v>19699</v>
      </c>
      <c r="N6" s="149">
        <v>123379</v>
      </c>
      <c r="O6">
        <v>0</v>
      </c>
      <c r="P6">
        <v>0</v>
      </c>
      <c r="Q6">
        <v>0</v>
      </c>
      <c r="R6">
        <v>0</v>
      </c>
      <c r="S6">
        <v>0</v>
      </c>
      <c r="T6" t="s">
        <v>77</v>
      </c>
      <c r="U6">
        <v>0</v>
      </c>
      <c r="V6">
        <v>0</v>
      </c>
      <c r="W6">
        <v>0</v>
      </c>
      <c r="X6">
        <v>0</v>
      </c>
      <c r="Y6">
        <v>0</v>
      </c>
      <c r="AC6">
        <v>0</v>
      </c>
      <c r="AE6">
        <v>0</v>
      </c>
      <c r="AF6">
        <v>2</v>
      </c>
      <c r="AG6">
        <v>0</v>
      </c>
      <c r="AH6">
        <v>0</v>
      </c>
      <c r="AI6">
        <v>0</v>
      </c>
      <c r="AM6">
        <v>0</v>
      </c>
      <c r="AR6" t="s">
        <v>1679</v>
      </c>
      <c r="AS6" t="s">
        <v>1680</v>
      </c>
      <c r="AT6">
        <v>2024</v>
      </c>
      <c r="AU6">
        <v>7</v>
      </c>
      <c r="AV6" t="s">
        <v>78</v>
      </c>
      <c r="AX6" t="s">
        <v>1685</v>
      </c>
    </row>
    <row r="7" spans="1:50">
      <c r="A7">
        <v>6</v>
      </c>
      <c r="B7">
        <v>33</v>
      </c>
      <c r="C7" t="s">
        <v>74</v>
      </c>
      <c r="D7" t="s">
        <v>1561</v>
      </c>
      <c r="E7" t="s">
        <v>1562</v>
      </c>
      <c r="F7">
        <v>3110</v>
      </c>
      <c r="G7" s="23">
        <v>45475</v>
      </c>
      <c r="H7" s="2" t="s">
        <v>1563</v>
      </c>
      <c r="I7" s="2"/>
      <c r="J7" s="2"/>
      <c r="K7" s="149">
        <v>0</v>
      </c>
      <c r="L7" s="149">
        <v>8820000</v>
      </c>
      <c r="M7" s="149">
        <v>1675800</v>
      </c>
      <c r="N7" s="149">
        <v>10495800</v>
      </c>
      <c r="O7">
        <v>0</v>
      </c>
      <c r="P7">
        <v>0</v>
      </c>
      <c r="Q7">
        <v>0</v>
      </c>
      <c r="R7">
        <v>0</v>
      </c>
      <c r="S7">
        <v>0</v>
      </c>
      <c r="T7" t="s">
        <v>77</v>
      </c>
      <c r="U7">
        <v>0</v>
      </c>
      <c r="V7">
        <v>0</v>
      </c>
      <c r="W7">
        <v>0</v>
      </c>
      <c r="X7">
        <v>0</v>
      </c>
      <c r="Y7">
        <v>0</v>
      </c>
      <c r="AC7">
        <v>0</v>
      </c>
      <c r="AE7">
        <v>0</v>
      </c>
      <c r="AF7">
        <v>2</v>
      </c>
      <c r="AG7">
        <v>0</v>
      </c>
      <c r="AH7">
        <v>0</v>
      </c>
      <c r="AI7">
        <v>0</v>
      </c>
      <c r="AM7">
        <v>0</v>
      </c>
      <c r="AR7" t="s">
        <v>1679</v>
      </c>
      <c r="AS7" t="s">
        <v>1680</v>
      </c>
      <c r="AT7">
        <v>2024</v>
      </c>
      <c r="AU7">
        <v>7</v>
      </c>
      <c r="AV7" t="s">
        <v>78</v>
      </c>
      <c r="AX7" t="s">
        <v>1686</v>
      </c>
    </row>
    <row r="8" spans="1:50">
      <c r="A8">
        <v>7</v>
      </c>
      <c r="B8">
        <v>33</v>
      </c>
      <c r="C8" t="s">
        <v>74</v>
      </c>
      <c r="D8" t="s">
        <v>1564</v>
      </c>
      <c r="E8" t="s">
        <v>1565</v>
      </c>
      <c r="F8">
        <v>3111</v>
      </c>
      <c r="G8" s="23">
        <v>45475</v>
      </c>
      <c r="H8" s="2" t="s">
        <v>1566</v>
      </c>
      <c r="I8" s="2"/>
      <c r="K8" s="149">
        <v>0</v>
      </c>
      <c r="L8" s="149">
        <v>559385</v>
      </c>
      <c r="M8" s="149">
        <v>106283</v>
      </c>
      <c r="N8" s="149">
        <v>665668</v>
      </c>
      <c r="O8">
        <v>0</v>
      </c>
      <c r="P8">
        <v>0</v>
      </c>
      <c r="Q8">
        <v>0</v>
      </c>
      <c r="R8">
        <v>0</v>
      </c>
      <c r="S8">
        <v>0</v>
      </c>
      <c r="T8" t="s">
        <v>77</v>
      </c>
      <c r="U8">
        <v>0</v>
      </c>
      <c r="V8">
        <v>0</v>
      </c>
      <c r="W8">
        <v>0</v>
      </c>
      <c r="X8">
        <v>0</v>
      </c>
      <c r="Y8">
        <v>0</v>
      </c>
      <c r="AC8">
        <v>0</v>
      </c>
      <c r="AE8">
        <v>0</v>
      </c>
      <c r="AF8">
        <v>2</v>
      </c>
      <c r="AG8">
        <v>0</v>
      </c>
      <c r="AH8">
        <v>0</v>
      </c>
      <c r="AI8">
        <v>0</v>
      </c>
      <c r="AM8">
        <v>0</v>
      </c>
      <c r="AR8" t="s">
        <v>1679</v>
      </c>
      <c r="AS8" t="s">
        <v>1680</v>
      </c>
      <c r="AT8">
        <v>2024</v>
      </c>
      <c r="AU8">
        <v>7</v>
      </c>
      <c r="AV8" t="s">
        <v>78</v>
      </c>
      <c r="AX8" t="s">
        <v>1687</v>
      </c>
    </row>
    <row r="9" spans="1:50">
      <c r="A9">
        <v>8</v>
      </c>
      <c r="B9">
        <v>33</v>
      </c>
      <c r="C9" t="s">
        <v>74</v>
      </c>
      <c r="D9" t="s">
        <v>1567</v>
      </c>
      <c r="E9" t="s">
        <v>1568</v>
      </c>
      <c r="F9">
        <v>3112</v>
      </c>
      <c r="G9" s="23">
        <v>45475</v>
      </c>
      <c r="H9" s="2">
        <v>45298.413032407407</v>
      </c>
      <c r="I9" s="2">
        <v>45298.550358796296</v>
      </c>
      <c r="K9" s="149">
        <v>0</v>
      </c>
      <c r="L9" s="149">
        <v>400520</v>
      </c>
      <c r="M9" s="149">
        <v>76099</v>
      </c>
      <c r="N9" s="149">
        <v>476619</v>
      </c>
      <c r="O9">
        <v>0</v>
      </c>
      <c r="P9">
        <v>0</v>
      </c>
      <c r="Q9">
        <v>0</v>
      </c>
      <c r="R9">
        <v>0</v>
      </c>
      <c r="S9">
        <v>0</v>
      </c>
      <c r="T9" t="s">
        <v>77</v>
      </c>
      <c r="U9">
        <v>0</v>
      </c>
      <c r="V9">
        <v>0</v>
      </c>
      <c r="W9">
        <v>0</v>
      </c>
      <c r="X9">
        <v>0</v>
      </c>
      <c r="Y9">
        <v>0</v>
      </c>
      <c r="AC9">
        <v>0</v>
      </c>
      <c r="AE9">
        <v>0</v>
      </c>
      <c r="AF9">
        <v>2</v>
      </c>
      <c r="AG9">
        <v>0</v>
      </c>
      <c r="AH9">
        <v>0</v>
      </c>
      <c r="AI9">
        <v>0</v>
      </c>
      <c r="AM9">
        <v>0</v>
      </c>
      <c r="AR9" t="s">
        <v>1679</v>
      </c>
      <c r="AS9" t="s">
        <v>1680</v>
      </c>
      <c r="AT9">
        <v>2024</v>
      </c>
      <c r="AU9">
        <v>7</v>
      </c>
      <c r="AV9" t="s">
        <v>78</v>
      </c>
      <c r="AX9" t="s">
        <v>1688</v>
      </c>
    </row>
    <row r="10" spans="1:50">
      <c r="A10">
        <v>9</v>
      </c>
      <c r="B10">
        <v>33</v>
      </c>
      <c r="C10" t="s">
        <v>74</v>
      </c>
      <c r="D10" t="s">
        <v>1222</v>
      </c>
      <c r="E10" t="s">
        <v>1223</v>
      </c>
      <c r="F10">
        <v>3113</v>
      </c>
      <c r="G10" s="23">
        <v>45474</v>
      </c>
      <c r="H10" s="2">
        <v>45298.458958333336</v>
      </c>
      <c r="I10" s="2">
        <v>45511.644212962965</v>
      </c>
      <c r="J10" s="2"/>
      <c r="K10" s="149">
        <v>0</v>
      </c>
      <c r="L10" s="149">
        <v>18795800</v>
      </c>
      <c r="M10" s="149">
        <v>3571202</v>
      </c>
      <c r="N10" s="149">
        <v>22367002</v>
      </c>
      <c r="O10">
        <v>0</v>
      </c>
      <c r="P10">
        <v>0</v>
      </c>
      <c r="Q10">
        <v>0</v>
      </c>
      <c r="R10">
        <v>0</v>
      </c>
      <c r="S10">
        <v>0</v>
      </c>
      <c r="T10" t="s">
        <v>77</v>
      </c>
      <c r="U10">
        <v>0</v>
      </c>
      <c r="V10">
        <v>0</v>
      </c>
      <c r="W10">
        <v>0</v>
      </c>
      <c r="X10">
        <v>0</v>
      </c>
      <c r="AC10">
        <v>0</v>
      </c>
      <c r="AE10">
        <v>0</v>
      </c>
      <c r="AF10">
        <v>2</v>
      </c>
      <c r="AG10">
        <v>0</v>
      </c>
      <c r="AH10">
        <v>0</v>
      </c>
      <c r="AI10">
        <v>0</v>
      </c>
      <c r="AM10">
        <v>0</v>
      </c>
      <c r="AR10" t="s">
        <v>1679</v>
      </c>
      <c r="AS10" t="s">
        <v>1680</v>
      </c>
      <c r="AT10">
        <v>2024</v>
      </c>
      <c r="AU10">
        <v>7</v>
      </c>
      <c r="AV10" t="s">
        <v>78</v>
      </c>
      <c r="AX10" t="s">
        <v>1689</v>
      </c>
    </row>
    <row r="11" spans="1:50">
      <c r="A11">
        <v>10</v>
      </c>
      <c r="B11">
        <v>33</v>
      </c>
      <c r="C11" t="s">
        <v>74</v>
      </c>
      <c r="D11" t="s">
        <v>1222</v>
      </c>
      <c r="E11" t="s">
        <v>1223</v>
      </c>
      <c r="F11">
        <v>3114</v>
      </c>
      <c r="G11" s="23">
        <v>45474</v>
      </c>
      <c r="H11" s="2">
        <v>45298.476736111108</v>
      </c>
      <c r="I11" s="2">
        <v>45511.644212962965</v>
      </c>
      <c r="K11" s="149">
        <v>0</v>
      </c>
      <c r="L11" s="149">
        <v>14851220</v>
      </c>
      <c r="M11" s="149">
        <v>2821732</v>
      </c>
      <c r="N11" s="149">
        <v>17672952</v>
      </c>
      <c r="O11">
        <v>0</v>
      </c>
      <c r="P11">
        <v>0</v>
      </c>
      <c r="Q11">
        <v>0</v>
      </c>
      <c r="R11">
        <v>0</v>
      </c>
      <c r="S11">
        <v>0</v>
      </c>
      <c r="T11" t="s">
        <v>77</v>
      </c>
      <c r="U11">
        <v>0</v>
      </c>
      <c r="V11">
        <v>0</v>
      </c>
      <c r="W11">
        <v>0</v>
      </c>
      <c r="X11">
        <v>0</v>
      </c>
      <c r="AC11">
        <v>0</v>
      </c>
      <c r="AE11">
        <v>0</v>
      </c>
      <c r="AF11">
        <v>2</v>
      </c>
      <c r="AG11">
        <v>0</v>
      </c>
      <c r="AH11">
        <v>0</v>
      </c>
      <c r="AI11">
        <v>0</v>
      </c>
      <c r="AM11">
        <v>0</v>
      </c>
      <c r="AR11" t="s">
        <v>1679</v>
      </c>
      <c r="AS11" t="s">
        <v>1680</v>
      </c>
      <c r="AT11">
        <v>2024</v>
      </c>
      <c r="AU11">
        <v>7</v>
      </c>
      <c r="AV11" t="s">
        <v>78</v>
      </c>
      <c r="AX11" t="s">
        <v>1690</v>
      </c>
    </row>
    <row r="12" spans="1:50">
      <c r="A12">
        <v>11</v>
      </c>
      <c r="B12">
        <v>33</v>
      </c>
      <c r="C12" t="s">
        <v>74</v>
      </c>
      <c r="D12" t="s">
        <v>1569</v>
      </c>
      <c r="E12" t="s">
        <v>1570</v>
      </c>
      <c r="F12">
        <v>3115</v>
      </c>
      <c r="G12" s="23">
        <v>45475</v>
      </c>
      <c r="H12" s="2">
        <v>45298.48505787037</v>
      </c>
      <c r="I12" s="2">
        <v>45389.435543981483</v>
      </c>
      <c r="J12" s="2"/>
      <c r="K12" s="149">
        <v>0</v>
      </c>
      <c r="L12" s="149">
        <v>141600</v>
      </c>
      <c r="M12" s="149">
        <v>26904</v>
      </c>
      <c r="N12" s="149">
        <v>168504</v>
      </c>
      <c r="O12">
        <v>0</v>
      </c>
      <c r="P12">
        <v>0</v>
      </c>
      <c r="Q12">
        <v>0</v>
      </c>
      <c r="R12">
        <v>0</v>
      </c>
      <c r="S12">
        <v>0</v>
      </c>
      <c r="T12" t="s">
        <v>77</v>
      </c>
      <c r="U12">
        <v>0</v>
      </c>
      <c r="V12">
        <v>0</v>
      </c>
      <c r="W12">
        <v>0</v>
      </c>
      <c r="X12">
        <v>0</v>
      </c>
      <c r="Y12">
        <v>0</v>
      </c>
      <c r="AC12">
        <v>0</v>
      </c>
      <c r="AE12">
        <v>0</v>
      </c>
      <c r="AF12">
        <v>2</v>
      </c>
      <c r="AG12">
        <v>0</v>
      </c>
      <c r="AH12">
        <v>0</v>
      </c>
      <c r="AI12">
        <v>0</v>
      </c>
      <c r="AM12">
        <v>0</v>
      </c>
      <c r="AR12" t="s">
        <v>1679</v>
      </c>
      <c r="AS12" t="s">
        <v>1680</v>
      </c>
      <c r="AT12">
        <v>2024</v>
      </c>
      <c r="AU12">
        <v>7</v>
      </c>
      <c r="AV12" t="s">
        <v>78</v>
      </c>
      <c r="AX12" t="s">
        <v>1691</v>
      </c>
    </row>
    <row r="13" spans="1:50">
      <c r="A13">
        <v>12</v>
      </c>
      <c r="B13">
        <v>33</v>
      </c>
      <c r="C13" t="s">
        <v>74</v>
      </c>
      <c r="D13" t="s">
        <v>1571</v>
      </c>
      <c r="E13" t="s">
        <v>1572</v>
      </c>
      <c r="F13">
        <v>3116</v>
      </c>
      <c r="G13" s="23">
        <v>45474</v>
      </c>
      <c r="H13" s="2">
        <v>45298.5780787037</v>
      </c>
      <c r="I13" s="2">
        <v>45298.858657407407</v>
      </c>
      <c r="K13" s="149">
        <v>0</v>
      </c>
      <c r="L13" s="149">
        <v>13803438</v>
      </c>
      <c r="M13" s="149">
        <v>2622654</v>
      </c>
      <c r="N13" s="149">
        <v>16426092</v>
      </c>
      <c r="O13">
        <v>0</v>
      </c>
      <c r="P13">
        <v>0</v>
      </c>
      <c r="Q13">
        <v>0</v>
      </c>
      <c r="R13">
        <v>0</v>
      </c>
      <c r="S13">
        <v>0</v>
      </c>
      <c r="T13" t="s">
        <v>77</v>
      </c>
      <c r="U13">
        <v>0</v>
      </c>
      <c r="V13">
        <v>0</v>
      </c>
      <c r="W13">
        <v>0</v>
      </c>
      <c r="X13">
        <v>0</v>
      </c>
      <c r="AC13">
        <v>0</v>
      </c>
      <c r="AE13">
        <v>0</v>
      </c>
      <c r="AF13">
        <v>2</v>
      </c>
      <c r="AG13">
        <v>0</v>
      </c>
      <c r="AH13">
        <v>0</v>
      </c>
      <c r="AI13">
        <v>0</v>
      </c>
      <c r="AM13">
        <v>0</v>
      </c>
      <c r="AR13" t="s">
        <v>1679</v>
      </c>
      <c r="AS13" t="s">
        <v>1680</v>
      </c>
      <c r="AT13">
        <v>2024</v>
      </c>
      <c r="AU13">
        <v>7</v>
      </c>
      <c r="AV13" t="s">
        <v>78</v>
      </c>
      <c r="AX13" t="s">
        <v>1692</v>
      </c>
    </row>
    <row r="14" spans="1:50">
      <c r="A14">
        <v>13</v>
      </c>
      <c r="B14">
        <v>33</v>
      </c>
      <c r="C14" t="s">
        <v>74</v>
      </c>
      <c r="D14" t="s">
        <v>1353</v>
      </c>
      <c r="E14" t="s">
        <v>1354</v>
      </c>
      <c r="F14">
        <v>3117</v>
      </c>
      <c r="G14" s="23">
        <v>45476</v>
      </c>
      <c r="H14" s="2">
        <v>45329.528749999998</v>
      </c>
      <c r="I14" s="2">
        <v>45329.763993055552</v>
      </c>
      <c r="J14" s="2"/>
      <c r="K14" s="149">
        <v>0</v>
      </c>
      <c r="L14" s="149">
        <v>2781306</v>
      </c>
      <c r="M14" s="149">
        <v>528449</v>
      </c>
      <c r="N14" s="149">
        <v>3309755</v>
      </c>
      <c r="O14">
        <v>0</v>
      </c>
      <c r="P14">
        <v>0</v>
      </c>
      <c r="Q14">
        <v>0</v>
      </c>
      <c r="R14">
        <v>0</v>
      </c>
      <c r="S14">
        <v>0</v>
      </c>
      <c r="T14" t="s">
        <v>77</v>
      </c>
      <c r="U14">
        <v>0</v>
      </c>
      <c r="V14">
        <v>0</v>
      </c>
      <c r="W14">
        <v>0</v>
      </c>
      <c r="X14">
        <v>0</v>
      </c>
      <c r="Y14">
        <v>0</v>
      </c>
      <c r="AC14">
        <v>0</v>
      </c>
      <c r="AE14">
        <v>0</v>
      </c>
      <c r="AF14">
        <v>2</v>
      </c>
      <c r="AG14">
        <v>0</v>
      </c>
      <c r="AH14">
        <v>0</v>
      </c>
      <c r="AI14">
        <v>0</v>
      </c>
      <c r="AM14">
        <v>0</v>
      </c>
      <c r="AR14" t="s">
        <v>1679</v>
      </c>
      <c r="AS14" t="s">
        <v>1680</v>
      </c>
      <c r="AT14">
        <v>2024</v>
      </c>
      <c r="AU14">
        <v>7</v>
      </c>
      <c r="AV14" t="s">
        <v>78</v>
      </c>
      <c r="AX14" t="s">
        <v>1693</v>
      </c>
    </row>
    <row r="15" spans="1:50">
      <c r="A15">
        <v>14</v>
      </c>
      <c r="B15">
        <v>33</v>
      </c>
      <c r="C15" t="s">
        <v>74</v>
      </c>
      <c r="D15" t="s">
        <v>1558</v>
      </c>
      <c r="E15" t="s">
        <v>1559</v>
      </c>
      <c r="F15">
        <v>3118</v>
      </c>
      <c r="G15" s="23">
        <v>45477</v>
      </c>
      <c r="H15" s="2">
        <v>45329.627384259256</v>
      </c>
      <c r="I15" s="2">
        <v>45419.659583333334</v>
      </c>
      <c r="J15" s="2"/>
      <c r="K15" s="149">
        <v>0</v>
      </c>
      <c r="L15" s="149">
        <v>103680</v>
      </c>
      <c r="M15" s="149">
        <v>19699</v>
      </c>
      <c r="N15" s="149">
        <v>123379</v>
      </c>
      <c r="O15">
        <v>0</v>
      </c>
      <c r="P15">
        <v>0</v>
      </c>
      <c r="Q15">
        <v>0</v>
      </c>
      <c r="R15">
        <v>0</v>
      </c>
      <c r="S15">
        <v>0</v>
      </c>
      <c r="T15" t="s">
        <v>77</v>
      </c>
      <c r="U15">
        <v>0</v>
      </c>
      <c r="V15">
        <v>0</v>
      </c>
      <c r="W15">
        <v>0</v>
      </c>
      <c r="X15">
        <v>0</v>
      </c>
      <c r="Y15">
        <v>0</v>
      </c>
      <c r="AC15">
        <v>0</v>
      </c>
      <c r="AE15">
        <v>0</v>
      </c>
      <c r="AF15">
        <v>2</v>
      </c>
      <c r="AG15">
        <v>0</v>
      </c>
      <c r="AH15">
        <v>0</v>
      </c>
      <c r="AI15">
        <v>0</v>
      </c>
      <c r="AM15">
        <v>0</v>
      </c>
      <c r="AR15" t="s">
        <v>1679</v>
      </c>
      <c r="AS15" t="s">
        <v>1680</v>
      </c>
      <c r="AT15">
        <v>2024</v>
      </c>
      <c r="AU15">
        <v>7</v>
      </c>
      <c r="AV15" t="s">
        <v>78</v>
      </c>
      <c r="AX15" t="s">
        <v>1694</v>
      </c>
    </row>
    <row r="16" spans="1:50">
      <c r="A16">
        <v>15</v>
      </c>
      <c r="B16">
        <v>33</v>
      </c>
      <c r="C16" t="s">
        <v>74</v>
      </c>
      <c r="D16" t="s">
        <v>1558</v>
      </c>
      <c r="E16" t="s">
        <v>1559</v>
      </c>
      <c r="F16">
        <v>3119</v>
      </c>
      <c r="G16" s="23">
        <v>45477</v>
      </c>
      <c r="H16" s="2">
        <v>45329.631284722222</v>
      </c>
      <c r="I16" s="2">
        <v>45419.659386574072</v>
      </c>
      <c r="K16" s="149">
        <v>0</v>
      </c>
      <c r="L16" s="149">
        <v>103680</v>
      </c>
      <c r="M16" s="149">
        <v>19699</v>
      </c>
      <c r="N16" s="149">
        <v>123379</v>
      </c>
      <c r="O16">
        <v>0</v>
      </c>
      <c r="P16">
        <v>0</v>
      </c>
      <c r="Q16">
        <v>0</v>
      </c>
      <c r="R16">
        <v>0</v>
      </c>
      <c r="S16">
        <v>0</v>
      </c>
      <c r="T16" t="s">
        <v>77</v>
      </c>
      <c r="U16">
        <v>0</v>
      </c>
      <c r="V16">
        <v>0</v>
      </c>
      <c r="W16">
        <v>0</v>
      </c>
      <c r="X16">
        <v>0</v>
      </c>
      <c r="Y16">
        <v>0</v>
      </c>
      <c r="AC16">
        <v>0</v>
      </c>
      <c r="AE16">
        <v>0</v>
      </c>
      <c r="AF16">
        <v>2</v>
      </c>
      <c r="AG16">
        <v>0</v>
      </c>
      <c r="AH16">
        <v>0</v>
      </c>
      <c r="AI16">
        <v>0</v>
      </c>
      <c r="AM16">
        <v>0</v>
      </c>
      <c r="AR16" t="s">
        <v>1679</v>
      </c>
      <c r="AS16" t="s">
        <v>1680</v>
      </c>
      <c r="AT16">
        <v>2024</v>
      </c>
      <c r="AU16">
        <v>7</v>
      </c>
      <c r="AV16" t="s">
        <v>78</v>
      </c>
      <c r="AX16" t="s">
        <v>1695</v>
      </c>
    </row>
    <row r="17" spans="1:50">
      <c r="A17">
        <v>16</v>
      </c>
      <c r="B17">
        <v>33</v>
      </c>
      <c r="C17" t="s">
        <v>74</v>
      </c>
      <c r="D17" t="s">
        <v>1561</v>
      </c>
      <c r="E17" t="s">
        <v>1562</v>
      </c>
      <c r="F17">
        <v>3120</v>
      </c>
      <c r="G17" s="23">
        <v>45477</v>
      </c>
      <c r="H17" s="2">
        <v>45329.645648148151</v>
      </c>
      <c r="I17" s="2"/>
      <c r="K17" s="149">
        <v>0</v>
      </c>
      <c r="L17" s="149">
        <v>3203700</v>
      </c>
      <c r="M17" s="149">
        <v>608703</v>
      </c>
      <c r="N17" s="149">
        <v>3812403</v>
      </c>
      <c r="O17">
        <v>0</v>
      </c>
      <c r="P17">
        <v>0</v>
      </c>
      <c r="Q17">
        <v>0</v>
      </c>
      <c r="R17">
        <v>0</v>
      </c>
      <c r="S17">
        <v>0</v>
      </c>
      <c r="T17" t="s">
        <v>77</v>
      </c>
      <c r="U17">
        <v>0</v>
      </c>
      <c r="V17">
        <v>0</v>
      </c>
      <c r="W17">
        <v>0</v>
      </c>
      <c r="X17">
        <v>0</v>
      </c>
      <c r="Y17">
        <v>0</v>
      </c>
      <c r="AC17">
        <v>0</v>
      </c>
      <c r="AE17">
        <v>0</v>
      </c>
      <c r="AF17">
        <v>2</v>
      </c>
      <c r="AG17">
        <v>0</v>
      </c>
      <c r="AH17">
        <v>0</v>
      </c>
      <c r="AI17">
        <v>0</v>
      </c>
      <c r="AM17">
        <v>0</v>
      </c>
      <c r="AR17" t="s">
        <v>1679</v>
      </c>
      <c r="AS17" t="s">
        <v>1680</v>
      </c>
      <c r="AT17">
        <v>2024</v>
      </c>
      <c r="AU17">
        <v>7</v>
      </c>
      <c r="AV17" t="s">
        <v>78</v>
      </c>
      <c r="AX17" t="s">
        <v>1696</v>
      </c>
    </row>
    <row r="18" spans="1:50">
      <c r="A18">
        <v>17</v>
      </c>
      <c r="B18">
        <v>33</v>
      </c>
      <c r="C18" t="s">
        <v>74</v>
      </c>
      <c r="D18" t="s">
        <v>1567</v>
      </c>
      <c r="E18" t="s">
        <v>1568</v>
      </c>
      <c r="F18">
        <v>3121</v>
      </c>
      <c r="G18" s="23">
        <v>45477</v>
      </c>
      <c r="H18" s="2">
        <v>45329.675208333334</v>
      </c>
      <c r="I18" s="2">
        <v>45358.47488425926</v>
      </c>
      <c r="K18" s="149">
        <v>0</v>
      </c>
      <c r="L18" s="149">
        <v>801040</v>
      </c>
      <c r="M18" s="149">
        <v>152198</v>
      </c>
      <c r="N18" s="149">
        <v>953238</v>
      </c>
      <c r="O18">
        <v>0</v>
      </c>
      <c r="P18">
        <v>0</v>
      </c>
      <c r="Q18">
        <v>0</v>
      </c>
      <c r="R18">
        <v>0</v>
      </c>
      <c r="S18">
        <v>0</v>
      </c>
      <c r="T18" t="s">
        <v>77</v>
      </c>
      <c r="U18">
        <v>0</v>
      </c>
      <c r="V18">
        <v>0</v>
      </c>
      <c r="W18">
        <v>0</v>
      </c>
      <c r="X18">
        <v>0</v>
      </c>
      <c r="Y18">
        <v>0</v>
      </c>
      <c r="AC18">
        <v>0</v>
      </c>
      <c r="AE18">
        <v>0</v>
      </c>
      <c r="AF18">
        <v>2</v>
      </c>
      <c r="AG18">
        <v>0</v>
      </c>
      <c r="AH18">
        <v>0</v>
      </c>
      <c r="AI18">
        <v>0</v>
      </c>
      <c r="AM18">
        <v>0</v>
      </c>
      <c r="AR18" t="s">
        <v>1679</v>
      </c>
      <c r="AS18" t="s">
        <v>1680</v>
      </c>
      <c r="AT18">
        <v>2024</v>
      </c>
      <c r="AU18">
        <v>7</v>
      </c>
      <c r="AV18" t="s">
        <v>78</v>
      </c>
      <c r="AX18" t="s">
        <v>1697</v>
      </c>
    </row>
    <row r="19" spans="1:50">
      <c r="A19">
        <v>18</v>
      </c>
      <c r="B19">
        <v>33</v>
      </c>
      <c r="C19" t="s">
        <v>74</v>
      </c>
      <c r="D19" t="s">
        <v>1573</v>
      </c>
      <c r="E19" t="s">
        <v>1574</v>
      </c>
      <c r="F19">
        <v>3122</v>
      </c>
      <c r="G19" s="23">
        <v>45477</v>
      </c>
      <c r="H19" s="2">
        <v>45358.438854166663</v>
      </c>
      <c r="I19" s="2"/>
      <c r="K19" s="149">
        <v>0</v>
      </c>
      <c r="L19" s="149">
        <v>452784</v>
      </c>
      <c r="M19" s="149">
        <v>86029</v>
      </c>
      <c r="N19" s="149">
        <v>538813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77</v>
      </c>
      <c r="U19">
        <v>0</v>
      </c>
      <c r="V19">
        <v>0</v>
      </c>
      <c r="W19">
        <v>0</v>
      </c>
      <c r="X19">
        <v>0</v>
      </c>
      <c r="Y19">
        <v>0</v>
      </c>
      <c r="AC19">
        <v>0</v>
      </c>
      <c r="AE19">
        <v>0</v>
      </c>
      <c r="AF19">
        <v>2</v>
      </c>
      <c r="AG19">
        <v>0</v>
      </c>
      <c r="AH19">
        <v>0</v>
      </c>
      <c r="AI19">
        <v>0</v>
      </c>
      <c r="AM19">
        <v>0</v>
      </c>
      <c r="AR19" t="s">
        <v>1679</v>
      </c>
      <c r="AS19" t="s">
        <v>1680</v>
      </c>
      <c r="AT19">
        <v>2024</v>
      </c>
      <c r="AU19">
        <v>7</v>
      </c>
      <c r="AV19" t="s">
        <v>78</v>
      </c>
      <c r="AX19" t="s">
        <v>1698</v>
      </c>
    </row>
    <row r="20" spans="1:50">
      <c r="A20">
        <v>19</v>
      </c>
      <c r="B20">
        <v>33</v>
      </c>
      <c r="C20" t="s">
        <v>74</v>
      </c>
      <c r="D20" t="s">
        <v>1575</v>
      </c>
      <c r="E20" t="s">
        <v>1576</v>
      </c>
      <c r="F20">
        <v>3123</v>
      </c>
      <c r="G20" s="23">
        <v>45477</v>
      </c>
      <c r="H20" s="2">
        <v>45358.45107638889</v>
      </c>
      <c r="I20" s="2"/>
      <c r="K20" s="149">
        <v>0</v>
      </c>
      <c r="L20" s="149">
        <v>466768</v>
      </c>
      <c r="M20" s="149">
        <v>88687</v>
      </c>
      <c r="N20" s="149">
        <v>555455</v>
      </c>
      <c r="O20">
        <v>0</v>
      </c>
      <c r="P20">
        <v>0</v>
      </c>
      <c r="Q20">
        <v>0</v>
      </c>
      <c r="R20">
        <v>0</v>
      </c>
      <c r="S20">
        <v>0</v>
      </c>
      <c r="T20" t="s">
        <v>77</v>
      </c>
      <c r="U20">
        <v>0</v>
      </c>
      <c r="V20">
        <v>0</v>
      </c>
      <c r="W20">
        <v>0</v>
      </c>
      <c r="X20">
        <v>0</v>
      </c>
      <c r="Y20">
        <v>0</v>
      </c>
      <c r="AC20">
        <v>0</v>
      </c>
      <c r="AE20">
        <v>0</v>
      </c>
      <c r="AF20">
        <v>2</v>
      </c>
      <c r="AG20">
        <v>0</v>
      </c>
      <c r="AH20">
        <v>0</v>
      </c>
      <c r="AI20">
        <v>0</v>
      </c>
      <c r="AM20">
        <v>0</v>
      </c>
      <c r="AR20" t="s">
        <v>1679</v>
      </c>
      <c r="AS20" t="s">
        <v>1680</v>
      </c>
      <c r="AT20">
        <v>2024</v>
      </c>
      <c r="AU20">
        <v>7</v>
      </c>
      <c r="AV20" t="s">
        <v>78</v>
      </c>
      <c r="AX20" t="s">
        <v>1699</v>
      </c>
    </row>
    <row r="21" spans="1:50">
      <c r="A21">
        <v>20</v>
      </c>
      <c r="B21">
        <v>33</v>
      </c>
      <c r="C21" t="s">
        <v>74</v>
      </c>
      <c r="D21" t="s">
        <v>1558</v>
      </c>
      <c r="E21" t="s">
        <v>1559</v>
      </c>
      <c r="F21">
        <v>3124</v>
      </c>
      <c r="G21" s="23">
        <v>45477</v>
      </c>
      <c r="H21" s="2">
        <v>45358.492974537039</v>
      </c>
      <c r="I21" s="2">
        <v>45419.659386574072</v>
      </c>
      <c r="K21" s="149">
        <v>0</v>
      </c>
      <c r="L21" s="149">
        <v>188200</v>
      </c>
      <c r="M21" s="149">
        <v>35757</v>
      </c>
      <c r="N21" s="149">
        <v>223957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77</v>
      </c>
      <c r="U21">
        <v>0</v>
      </c>
      <c r="V21">
        <v>0</v>
      </c>
      <c r="W21">
        <v>0</v>
      </c>
      <c r="X21">
        <v>0</v>
      </c>
      <c r="Y21">
        <v>0</v>
      </c>
      <c r="AC21">
        <v>0</v>
      </c>
      <c r="AE21">
        <v>0</v>
      </c>
      <c r="AF21">
        <v>2</v>
      </c>
      <c r="AG21">
        <v>0</v>
      </c>
      <c r="AH21">
        <v>0</v>
      </c>
      <c r="AI21">
        <v>0</v>
      </c>
      <c r="AM21">
        <v>0</v>
      </c>
      <c r="AR21" t="s">
        <v>1679</v>
      </c>
      <c r="AS21" t="s">
        <v>1680</v>
      </c>
      <c r="AT21">
        <v>2024</v>
      </c>
      <c r="AU21">
        <v>7</v>
      </c>
      <c r="AV21" t="s">
        <v>78</v>
      </c>
      <c r="AX21" t="s">
        <v>1700</v>
      </c>
    </row>
    <row r="22" spans="1:50">
      <c r="A22">
        <v>21</v>
      </c>
      <c r="B22">
        <v>33</v>
      </c>
      <c r="C22" t="s">
        <v>74</v>
      </c>
      <c r="D22" t="s">
        <v>1577</v>
      </c>
      <c r="E22" t="s">
        <v>1578</v>
      </c>
      <c r="F22">
        <v>3125</v>
      </c>
      <c r="G22" s="23">
        <v>45477</v>
      </c>
      <c r="H22" s="2">
        <v>45358.501400462963</v>
      </c>
      <c r="I22" s="2"/>
      <c r="J22" s="2"/>
      <c r="K22" s="149">
        <v>0</v>
      </c>
      <c r="L22" s="149">
        <v>222336</v>
      </c>
      <c r="M22" s="149">
        <v>42245</v>
      </c>
      <c r="N22" s="149">
        <v>264581</v>
      </c>
      <c r="O22">
        <v>0</v>
      </c>
      <c r="P22">
        <v>0</v>
      </c>
      <c r="Q22">
        <v>0</v>
      </c>
      <c r="R22">
        <v>0</v>
      </c>
      <c r="S22">
        <v>0</v>
      </c>
      <c r="T22" t="s">
        <v>77</v>
      </c>
      <c r="U22">
        <v>0</v>
      </c>
      <c r="V22">
        <v>0</v>
      </c>
      <c r="W22">
        <v>0</v>
      </c>
      <c r="X22">
        <v>0</v>
      </c>
      <c r="Y22">
        <v>0</v>
      </c>
      <c r="AC22">
        <v>0</v>
      </c>
      <c r="AE22">
        <v>0</v>
      </c>
      <c r="AF22">
        <v>2</v>
      </c>
      <c r="AG22">
        <v>0</v>
      </c>
      <c r="AH22">
        <v>0</v>
      </c>
      <c r="AI22">
        <v>0</v>
      </c>
      <c r="AM22">
        <v>0</v>
      </c>
      <c r="AR22" t="s">
        <v>1679</v>
      </c>
      <c r="AS22" t="s">
        <v>1680</v>
      </c>
      <c r="AT22">
        <v>2024</v>
      </c>
      <c r="AU22">
        <v>7</v>
      </c>
      <c r="AV22" t="s">
        <v>78</v>
      </c>
      <c r="AX22" t="s">
        <v>1701</v>
      </c>
    </row>
    <row r="23" spans="1:50">
      <c r="A23">
        <v>22</v>
      </c>
      <c r="B23">
        <v>33</v>
      </c>
      <c r="C23" t="s">
        <v>74</v>
      </c>
      <c r="D23" t="s">
        <v>1353</v>
      </c>
      <c r="E23" t="s">
        <v>1354</v>
      </c>
      <c r="F23">
        <v>3126</v>
      </c>
      <c r="G23" s="23">
        <v>45481</v>
      </c>
      <c r="H23" s="2">
        <v>45419.50677083333</v>
      </c>
      <c r="I23" s="2">
        <v>45511.483888888892</v>
      </c>
      <c r="K23" s="149">
        <v>0</v>
      </c>
      <c r="L23" s="149">
        <v>1918240</v>
      </c>
      <c r="M23" s="149">
        <v>364465</v>
      </c>
      <c r="N23" s="149">
        <v>2282705</v>
      </c>
      <c r="O23">
        <v>0</v>
      </c>
      <c r="P23">
        <v>0</v>
      </c>
      <c r="Q23">
        <v>0</v>
      </c>
      <c r="R23">
        <v>0</v>
      </c>
      <c r="S23">
        <v>0</v>
      </c>
      <c r="T23" t="s">
        <v>77</v>
      </c>
      <c r="U23">
        <v>0</v>
      </c>
      <c r="V23">
        <v>0</v>
      </c>
      <c r="W23">
        <v>0</v>
      </c>
      <c r="X23">
        <v>0</v>
      </c>
      <c r="Y23">
        <v>0</v>
      </c>
      <c r="AC23">
        <v>0</v>
      </c>
      <c r="AE23">
        <v>0</v>
      </c>
      <c r="AF23">
        <v>2</v>
      </c>
      <c r="AG23">
        <v>0</v>
      </c>
      <c r="AH23">
        <v>0</v>
      </c>
      <c r="AI23">
        <v>0</v>
      </c>
      <c r="AM23">
        <v>0</v>
      </c>
      <c r="AR23" t="s">
        <v>1679</v>
      </c>
      <c r="AS23" t="s">
        <v>1680</v>
      </c>
      <c r="AT23">
        <v>2024</v>
      </c>
      <c r="AU23">
        <v>7</v>
      </c>
      <c r="AV23" t="s">
        <v>78</v>
      </c>
      <c r="AX23" t="s">
        <v>1702</v>
      </c>
    </row>
    <row r="24" spans="1:50">
      <c r="A24">
        <v>23</v>
      </c>
      <c r="B24">
        <v>33</v>
      </c>
      <c r="C24" t="s">
        <v>74</v>
      </c>
      <c r="D24" t="s">
        <v>1579</v>
      </c>
      <c r="E24" t="s">
        <v>1580</v>
      </c>
      <c r="F24">
        <v>3127</v>
      </c>
      <c r="G24" s="23">
        <v>45481</v>
      </c>
      <c r="H24" s="2">
        <v>45419.54891203704</v>
      </c>
      <c r="J24" s="2"/>
      <c r="K24" s="149">
        <v>0</v>
      </c>
      <c r="L24" s="149">
        <v>17471660</v>
      </c>
      <c r="M24" s="149">
        <v>3319615</v>
      </c>
      <c r="N24" s="149">
        <v>20791275</v>
      </c>
      <c r="O24">
        <v>0</v>
      </c>
      <c r="P24">
        <v>0</v>
      </c>
      <c r="Q24">
        <v>0</v>
      </c>
      <c r="R24">
        <v>0</v>
      </c>
      <c r="S24">
        <v>0</v>
      </c>
      <c r="T24" t="s">
        <v>77</v>
      </c>
      <c r="U24">
        <v>0</v>
      </c>
      <c r="V24">
        <v>0</v>
      </c>
      <c r="W24">
        <v>0</v>
      </c>
      <c r="X24">
        <v>0</v>
      </c>
      <c r="Y24">
        <v>0</v>
      </c>
      <c r="AC24">
        <v>0</v>
      </c>
      <c r="AE24">
        <v>0</v>
      </c>
      <c r="AF24">
        <v>2</v>
      </c>
      <c r="AG24">
        <v>0</v>
      </c>
      <c r="AH24">
        <v>0</v>
      </c>
      <c r="AI24">
        <v>0</v>
      </c>
      <c r="AM24">
        <v>0</v>
      </c>
      <c r="AR24" t="s">
        <v>1679</v>
      </c>
      <c r="AS24" t="s">
        <v>1680</v>
      </c>
      <c r="AT24">
        <v>2024</v>
      </c>
      <c r="AU24">
        <v>7</v>
      </c>
      <c r="AV24" t="s">
        <v>78</v>
      </c>
      <c r="AX24" t="s">
        <v>1703</v>
      </c>
    </row>
    <row r="25" spans="1:50">
      <c r="A25">
        <v>24</v>
      </c>
      <c r="B25">
        <v>33</v>
      </c>
      <c r="C25" t="s">
        <v>74</v>
      </c>
      <c r="D25" t="s">
        <v>1222</v>
      </c>
      <c r="E25" t="s">
        <v>1223</v>
      </c>
      <c r="F25">
        <v>3128</v>
      </c>
      <c r="G25" s="23">
        <v>45483</v>
      </c>
      <c r="H25" s="2">
        <v>45419.723067129627</v>
      </c>
      <c r="I25" s="2"/>
      <c r="J25" s="2">
        <v>45633.67863425926</v>
      </c>
      <c r="K25" s="149">
        <v>0</v>
      </c>
      <c r="L25" s="149">
        <v>22712826</v>
      </c>
      <c r="M25" s="149">
        <v>4315437</v>
      </c>
      <c r="N25" s="149">
        <v>27028263</v>
      </c>
      <c r="O25">
        <v>0</v>
      </c>
      <c r="P25">
        <v>0</v>
      </c>
      <c r="Q25">
        <v>0</v>
      </c>
      <c r="R25">
        <v>0</v>
      </c>
      <c r="S25">
        <v>0</v>
      </c>
      <c r="T25" t="s">
        <v>77</v>
      </c>
      <c r="U25">
        <v>0</v>
      </c>
      <c r="V25">
        <v>0</v>
      </c>
      <c r="W25">
        <v>0</v>
      </c>
      <c r="X25">
        <v>0</v>
      </c>
      <c r="AC25">
        <v>0</v>
      </c>
      <c r="AE25">
        <v>0</v>
      </c>
      <c r="AF25">
        <v>2</v>
      </c>
      <c r="AG25">
        <v>0</v>
      </c>
      <c r="AH25">
        <v>0</v>
      </c>
      <c r="AI25">
        <v>0</v>
      </c>
      <c r="AM25">
        <v>0</v>
      </c>
      <c r="AR25" t="s">
        <v>1679</v>
      </c>
      <c r="AS25" t="s">
        <v>1680</v>
      </c>
      <c r="AT25">
        <v>2024</v>
      </c>
      <c r="AU25">
        <v>7</v>
      </c>
      <c r="AV25" t="s">
        <v>78</v>
      </c>
      <c r="AX25" t="s">
        <v>1704</v>
      </c>
    </row>
    <row r="26" spans="1:50">
      <c r="A26">
        <v>25</v>
      </c>
      <c r="B26">
        <v>33</v>
      </c>
      <c r="C26" t="s">
        <v>74</v>
      </c>
      <c r="D26" t="s">
        <v>1222</v>
      </c>
      <c r="E26" t="s">
        <v>1223</v>
      </c>
      <c r="F26">
        <v>3129</v>
      </c>
      <c r="G26" s="23">
        <v>45483</v>
      </c>
      <c r="H26" s="2">
        <v>45419.729513888888</v>
      </c>
      <c r="I26" s="2">
        <v>45633.52847222222</v>
      </c>
      <c r="K26" s="149">
        <v>0</v>
      </c>
      <c r="L26" s="149">
        <v>511840</v>
      </c>
      <c r="M26" s="149">
        <v>97250</v>
      </c>
      <c r="N26" s="149">
        <v>609090</v>
      </c>
      <c r="O26">
        <v>0</v>
      </c>
      <c r="P26">
        <v>0</v>
      </c>
      <c r="Q26">
        <v>0</v>
      </c>
      <c r="R26">
        <v>0</v>
      </c>
      <c r="S26">
        <v>0</v>
      </c>
      <c r="T26" t="s">
        <v>77</v>
      </c>
      <c r="U26">
        <v>0</v>
      </c>
      <c r="V26">
        <v>0</v>
      </c>
      <c r="W26">
        <v>0</v>
      </c>
      <c r="X26">
        <v>0</v>
      </c>
      <c r="AC26">
        <v>0</v>
      </c>
      <c r="AE26">
        <v>0</v>
      </c>
      <c r="AF26">
        <v>2</v>
      </c>
      <c r="AG26">
        <v>0</v>
      </c>
      <c r="AH26">
        <v>0</v>
      </c>
      <c r="AI26">
        <v>0</v>
      </c>
      <c r="AM26">
        <v>0</v>
      </c>
      <c r="AR26" t="s">
        <v>1679</v>
      </c>
      <c r="AS26" t="s">
        <v>1680</v>
      </c>
      <c r="AT26">
        <v>2024</v>
      </c>
      <c r="AU26">
        <v>7</v>
      </c>
      <c r="AV26" t="s">
        <v>78</v>
      </c>
      <c r="AX26" t="s">
        <v>1705</v>
      </c>
    </row>
    <row r="27" spans="1:50">
      <c r="A27">
        <v>26</v>
      </c>
      <c r="B27">
        <v>33</v>
      </c>
      <c r="C27" t="s">
        <v>74</v>
      </c>
      <c r="D27" t="s">
        <v>1581</v>
      </c>
      <c r="E27" t="s">
        <v>1582</v>
      </c>
      <c r="F27">
        <v>3130</v>
      </c>
      <c r="G27" s="23">
        <v>45482</v>
      </c>
      <c r="H27" s="2">
        <v>45511.461446759262</v>
      </c>
      <c r="I27" s="2"/>
      <c r="K27" s="149">
        <v>0</v>
      </c>
      <c r="L27" s="149">
        <v>1579850</v>
      </c>
      <c r="M27" s="149">
        <v>300172</v>
      </c>
      <c r="N27" s="149">
        <v>1880022</v>
      </c>
      <c r="O27">
        <v>0</v>
      </c>
      <c r="P27">
        <v>0</v>
      </c>
      <c r="Q27">
        <v>0</v>
      </c>
      <c r="R27">
        <v>0</v>
      </c>
      <c r="S27">
        <v>0</v>
      </c>
      <c r="T27" t="s">
        <v>77</v>
      </c>
      <c r="U27">
        <v>0</v>
      </c>
      <c r="V27">
        <v>0</v>
      </c>
      <c r="W27">
        <v>0</v>
      </c>
      <c r="X27">
        <v>0</v>
      </c>
      <c r="Y27">
        <v>0</v>
      </c>
      <c r="AC27">
        <v>0</v>
      </c>
      <c r="AE27">
        <v>0</v>
      </c>
      <c r="AF27">
        <v>2</v>
      </c>
      <c r="AG27">
        <v>0</v>
      </c>
      <c r="AH27">
        <v>0</v>
      </c>
      <c r="AI27">
        <v>0</v>
      </c>
      <c r="AM27">
        <v>0</v>
      </c>
      <c r="AR27" t="s">
        <v>1679</v>
      </c>
      <c r="AS27" t="s">
        <v>1680</v>
      </c>
      <c r="AT27">
        <v>2024</v>
      </c>
      <c r="AU27">
        <v>7</v>
      </c>
      <c r="AV27" t="s">
        <v>78</v>
      </c>
      <c r="AX27" t="s">
        <v>1706</v>
      </c>
    </row>
    <row r="28" spans="1:50">
      <c r="A28">
        <v>27</v>
      </c>
      <c r="B28">
        <v>33</v>
      </c>
      <c r="C28" t="s">
        <v>74</v>
      </c>
      <c r="D28" t="s">
        <v>1222</v>
      </c>
      <c r="E28" t="s">
        <v>1223</v>
      </c>
      <c r="F28">
        <v>3131</v>
      </c>
      <c r="G28" s="23">
        <v>45483</v>
      </c>
      <c r="H28" s="2">
        <v>45511.470462962963</v>
      </c>
      <c r="I28" s="2">
        <v>45633.52847222222</v>
      </c>
      <c r="J28" s="2"/>
      <c r="K28" s="149">
        <v>0</v>
      </c>
      <c r="L28" s="149">
        <v>1386100</v>
      </c>
      <c r="M28" s="149">
        <v>263359</v>
      </c>
      <c r="N28" s="149">
        <v>1649459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77</v>
      </c>
      <c r="U28">
        <v>0</v>
      </c>
      <c r="V28">
        <v>0</v>
      </c>
      <c r="W28">
        <v>0</v>
      </c>
      <c r="X28">
        <v>0</v>
      </c>
      <c r="AC28">
        <v>0</v>
      </c>
      <c r="AE28">
        <v>0</v>
      </c>
      <c r="AF28">
        <v>2</v>
      </c>
      <c r="AG28">
        <v>0</v>
      </c>
      <c r="AH28">
        <v>0</v>
      </c>
      <c r="AI28">
        <v>0</v>
      </c>
      <c r="AM28">
        <v>0</v>
      </c>
      <c r="AR28" t="s">
        <v>1679</v>
      </c>
      <c r="AS28" t="s">
        <v>1680</v>
      </c>
      <c r="AT28">
        <v>2024</v>
      </c>
      <c r="AU28">
        <v>7</v>
      </c>
      <c r="AV28" t="s">
        <v>78</v>
      </c>
      <c r="AX28" t="s">
        <v>1707</v>
      </c>
    </row>
    <row r="29" spans="1:50">
      <c r="A29">
        <v>28</v>
      </c>
      <c r="B29">
        <v>33</v>
      </c>
      <c r="C29" t="s">
        <v>74</v>
      </c>
      <c r="D29" t="s">
        <v>1583</v>
      </c>
      <c r="E29" t="s">
        <v>1584</v>
      </c>
      <c r="F29">
        <v>3132</v>
      </c>
      <c r="G29" s="23">
        <v>45482</v>
      </c>
      <c r="H29" s="2">
        <v>45511.477500000001</v>
      </c>
      <c r="I29" s="2"/>
      <c r="K29" s="149">
        <v>0</v>
      </c>
      <c r="L29" s="149">
        <v>334328</v>
      </c>
      <c r="M29" s="149">
        <v>63523</v>
      </c>
      <c r="N29" s="149">
        <v>397851</v>
      </c>
      <c r="O29">
        <v>0</v>
      </c>
      <c r="P29">
        <v>0</v>
      </c>
      <c r="Q29">
        <v>0</v>
      </c>
      <c r="R29">
        <v>0</v>
      </c>
      <c r="S29">
        <v>0</v>
      </c>
      <c r="T29" t="s">
        <v>77</v>
      </c>
      <c r="U29">
        <v>0</v>
      </c>
      <c r="V29">
        <v>0</v>
      </c>
      <c r="W29">
        <v>0</v>
      </c>
      <c r="X29">
        <v>0</v>
      </c>
      <c r="Y29">
        <v>0</v>
      </c>
      <c r="AC29">
        <v>0</v>
      </c>
      <c r="AE29">
        <v>0</v>
      </c>
      <c r="AF29">
        <v>2</v>
      </c>
      <c r="AG29">
        <v>0</v>
      </c>
      <c r="AH29">
        <v>0</v>
      </c>
      <c r="AI29">
        <v>0</v>
      </c>
      <c r="AM29">
        <v>0</v>
      </c>
      <c r="AR29" t="s">
        <v>1679</v>
      </c>
      <c r="AS29" t="s">
        <v>1680</v>
      </c>
      <c r="AT29">
        <v>2024</v>
      </c>
      <c r="AU29">
        <v>7</v>
      </c>
      <c r="AV29" t="s">
        <v>78</v>
      </c>
      <c r="AX29" t="s">
        <v>1708</v>
      </c>
    </row>
    <row r="30" spans="1:50">
      <c r="A30">
        <v>29</v>
      </c>
      <c r="B30">
        <v>33</v>
      </c>
      <c r="C30" t="s">
        <v>74</v>
      </c>
      <c r="D30" t="s">
        <v>1561</v>
      </c>
      <c r="E30" t="s">
        <v>1562</v>
      </c>
      <c r="F30">
        <v>3133</v>
      </c>
      <c r="G30" s="23">
        <v>45482</v>
      </c>
      <c r="H30" s="2">
        <v>45511.501805555556</v>
      </c>
      <c r="I30" s="2" t="s">
        <v>1585</v>
      </c>
      <c r="K30" s="149">
        <v>0</v>
      </c>
      <c r="L30" s="149">
        <v>8820000</v>
      </c>
      <c r="M30" s="149">
        <v>1675800</v>
      </c>
      <c r="N30" s="149">
        <v>10495800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77</v>
      </c>
      <c r="U30">
        <v>0</v>
      </c>
      <c r="V30">
        <v>0</v>
      </c>
      <c r="W30">
        <v>0</v>
      </c>
      <c r="X30">
        <v>0</v>
      </c>
      <c r="Y30">
        <v>0</v>
      </c>
      <c r="AC30">
        <v>0</v>
      </c>
      <c r="AE30">
        <v>0</v>
      </c>
      <c r="AF30">
        <v>2</v>
      </c>
      <c r="AG30">
        <v>0</v>
      </c>
      <c r="AH30">
        <v>0</v>
      </c>
      <c r="AI30">
        <v>0</v>
      </c>
      <c r="AM30">
        <v>0</v>
      </c>
      <c r="AR30" t="s">
        <v>1679</v>
      </c>
      <c r="AS30" t="s">
        <v>1680</v>
      </c>
      <c r="AT30">
        <v>2024</v>
      </c>
      <c r="AU30">
        <v>7</v>
      </c>
      <c r="AV30" t="s">
        <v>78</v>
      </c>
      <c r="AX30" t="s">
        <v>1709</v>
      </c>
    </row>
    <row r="31" spans="1:50">
      <c r="A31">
        <v>30</v>
      </c>
      <c r="B31">
        <v>33</v>
      </c>
      <c r="C31" t="s">
        <v>74</v>
      </c>
      <c r="D31" t="s">
        <v>1558</v>
      </c>
      <c r="E31" t="s">
        <v>1559</v>
      </c>
      <c r="F31">
        <v>3134</v>
      </c>
      <c r="G31" s="23">
        <v>45482</v>
      </c>
      <c r="H31" s="2">
        <v>45511.50440972222</v>
      </c>
      <c r="I31" s="2">
        <v>45572.749942129631</v>
      </c>
      <c r="K31" s="149">
        <v>0</v>
      </c>
      <c r="L31" s="149">
        <v>188200</v>
      </c>
      <c r="M31" s="149">
        <v>35760</v>
      </c>
      <c r="N31" s="149">
        <v>223960</v>
      </c>
      <c r="O31">
        <v>0</v>
      </c>
      <c r="P31">
        <v>0</v>
      </c>
      <c r="Q31">
        <v>0</v>
      </c>
      <c r="R31">
        <v>0</v>
      </c>
      <c r="S31">
        <v>0</v>
      </c>
      <c r="T31" t="s">
        <v>77</v>
      </c>
      <c r="U31">
        <v>0</v>
      </c>
      <c r="V31">
        <v>0</v>
      </c>
      <c r="W31">
        <v>0</v>
      </c>
      <c r="X31">
        <v>0</v>
      </c>
      <c r="Y31">
        <v>0</v>
      </c>
      <c r="AC31">
        <v>0</v>
      </c>
      <c r="AE31">
        <v>0</v>
      </c>
      <c r="AF31">
        <v>2</v>
      </c>
      <c r="AG31">
        <v>0</v>
      </c>
      <c r="AH31">
        <v>0</v>
      </c>
      <c r="AI31">
        <v>0</v>
      </c>
      <c r="AM31">
        <v>0</v>
      </c>
      <c r="AR31" t="s">
        <v>1679</v>
      </c>
      <c r="AS31" t="s">
        <v>1680</v>
      </c>
      <c r="AT31">
        <v>2024</v>
      </c>
      <c r="AU31">
        <v>7</v>
      </c>
      <c r="AV31" t="s">
        <v>78</v>
      </c>
      <c r="AX31" t="s">
        <v>1710</v>
      </c>
    </row>
    <row r="32" spans="1:50">
      <c r="A32">
        <v>31</v>
      </c>
      <c r="B32">
        <v>33</v>
      </c>
      <c r="C32" t="s">
        <v>74</v>
      </c>
      <c r="D32" t="s">
        <v>1586</v>
      </c>
      <c r="E32" t="s">
        <v>1587</v>
      </c>
      <c r="F32">
        <v>3135</v>
      </c>
      <c r="G32" s="23">
        <v>45482</v>
      </c>
      <c r="H32" s="2">
        <v>45511.508935185186</v>
      </c>
      <c r="I32" s="2">
        <v>45633.651030092595</v>
      </c>
      <c r="K32" s="149">
        <v>0</v>
      </c>
      <c r="L32" s="149">
        <v>378704</v>
      </c>
      <c r="M32" s="149">
        <v>71954</v>
      </c>
      <c r="N32" s="149">
        <v>450658</v>
      </c>
      <c r="O32">
        <v>0</v>
      </c>
      <c r="P32">
        <v>0</v>
      </c>
      <c r="Q32">
        <v>0</v>
      </c>
      <c r="R32">
        <v>0</v>
      </c>
      <c r="S32">
        <v>0</v>
      </c>
      <c r="T32" t="s">
        <v>77</v>
      </c>
      <c r="U32">
        <v>0</v>
      </c>
      <c r="V32">
        <v>0</v>
      </c>
      <c r="W32">
        <v>0</v>
      </c>
      <c r="X32">
        <v>0</v>
      </c>
      <c r="Y32">
        <v>0</v>
      </c>
      <c r="AC32">
        <v>0</v>
      </c>
      <c r="AE32">
        <v>0</v>
      </c>
      <c r="AF32">
        <v>2</v>
      </c>
      <c r="AG32">
        <v>0</v>
      </c>
      <c r="AH32">
        <v>0</v>
      </c>
      <c r="AI32">
        <v>0</v>
      </c>
      <c r="AM32">
        <v>0</v>
      </c>
      <c r="AR32" t="s">
        <v>1679</v>
      </c>
      <c r="AS32" t="s">
        <v>1680</v>
      </c>
      <c r="AT32">
        <v>2024</v>
      </c>
      <c r="AU32">
        <v>7</v>
      </c>
      <c r="AV32" t="s">
        <v>78</v>
      </c>
      <c r="AX32" t="s">
        <v>1711</v>
      </c>
    </row>
    <row r="33" spans="1:50">
      <c r="A33">
        <v>32</v>
      </c>
      <c r="B33">
        <v>33</v>
      </c>
      <c r="C33" t="s">
        <v>74</v>
      </c>
      <c r="D33" t="s">
        <v>1588</v>
      </c>
      <c r="E33" t="s">
        <v>1589</v>
      </c>
      <c r="F33">
        <v>3136</v>
      </c>
      <c r="G33" s="23">
        <v>45482</v>
      </c>
      <c r="H33" s="2">
        <v>45542.506701388891</v>
      </c>
      <c r="I33" s="2"/>
      <c r="K33" s="149">
        <v>0</v>
      </c>
      <c r="L33" s="149">
        <v>3498290</v>
      </c>
      <c r="M33" s="149">
        <v>664675</v>
      </c>
      <c r="N33" s="149">
        <v>4162965</v>
      </c>
      <c r="O33">
        <v>0</v>
      </c>
      <c r="P33">
        <v>0</v>
      </c>
      <c r="Q33">
        <v>0</v>
      </c>
      <c r="R33">
        <v>0</v>
      </c>
      <c r="S33">
        <v>0</v>
      </c>
      <c r="T33" t="s">
        <v>77</v>
      </c>
      <c r="U33">
        <v>0</v>
      </c>
      <c r="V33">
        <v>0</v>
      </c>
      <c r="W33">
        <v>0</v>
      </c>
      <c r="X33">
        <v>0</v>
      </c>
      <c r="Y33">
        <v>0</v>
      </c>
      <c r="AC33">
        <v>0</v>
      </c>
      <c r="AE33">
        <v>0</v>
      </c>
      <c r="AF33">
        <v>2</v>
      </c>
      <c r="AG33">
        <v>0</v>
      </c>
      <c r="AH33">
        <v>0</v>
      </c>
      <c r="AI33">
        <v>0</v>
      </c>
      <c r="AM33">
        <v>0</v>
      </c>
      <c r="AR33" t="s">
        <v>1679</v>
      </c>
      <c r="AS33" t="s">
        <v>1680</v>
      </c>
      <c r="AT33">
        <v>2024</v>
      </c>
      <c r="AU33">
        <v>7</v>
      </c>
      <c r="AV33" t="s">
        <v>78</v>
      </c>
      <c r="AX33" t="s">
        <v>1712</v>
      </c>
    </row>
    <row r="34" spans="1:50">
      <c r="A34">
        <v>33</v>
      </c>
      <c r="B34">
        <v>33</v>
      </c>
      <c r="C34" t="s">
        <v>74</v>
      </c>
      <c r="D34" t="s">
        <v>1555</v>
      </c>
      <c r="E34" t="s">
        <v>1556</v>
      </c>
      <c r="F34">
        <v>3137</v>
      </c>
      <c r="G34" s="23">
        <v>45484</v>
      </c>
      <c r="H34" s="2">
        <v>45572.404618055552</v>
      </c>
      <c r="I34" s="2">
        <v>45603.718958333331</v>
      </c>
      <c r="K34" s="149">
        <v>0</v>
      </c>
      <c r="L34" s="149">
        <v>1611300</v>
      </c>
      <c r="M34" s="149">
        <v>306147</v>
      </c>
      <c r="N34" s="149">
        <v>1917447</v>
      </c>
      <c r="O34">
        <v>0</v>
      </c>
      <c r="P34">
        <v>0</v>
      </c>
      <c r="Q34">
        <v>0</v>
      </c>
      <c r="R34">
        <v>0</v>
      </c>
      <c r="S34">
        <v>0</v>
      </c>
      <c r="T34" t="s">
        <v>77</v>
      </c>
      <c r="U34">
        <v>0</v>
      </c>
      <c r="V34">
        <v>0</v>
      </c>
      <c r="W34">
        <v>0</v>
      </c>
      <c r="X34">
        <v>0</v>
      </c>
      <c r="AC34">
        <v>0</v>
      </c>
      <c r="AE34">
        <v>0</v>
      </c>
      <c r="AF34">
        <v>2</v>
      </c>
      <c r="AG34">
        <v>0</v>
      </c>
      <c r="AH34">
        <v>0</v>
      </c>
      <c r="AI34">
        <v>0</v>
      </c>
      <c r="AM34">
        <v>0</v>
      </c>
      <c r="AR34" t="s">
        <v>1679</v>
      </c>
      <c r="AS34" t="s">
        <v>1680</v>
      </c>
      <c r="AT34">
        <v>2024</v>
      </c>
      <c r="AU34">
        <v>7</v>
      </c>
      <c r="AV34" t="s">
        <v>78</v>
      </c>
      <c r="AX34" t="s">
        <v>1713</v>
      </c>
    </row>
    <row r="35" spans="1:50">
      <c r="A35">
        <v>34</v>
      </c>
      <c r="B35">
        <v>33</v>
      </c>
      <c r="C35" t="s">
        <v>74</v>
      </c>
      <c r="D35" t="s">
        <v>1558</v>
      </c>
      <c r="E35" t="s">
        <v>1559</v>
      </c>
      <c r="F35">
        <v>3138</v>
      </c>
      <c r="G35" s="23">
        <v>45484</v>
      </c>
      <c r="H35" s="2">
        <v>45572.429965277777</v>
      </c>
      <c r="I35" s="2">
        <v>45633.5549537037</v>
      </c>
      <c r="K35" s="149">
        <v>0</v>
      </c>
      <c r="L35" s="149">
        <v>282300</v>
      </c>
      <c r="M35" s="149">
        <v>53636</v>
      </c>
      <c r="N35" s="149">
        <v>335936</v>
      </c>
      <c r="O35">
        <v>0</v>
      </c>
      <c r="P35">
        <v>0</v>
      </c>
      <c r="Q35">
        <v>0</v>
      </c>
      <c r="R35">
        <v>0</v>
      </c>
      <c r="S35">
        <v>0</v>
      </c>
      <c r="T35" t="s">
        <v>77</v>
      </c>
      <c r="U35">
        <v>0</v>
      </c>
      <c r="V35">
        <v>0</v>
      </c>
      <c r="W35">
        <v>0</v>
      </c>
      <c r="X35">
        <v>0</v>
      </c>
      <c r="Y35">
        <v>0</v>
      </c>
      <c r="AC35">
        <v>0</v>
      </c>
      <c r="AE35">
        <v>0</v>
      </c>
      <c r="AF35">
        <v>2</v>
      </c>
      <c r="AG35">
        <v>0</v>
      </c>
      <c r="AH35">
        <v>0</v>
      </c>
      <c r="AI35">
        <v>0</v>
      </c>
      <c r="AM35">
        <v>0</v>
      </c>
      <c r="AR35" t="s">
        <v>1679</v>
      </c>
      <c r="AS35" t="s">
        <v>1680</v>
      </c>
      <c r="AT35">
        <v>2024</v>
      </c>
      <c r="AU35">
        <v>7</v>
      </c>
      <c r="AV35" t="s">
        <v>78</v>
      </c>
      <c r="AX35" t="s">
        <v>1714</v>
      </c>
    </row>
    <row r="36" spans="1:50">
      <c r="A36">
        <v>35</v>
      </c>
      <c r="B36">
        <v>33</v>
      </c>
      <c r="C36" t="s">
        <v>74</v>
      </c>
      <c r="D36" t="s">
        <v>1558</v>
      </c>
      <c r="E36" t="s">
        <v>1559</v>
      </c>
      <c r="F36">
        <v>3139</v>
      </c>
      <c r="G36" s="23">
        <v>45484</v>
      </c>
      <c r="H36" s="2">
        <v>45572.437048611115</v>
      </c>
      <c r="I36" s="2">
        <v>45633.5549537037</v>
      </c>
      <c r="K36" s="149">
        <v>0</v>
      </c>
      <c r="L36" s="149">
        <v>103680</v>
      </c>
      <c r="M36" s="149">
        <v>19699</v>
      </c>
      <c r="N36" s="149">
        <v>123379</v>
      </c>
      <c r="O36">
        <v>0</v>
      </c>
      <c r="P36">
        <v>0</v>
      </c>
      <c r="Q36">
        <v>0</v>
      </c>
      <c r="R36">
        <v>0</v>
      </c>
      <c r="S36">
        <v>0</v>
      </c>
      <c r="T36" t="s">
        <v>77</v>
      </c>
      <c r="U36">
        <v>0</v>
      </c>
      <c r="V36">
        <v>0</v>
      </c>
      <c r="W36">
        <v>0</v>
      </c>
      <c r="X36">
        <v>0</v>
      </c>
      <c r="Y36">
        <v>0</v>
      </c>
      <c r="AC36">
        <v>0</v>
      </c>
      <c r="AE36">
        <v>0</v>
      </c>
      <c r="AF36">
        <v>2</v>
      </c>
      <c r="AG36">
        <v>0</v>
      </c>
      <c r="AH36">
        <v>0</v>
      </c>
      <c r="AI36">
        <v>0</v>
      </c>
      <c r="AM36">
        <v>0</v>
      </c>
      <c r="AR36" t="s">
        <v>1679</v>
      </c>
      <c r="AS36" t="s">
        <v>1680</v>
      </c>
      <c r="AT36">
        <v>2024</v>
      </c>
      <c r="AU36">
        <v>7</v>
      </c>
      <c r="AV36" t="s">
        <v>78</v>
      </c>
      <c r="AX36" t="s">
        <v>1715</v>
      </c>
    </row>
    <row r="37" spans="1:50">
      <c r="A37">
        <v>36</v>
      </c>
      <c r="B37">
        <v>33</v>
      </c>
      <c r="C37" t="s">
        <v>74</v>
      </c>
      <c r="D37" t="s">
        <v>1558</v>
      </c>
      <c r="E37" t="s">
        <v>1559</v>
      </c>
      <c r="F37">
        <v>3140</v>
      </c>
      <c r="G37" s="23">
        <v>45484</v>
      </c>
      <c r="H37" s="2">
        <v>45572.440127314818</v>
      </c>
      <c r="I37" s="2">
        <v>45633.5549537037</v>
      </c>
      <c r="K37" s="149">
        <v>0</v>
      </c>
      <c r="L37" s="149">
        <v>75280</v>
      </c>
      <c r="M37" s="149">
        <v>14304</v>
      </c>
      <c r="N37" s="149">
        <v>89584</v>
      </c>
      <c r="O37">
        <v>0</v>
      </c>
      <c r="P37">
        <v>0</v>
      </c>
      <c r="Q37">
        <v>0</v>
      </c>
      <c r="R37">
        <v>0</v>
      </c>
      <c r="S37">
        <v>0</v>
      </c>
      <c r="T37" t="s">
        <v>77</v>
      </c>
      <c r="U37">
        <v>0</v>
      </c>
      <c r="V37">
        <v>0</v>
      </c>
      <c r="W37">
        <v>0</v>
      </c>
      <c r="X37">
        <v>0</v>
      </c>
      <c r="Y37">
        <v>0</v>
      </c>
      <c r="AC37">
        <v>0</v>
      </c>
      <c r="AE37">
        <v>0</v>
      </c>
      <c r="AF37">
        <v>2</v>
      </c>
      <c r="AG37">
        <v>0</v>
      </c>
      <c r="AH37">
        <v>0</v>
      </c>
      <c r="AI37">
        <v>0</v>
      </c>
      <c r="AM37">
        <v>0</v>
      </c>
      <c r="AR37" t="s">
        <v>1679</v>
      </c>
      <c r="AS37" t="s">
        <v>1680</v>
      </c>
      <c r="AT37">
        <v>2024</v>
      </c>
      <c r="AU37">
        <v>7</v>
      </c>
      <c r="AV37" t="s">
        <v>78</v>
      </c>
      <c r="AX37" t="s">
        <v>1716</v>
      </c>
    </row>
    <row r="38" spans="1:50">
      <c r="A38">
        <v>37</v>
      </c>
      <c r="B38">
        <v>33</v>
      </c>
      <c r="C38" t="s">
        <v>74</v>
      </c>
      <c r="D38" t="s">
        <v>1353</v>
      </c>
      <c r="E38" t="s">
        <v>1354</v>
      </c>
      <c r="F38">
        <v>3141</v>
      </c>
      <c r="G38" s="23">
        <v>45484</v>
      </c>
      <c r="H38" s="2">
        <v>45572.442835648151</v>
      </c>
      <c r="I38" s="2">
        <v>45603.439444444448</v>
      </c>
      <c r="K38" s="149">
        <v>0</v>
      </c>
      <c r="L38" s="149">
        <v>515460</v>
      </c>
      <c r="M38" s="149">
        <v>97937</v>
      </c>
      <c r="N38" s="149">
        <v>613397</v>
      </c>
      <c r="O38">
        <v>0</v>
      </c>
      <c r="P38">
        <v>0</v>
      </c>
      <c r="Q38">
        <v>0</v>
      </c>
      <c r="R38">
        <v>0</v>
      </c>
      <c r="S38">
        <v>0</v>
      </c>
      <c r="T38" t="s">
        <v>77</v>
      </c>
      <c r="U38">
        <v>0</v>
      </c>
      <c r="V38">
        <v>0</v>
      </c>
      <c r="W38">
        <v>0</v>
      </c>
      <c r="X38">
        <v>0</v>
      </c>
      <c r="Y38">
        <v>0</v>
      </c>
      <c r="AC38">
        <v>0</v>
      </c>
      <c r="AE38">
        <v>0</v>
      </c>
      <c r="AF38">
        <v>2</v>
      </c>
      <c r="AG38">
        <v>0</v>
      </c>
      <c r="AH38">
        <v>0</v>
      </c>
      <c r="AI38">
        <v>0</v>
      </c>
      <c r="AM38">
        <v>0</v>
      </c>
      <c r="AR38" t="s">
        <v>1679</v>
      </c>
      <c r="AS38" t="s">
        <v>1680</v>
      </c>
      <c r="AT38">
        <v>2024</v>
      </c>
      <c r="AU38">
        <v>7</v>
      </c>
      <c r="AV38" t="s">
        <v>78</v>
      </c>
      <c r="AX38" t="s">
        <v>1717</v>
      </c>
    </row>
    <row r="39" spans="1:50">
      <c r="A39">
        <v>38</v>
      </c>
      <c r="B39">
        <v>33</v>
      </c>
      <c r="C39" t="s">
        <v>74</v>
      </c>
      <c r="D39" t="s">
        <v>1590</v>
      </c>
      <c r="E39" t="s">
        <v>1591</v>
      </c>
      <c r="F39">
        <v>3142</v>
      </c>
      <c r="G39" s="23">
        <v>45484</v>
      </c>
      <c r="H39" s="2">
        <v>45572.450462962966</v>
      </c>
      <c r="I39" s="2"/>
      <c r="K39" s="149">
        <v>0</v>
      </c>
      <c r="L39" s="149">
        <v>432684</v>
      </c>
      <c r="M39" s="149">
        <v>82209</v>
      </c>
      <c r="N39" s="149">
        <v>514893</v>
      </c>
      <c r="O39">
        <v>0</v>
      </c>
      <c r="P39">
        <v>0</v>
      </c>
      <c r="Q39">
        <v>0</v>
      </c>
      <c r="R39">
        <v>0</v>
      </c>
      <c r="S39">
        <v>0</v>
      </c>
      <c r="T39" t="s">
        <v>77</v>
      </c>
      <c r="U39">
        <v>0</v>
      </c>
      <c r="V39">
        <v>0</v>
      </c>
      <c r="W39">
        <v>0</v>
      </c>
      <c r="X39">
        <v>0</v>
      </c>
      <c r="Y39">
        <v>0</v>
      </c>
      <c r="AC39">
        <v>0</v>
      </c>
      <c r="AE39">
        <v>0</v>
      </c>
      <c r="AF39">
        <v>2</v>
      </c>
      <c r="AG39">
        <v>0</v>
      </c>
      <c r="AH39">
        <v>0</v>
      </c>
      <c r="AI39">
        <v>0</v>
      </c>
      <c r="AM39">
        <v>0</v>
      </c>
      <c r="AR39" t="s">
        <v>1679</v>
      </c>
      <c r="AS39" t="s">
        <v>1680</v>
      </c>
      <c r="AT39">
        <v>2024</v>
      </c>
      <c r="AU39">
        <v>7</v>
      </c>
      <c r="AV39" t="s">
        <v>78</v>
      </c>
      <c r="AX39" t="s">
        <v>1718</v>
      </c>
    </row>
    <row r="40" spans="1:50">
      <c r="A40">
        <v>39</v>
      </c>
      <c r="B40">
        <v>33</v>
      </c>
      <c r="C40" t="s">
        <v>74</v>
      </c>
      <c r="D40" t="s">
        <v>1592</v>
      </c>
      <c r="E40" t="s">
        <v>1593</v>
      </c>
      <c r="F40">
        <v>3143</v>
      </c>
      <c r="G40" s="23">
        <v>45484</v>
      </c>
      <c r="H40" s="2">
        <v>45572.479085648149</v>
      </c>
      <c r="I40" s="2"/>
      <c r="K40" s="149">
        <v>0</v>
      </c>
      <c r="L40" s="149">
        <v>370520</v>
      </c>
      <c r="M40" s="149">
        <v>70399</v>
      </c>
      <c r="N40" s="149">
        <v>440919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77</v>
      </c>
      <c r="U40">
        <v>0</v>
      </c>
      <c r="V40">
        <v>0</v>
      </c>
      <c r="W40">
        <v>0</v>
      </c>
      <c r="X40">
        <v>0</v>
      </c>
      <c r="Y40">
        <v>0</v>
      </c>
      <c r="AC40">
        <v>0</v>
      </c>
      <c r="AE40">
        <v>0</v>
      </c>
      <c r="AF40">
        <v>2</v>
      </c>
      <c r="AG40">
        <v>0</v>
      </c>
      <c r="AH40">
        <v>0</v>
      </c>
      <c r="AI40">
        <v>0</v>
      </c>
      <c r="AM40">
        <v>0</v>
      </c>
      <c r="AR40" t="s">
        <v>1679</v>
      </c>
      <c r="AS40" t="s">
        <v>1680</v>
      </c>
      <c r="AT40">
        <v>2024</v>
      </c>
      <c r="AU40">
        <v>7</v>
      </c>
      <c r="AV40" t="s">
        <v>78</v>
      </c>
      <c r="AX40" t="s">
        <v>1719</v>
      </c>
    </row>
    <row r="41" spans="1:50">
      <c r="A41">
        <v>40</v>
      </c>
      <c r="B41">
        <v>33</v>
      </c>
      <c r="C41" t="s">
        <v>74</v>
      </c>
      <c r="D41" t="s">
        <v>1594</v>
      </c>
      <c r="E41" t="s">
        <v>1595</v>
      </c>
      <c r="F41">
        <v>3144</v>
      </c>
      <c r="G41" s="23">
        <v>45484</v>
      </c>
      <c r="H41" s="2">
        <v>45572.485219907408</v>
      </c>
      <c r="K41" s="149">
        <v>0</v>
      </c>
      <c r="L41" s="149">
        <v>249406</v>
      </c>
      <c r="M41" s="149">
        <v>47388</v>
      </c>
      <c r="N41" s="149">
        <v>296794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77</v>
      </c>
      <c r="U41">
        <v>0</v>
      </c>
      <c r="V41">
        <v>0</v>
      </c>
      <c r="W41">
        <v>0</v>
      </c>
      <c r="X41">
        <v>0</v>
      </c>
      <c r="Y41">
        <v>0</v>
      </c>
      <c r="AC41">
        <v>0</v>
      </c>
      <c r="AE41">
        <v>0</v>
      </c>
      <c r="AF41">
        <v>2</v>
      </c>
      <c r="AG41">
        <v>0</v>
      </c>
      <c r="AH41">
        <v>0</v>
      </c>
      <c r="AI41">
        <v>0</v>
      </c>
      <c r="AM41">
        <v>0</v>
      </c>
      <c r="AR41" t="s">
        <v>1679</v>
      </c>
      <c r="AS41" t="s">
        <v>1680</v>
      </c>
      <c r="AT41">
        <v>2024</v>
      </c>
      <c r="AU41">
        <v>7</v>
      </c>
      <c r="AV41" t="s">
        <v>78</v>
      </c>
      <c r="AX41" t="s">
        <v>1720</v>
      </c>
    </row>
    <row r="42" spans="1:50">
      <c r="A42">
        <v>41</v>
      </c>
      <c r="B42">
        <v>33</v>
      </c>
      <c r="C42" t="s">
        <v>74</v>
      </c>
      <c r="D42" t="s">
        <v>1222</v>
      </c>
      <c r="E42" t="s">
        <v>1223</v>
      </c>
      <c r="F42">
        <v>3145</v>
      </c>
      <c r="G42" s="23">
        <v>45485</v>
      </c>
      <c r="H42" s="2">
        <v>45572.535370370373</v>
      </c>
      <c r="I42" s="2" t="s">
        <v>1596</v>
      </c>
      <c r="J42" s="2"/>
      <c r="K42" s="149">
        <v>0</v>
      </c>
      <c r="L42" s="149">
        <v>2455360</v>
      </c>
      <c r="M42" s="149">
        <v>466518</v>
      </c>
      <c r="N42" s="149">
        <v>2921878</v>
      </c>
      <c r="O42">
        <v>0</v>
      </c>
      <c r="P42">
        <v>0</v>
      </c>
      <c r="Q42">
        <v>0</v>
      </c>
      <c r="R42">
        <v>0</v>
      </c>
      <c r="S42">
        <v>0</v>
      </c>
      <c r="T42" t="s">
        <v>77</v>
      </c>
      <c r="U42">
        <v>0</v>
      </c>
      <c r="V42">
        <v>0</v>
      </c>
      <c r="W42">
        <v>0</v>
      </c>
      <c r="X42">
        <v>0</v>
      </c>
      <c r="AC42">
        <v>0</v>
      </c>
      <c r="AE42">
        <v>0</v>
      </c>
      <c r="AF42">
        <v>2</v>
      </c>
      <c r="AG42">
        <v>0</v>
      </c>
      <c r="AH42">
        <v>0</v>
      </c>
      <c r="AI42">
        <v>0</v>
      </c>
      <c r="AM42">
        <v>0</v>
      </c>
      <c r="AR42" t="s">
        <v>1679</v>
      </c>
      <c r="AS42" t="s">
        <v>1680</v>
      </c>
      <c r="AT42">
        <v>2024</v>
      </c>
      <c r="AU42">
        <v>7</v>
      </c>
      <c r="AV42" t="s">
        <v>78</v>
      </c>
      <c r="AX42" t="s">
        <v>1721</v>
      </c>
    </row>
    <row r="43" spans="1:50">
      <c r="A43">
        <v>42</v>
      </c>
      <c r="B43">
        <v>33</v>
      </c>
      <c r="C43" t="s">
        <v>74</v>
      </c>
      <c r="D43" t="s">
        <v>1597</v>
      </c>
      <c r="E43" t="s">
        <v>1598</v>
      </c>
      <c r="F43">
        <v>3146</v>
      </c>
      <c r="G43" s="23">
        <v>45485</v>
      </c>
      <c r="H43" s="2">
        <v>45603.581388888888</v>
      </c>
      <c r="I43" s="2">
        <v>45633.453229166669</v>
      </c>
      <c r="K43" s="149">
        <v>0</v>
      </c>
      <c r="L43" s="149">
        <v>232912</v>
      </c>
      <c r="M43" s="149">
        <v>44255</v>
      </c>
      <c r="N43" s="149">
        <v>277167</v>
      </c>
      <c r="O43">
        <v>0</v>
      </c>
      <c r="P43">
        <v>0</v>
      </c>
      <c r="Q43">
        <v>0</v>
      </c>
      <c r="R43">
        <v>0</v>
      </c>
      <c r="S43">
        <v>0</v>
      </c>
      <c r="T43" t="s">
        <v>77</v>
      </c>
      <c r="U43">
        <v>0</v>
      </c>
      <c r="V43">
        <v>0</v>
      </c>
      <c r="W43">
        <v>0</v>
      </c>
      <c r="X43">
        <v>0</v>
      </c>
      <c r="Y43">
        <v>0</v>
      </c>
      <c r="AC43">
        <v>0</v>
      </c>
      <c r="AE43">
        <v>0</v>
      </c>
      <c r="AF43">
        <v>2</v>
      </c>
      <c r="AG43">
        <v>0</v>
      </c>
      <c r="AH43">
        <v>0</v>
      </c>
      <c r="AI43">
        <v>0</v>
      </c>
      <c r="AM43">
        <v>0</v>
      </c>
      <c r="AR43" t="s">
        <v>1679</v>
      </c>
      <c r="AS43" t="s">
        <v>1680</v>
      </c>
      <c r="AT43">
        <v>2024</v>
      </c>
      <c r="AU43">
        <v>7</v>
      </c>
      <c r="AV43" t="s">
        <v>78</v>
      </c>
      <c r="AX43" t="s">
        <v>1722</v>
      </c>
    </row>
    <row r="44" spans="1:50">
      <c r="A44">
        <v>43</v>
      </c>
      <c r="B44">
        <v>33</v>
      </c>
      <c r="C44" t="s">
        <v>74</v>
      </c>
      <c r="D44" t="s">
        <v>1573</v>
      </c>
      <c r="E44" t="s">
        <v>1574</v>
      </c>
      <c r="F44">
        <v>3147</v>
      </c>
      <c r="G44" s="23" t="s">
        <v>777</v>
      </c>
      <c r="H44" s="2">
        <v>45633.571469907409</v>
      </c>
      <c r="K44" s="149">
        <v>0</v>
      </c>
      <c r="L44" s="149">
        <v>170936</v>
      </c>
      <c r="M44" s="149">
        <v>32478</v>
      </c>
      <c r="N44" s="149">
        <v>203414</v>
      </c>
      <c r="O44">
        <v>0</v>
      </c>
      <c r="P44">
        <v>0</v>
      </c>
      <c r="Q44">
        <v>0</v>
      </c>
      <c r="R44">
        <v>0</v>
      </c>
      <c r="S44">
        <v>0</v>
      </c>
      <c r="T44" t="s">
        <v>77</v>
      </c>
      <c r="U44">
        <v>0</v>
      </c>
      <c r="V44">
        <v>0</v>
      </c>
      <c r="W44">
        <v>0</v>
      </c>
      <c r="X44">
        <v>0</v>
      </c>
      <c r="Y44">
        <v>0</v>
      </c>
      <c r="AC44">
        <v>0</v>
      </c>
      <c r="AE44">
        <v>0</v>
      </c>
      <c r="AF44">
        <v>2</v>
      </c>
      <c r="AG44">
        <v>0</v>
      </c>
      <c r="AH44">
        <v>0</v>
      </c>
      <c r="AI44">
        <v>0</v>
      </c>
      <c r="AM44">
        <v>0</v>
      </c>
      <c r="AR44" t="s">
        <v>1679</v>
      </c>
      <c r="AS44" t="s">
        <v>1680</v>
      </c>
      <c r="AT44">
        <v>2024</v>
      </c>
      <c r="AU44">
        <v>7</v>
      </c>
      <c r="AV44" t="s">
        <v>78</v>
      </c>
      <c r="AX44" t="s">
        <v>1723</v>
      </c>
    </row>
    <row r="45" spans="1:50">
      <c r="A45">
        <v>44</v>
      </c>
      <c r="B45">
        <v>33</v>
      </c>
      <c r="C45" t="s">
        <v>74</v>
      </c>
      <c r="D45" t="s">
        <v>1581</v>
      </c>
      <c r="E45" t="s">
        <v>1582</v>
      </c>
      <c r="F45">
        <v>3148</v>
      </c>
      <c r="G45" s="23" t="s">
        <v>777</v>
      </c>
      <c r="H45" s="2">
        <v>45633.617511574077</v>
      </c>
      <c r="I45" s="2" t="s">
        <v>1599</v>
      </c>
      <c r="K45" s="149">
        <v>0</v>
      </c>
      <c r="L45" s="149">
        <v>949440</v>
      </c>
      <c r="M45" s="149">
        <v>180394</v>
      </c>
      <c r="N45" s="149">
        <v>1129834</v>
      </c>
      <c r="O45">
        <v>0</v>
      </c>
      <c r="P45">
        <v>0</v>
      </c>
      <c r="Q45">
        <v>0</v>
      </c>
      <c r="R45">
        <v>0</v>
      </c>
      <c r="S45">
        <v>0</v>
      </c>
      <c r="T45" t="s">
        <v>77</v>
      </c>
      <c r="U45">
        <v>0</v>
      </c>
      <c r="V45">
        <v>0</v>
      </c>
      <c r="W45">
        <v>0</v>
      </c>
      <c r="X45">
        <v>0</v>
      </c>
      <c r="Y45">
        <v>0</v>
      </c>
      <c r="AC45">
        <v>0</v>
      </c>
      <c r="AE45">
        <v>0</v>
      </c>
      <c r="AF45">
        <v>2</v>
      </c>
      <c r="AG45">
        <v>0</v>
      </c>
      <c r="AH45">
        <v>0</v>
      </c>
      <c r="AI45">
        <v>0</v>
      </c>
      <c r="AM45">
        <v>0</v>
      </c>
      <c r="AR45" t="s">
        <v>1679</v>
      </c>
      <c r="AS45" t="s">
        <v>1680</v>
      </c>
      <c r="AT45">
        <v>2024</v>
      </c>
      <c r="AU45">
        <v>7</v>
      </c>
      <c r="AV45" t="s">
        <v>78</v>
      </c>
      <c r="AX45" t="s">
        <v>1724</v>
      </c>
    </row>
    <row r="46" spans="1:50">
      <c r="A46">
        <v>45</v>
      </c>
      <c r="B46">
        <v>33</v>
      </c>
      <c r="C46" t="s">
        <v>74</v>
      </c>
      <c r="D46" t="s">
        <v>1600</v>
      </c>
      <c r="E46" t="s">
        <v>1601</v>
      </c>
      <c r="F46">
        <v>3149</v>
      </c>
      <c r="G46" s="23" t="s">
        <v>777</v>
      </c>
      <c r="H46" s="2">
        <v>45633.620810185188</v>
      </c>
      <c r="K46" s="149">
        <v>0</v>
      </c>
      <c r="L46" s="149">
        <v>54960</v>
      </c>
      <c r="M46" s="149">
        <v>10443</v>
      </c>
      <c r="N46" s="149">
        <v>65403</v>
      </c>
      <c r="O46">
        <v>0</v>
      </c>
      <c r="P46">
        <v>0</v>
      </c>
      <c r="Q46">
        <v>0</v>
      </c>
      <c r="R46">
        <v>0</v>
      </c>
      <c r="S46">
        <v>0</v>
      </c>
      <c r="T46" t="s">
        <v>77</v>
      </c>
      <c r="U46">
        <v>0</v>
      </c>
      <c r="V46">
        <v>0</v>
      </c>
      <c r="W46">
        <v>0</v>
      </c>
      <c r="X46">
        <v>0</v>
      </c>
      <c r="Y46">
        <v>0</v>
      </c>
      <c r="AC46">
        <v>0</v>
      </c>
      <c r="AE46">
        <v>0</v>
      </c>
      <c r="AF46">
        <v>2</v>
      </c>
      <c r="AG46">
        <v>0</v>
      </c>
      <c r="AH46">
        <v>0</v>
      </c>
      <c r="AI46">
        <v>0</v>
      </c>
      <c r="AM46">
        <v>0</v>
      </c>
      <c r="AR46" t="s">
        <v>1679</v>
      </c>
      <c r="AS46" t="s">
        <v>1680</v>
      </c>
      <c r="AT46">
        <v>2024</v>
      </c>
      <c r="AU46">
        <v>7</v>
      </c>
      <c r="AV46" t="s">
        <v>78</v>
      </c>
      <c r="AX46" t="s">
        <v>1725</v>
      </c>
    </row>
    <row r="47" spans="1:50">
      <c r="A47">
        <v>46</v>
      </c>
      <c r="B47">
        <v>33</v>
      </c>
      <c r="C47" t="s">
        <v>74</v>
      </c>
      <c r="D47" t="s">
        <v>1353</v>
      </c>
      <c r="E47" t="s">
        <v>1354</v>
      </c>
      <c r="F47">
        <v>3150</v>
      </c>
      <c r="G47" s="23" t="s">
        <v>777</v>
      </c>
      <c r="H47" s="2">
        <v>45633.650833333333</v>
      </c>
      <c r="I47" t="s">
        <v>1602</v>
      </c>
      <c r="K47" s="149">
        <v>0</v>
      </c>
      <c r="L47" s="149">
        <v>3418080</v>
      </c>
      <c r="M47" s="149">
        <v>649436</v>
      </c>
      <c r="N47" s="149">
        <v>4067516</v>
      </c>
      <c r="O47">
        <v>0</v>
      </c>
      <c r="P47">
        <v>0</v>
      </c>
      <c r="Q47">
        <v>0</v>
      </c>
      <c r="R47">
        <v>0</v>
      </c>
      <c r="S47">
        <v>0</v>
      </c>
      <c r="T47" t="s">
        <v>77</v>
      </c>
      <c r="U47">
        <v>0</v>
      </c>
      <c r="V47">
        <v>0</v>
      </c>
      <c r="W47">
        <v>0</v>
      </c>
      <c r="X47">
        <v>0</v>
      </c>
      <c r="Y47">
        <v>0</v>
      </c>
      <c r="AC47">
        <v>0</v>
      </c>
      <c r="AE47">
        <v>0</v>
      </c>
      <c r="AF47">
        <v>2</v>
      </c>
      <c r="AG47">
        <v>0</v>
      </c>
      <c r="AH47">
        <v>0</v>
      </c>
      <c r="AI47">
        <v>0</v>
      </c>
      <c r="AM47">
        <v>0</v>
      </c>
      <c r="AR47" t="s">
        <v>1679</v>
      </c>
      <c r="AS47" t="s">
        <v>1680</v>
      </c>
      <c r="AT47">
        <v>2024</v>
      </c>
      <c r="AU47">
        <v>7</v>
      </c>
      <c r="AV47" t="s">
        <v>78</v>
      </c>
      <c r="AX47" t="s">
        <v>1726</v>
      </c>
    </row>
    <row r="48" spans="1:50">
      <c r="A48">
        <v>47</v>
      </c>
      <c r="B48">
        <v>33</v>
      </c>
      <c r="C48" t="s">
        <v>74</v>
      </c>
      <c r="D48" t="s">
        <v>1222</v>
      </c>
      <c r="E48" t="s">
        <v>1223</v>
      </c>
      <c r="F48">
        <v>3151</v>
      </c>
      <c r="G48" s="23" t="s">
        <v>778</v>
      </c>
      <c r="H48" s="2">
        <v>45633.731041666666</v>
      </c>
      <c r="J48" t="s">
        <v>1603</v>
      </c>
      <c r="K48" s="149">
        <v>0</v>
      </c>
      <c r="L48" s="149">
        <v>24328800</v>
      </c>
      <c r="M48" s="149">
        <v>4622472</v>
      </c>
      <c r="N48" s="149">
        <v>28951272</v>
      </c>
      <c r="O48">
        <v>0</v>
      </c>
      <c r="P48">
        <v>0</v>
      </c>
      <c r="Q48">
        <v>0</v>
      </c>
      <c r="R48">
        <v>0</v>
      </c>
      <c r="S48">
        <v>0</v>
      </c>
      <c r="T48" t="s">
        <v>77</v>
      </c>
      <c r="U48">
        <v>0</v>
      </c>
      <c r="V48">
        <v>0</v>
      </c>
      <c r="W48">
        <v>0</v>
      </c>
      <c r="X48">
        <v>0</v>
      </c>
      <c r="AC48">
        <v>0</v>
      </c>
      <c r="AE48">
        <v>0</v>
      </c>
      <c r="AF48">
        <v>2</v>
      </c>
      <c r="AG48">
        <v>0</v>
      </c>
      <c r="AH48">
        <v>0</v>
      </c>
      <c r="AI48">
        <v>0</v>
      </c>
      <c r="AM48">
        <v>0</v>
      </c>
      <c r="AR48" t="s">
        <v>1679</v>
      </c>
      <c r="AS48" t="s">
        <v>1680</v>
      </c>
      <c r="AT48">
        <v>2024</v>
      </c>
      <c r="AU48">
        <v>7</v>
      </c>
      <c r="AV48" t="s">
        <v>78</v>
      </c>
      <c r="AX48" t="s">
        <v>1727</v>
      </c>
    </row>
    <row r="49" spans="1:50">
      <c r="A49">
        <v>48</v>
      </c>
      <c r="B49">
        <v>33</v>
      </c>
      <c r="C49" t="s">
        <v>74</v>
      </c>
      <c r="D49" t="s">
        <v>1571</v>
      </c>
      <c r="E49" t="s">
        <v>1572</v>
      </c>
      <c r="F49">
        <v>3152</v>
      </c>
      <c r="G49" s="23" t="s">
        <v>777</v>
      </c>
      <c r="H49" s="2" t="s">
        <v>1604</v>
      </c>
      <c r="I49" t="s">
        <v>1605</v>
      </c>
      <c r="K49" s="149">
        <v>0</v>
      </c>
      <c r="L49" s="149">
        <v>8314705</v>
      </c>
      <c r="M49" s="149">
        <v>1579795</v>
      </c>
      <c r="N49" s="149">
        <v>9894500</v>
      </c>
      <c r="O49">
        <v>0</v>
      </c>
      <c r="P49">
        <v>0</v>
      </c>
      <c r="Q49">
        <v>0</v>
      </c>
      <c r="R49">
        <v>0</v>
      </c>
      <c r="S49">
        <v>0</v>
      </c>
      <c r="T49" t="s">
        <v>77</v>
      </c>
      <c r="U49">
        <v>0</v>
      </c>
      <c r="V49">
        <v>0</v>
      </c>
      <c r="W49">
        <v>0</v>
      </c>
      <c r="X49">
        <v>0</v>
      </c>
      <c r="AC49">
        <v>0</v>
      </c>
      <c r="AE49">
        <v>0</v>
      </c>
      <c r="AF49">
        <v>2</v>
      </c>
      <c r="AG49">
        <v>0</v>
      </c>
      <c r="AH49">
        <v>0</v>
      </c>
      <c r="AI49">
        <v>0</v>
      </c>
      <c r="AM49">
        <v>0</v>
      </c>
      <c r="AR49" t="s">
        <v>1679</v>
      </c>
      <c r="AS49" t="s">
        <v>1680</v>
      </c>
      <c r="AT49">
        <v>2024</v>
      </c>
      <c r="AU49">
        <v>7</v>
      </c>
      <c r="AV49" t="s">
        <v>78</v>
      </c>
      <c r="AX49" t="s">
        <v>1728</v>
      </c>
    </row>
    <row r="50" spans="1:50">
      <c r="A50">
        <v>49</v>
      </c>
      <c r="B50">
        <v>33</v>
      </c>
      <c r="C50" t="s">
        <v>74</v>
      </c>
      <c r="D50" t="s">
        <v>1222</v>
      </c>
      <c r="E50" t="s">
        <v>1223</v>
      </c>
      <c r="F50">
        <v>3153</v>
      </c>
      <c r="G50" s="23" t="s">
        <v>777</v>
      </c>
      <c r="H50" s="2" t="s">
        <v>1606</v>
      </c>
      <c r="I50" t="s">
        <v>1607</v>
      </c>
      <c r="K50" s="149">
        <v>0</v>
      </c>
      <c r="L50" s="149">
        <v>9802050</v>
      </c>
      <c r="M50" s="149">
        <v>1862390</v>
      </c>
      <c r="N50" s="149">
        <v>11664440</v>
      </c>
      <c r="O50">
        <v>0</v>
      </c>
      <c r="P50">
        <v>0</v>
      </c>
      <c r="Q50">
        <v>0</v>
      </c>
      <c r="R50">
        <v>0</v>
      </c>
      <c r="S50">
        <v>0</v>
      </c>
      <c r="T50" t="s">
        <v>77</v>
      </c>
      <c r="U50">
        <v>0</v>
      </c>
      <c r="V50">
        <v>0</v>
      </c>
      <c r="W50">
        <v>0</v>
      </c>
      <c r="X50">
        <v>0</v>
      </c>
      <c r="AC50">
        <v>0</v>
      </c>
      <c r="AE50">
        <v>0</v>
      </c>
      <c r="AF50">
        <v>2</v>
      </c>
      <c r="AG50">
        <v>0</v>
      </c>
      <c r="AH50">
        <v>0</v>
      </c>
      <c r="AI50">
        <v>0</v>
      </c>
      <c r="AM50">
        <v>0</v>
      </c>
      <c r="AR50" t="s">
        <v>1679</v>
      </c>
      <c r="AS50" t="s">
        <v>1680</v>
      </c>
      <c r="AT50">
        <v>2024</v>
      </c>
      <c r="AU50">
        <v>7</v>
      </c>
      <c r="AV50" t="s">
        <v>78</v>
      </c>
      <c r="AX50" t="s">
        <v>1729</v>
      </c>
    </row>
    <row r="51" spans="1:50">
      <c r="A51">
        <v>50</v>
      </c>
      <c r="B51">
        <v>33</v>
      </c>
      <c r="C51" t="s">
        <v>74</v>
      </c>
      <c r="D51" t="s">
        <v>1222</v>
      </c>
      <c r="E51" t="s">
        <v>1223</v>
      </c>
      <c r="F51">
        <v>3154</v>
      </c>
      <c r="G51" s="23" t="s">
        <v>777</v>
      </c>
      <c r="H51" s="2" t="s">
        <v>1608</v>
      </c>
      <c r="I51" s="2" t="s">
        <v>1609</v>
      </c>
      <c r="K51" s="149">
        <v>0</v>
      </c>
      <c r="L51" s="149">
        <v>4768560</v>
      </c>
      <c r="M51" s="149">
        <v>906026</v>
      </c>
      <c r="N51" s="149">
        <v>5674586</v>
      </c>
      <c r="O51">
        <v>0</v>
      </c>
      <c r="P51">
        <v>0</v>
      </c>
      <c r="Q51">
        <v>0</v>
      </c>
      <c r="R51">
        <v>0</v>
      </c>
      <c r="S51">
        <v>0</v>
      </c>
      <c r="T51" t="s">
        <v>77</v>
      </c>
      <c r="U51">
        <v>0</v>
      </c>
      <c r="V51">
        <v>0</v>
      </c>
      <c r="W51">
        <v>0</v>
      </c>
      <c r="X51">
        <v>0</v>
      </c>
      <c r="AC51">
        <v>0</v>
      </c>
      <c r="AE51">
        <v>0</v>
      </c>
      <c r="AF51">
        <v>2</v>
      </c>
      <c r="AG51">
        <v>0</v>
      </c>
      <c r="AH51">
        <v>0</v>
      </c>
      <c r="AI51">
        <v>0</v>
      </c>
      <c r="AM51">
        <v>0</v>
      </c>
      <c r="AR51" t="s">
        <v>1679</v>
      </c>
      <c r="AS51" t="s">
        <v>1680</v>
      </c>
      <c r="AT51">
        <v>2024</v>
      </c>
      <c r="AU51">
        <v>7</v>
      </c>
      <c r="AV51" t="s">
        <v>78</v>
      </c>
      <c r="AX51" t="s">
        <v>1730</v>
      </c>
    </row>
    <row r="52" spans="1:50">
      <c r="A52">
        <v>51</v>
      </c>
      <c r="B52">
        <v>33</v>
      </c>
      <c r="C52" t="s">
        <v>74</v>
      </c>
      <c r="D52" t="s">
        <v>1222</v>
      </c>
      <c r="E52" t="s">
        <v>1223</v>
      </c>
      <c r="F52">
        <v>3155</v>
      </c>
      <c r="G52" s="23" t="s">
        <v>777</v>
      </c>
      <c r="H52" s="2" t="s">
        <v>1610</v>
      </c>
      <c r="I52" t="s">
        <v>1611</v>
      </c>
      <c r="K52" s="149">
        <v>0</v>
      </c>
      <c r="L52" s="149">
        <v>22712826</v>
      </c>
      <c r="M52" s="149">
        <v>4315437</v>
      </c>
      <c r="N52" s="149">
        <v>27028263</v>
      </c>
      <c r="O52">
        <v>0</v>
      </c>
      <c r="P52">
        <v>0</v>
      </c>
      <c r="Q52">
        <v>0</v>
      </c>
      <c r="R52">
        <v>0</v>
      </c>
      <c r="S52">
        <v>0</v>
      </c>
      <c r="T52" t="s">
        <v>77</v>
      </c>
      <c r="U52">
        <v>0</v>
      </c>
      <c r="V52">
        <v>0</v>
      </c>
      <c r="W52">
        <v>0</v>
      </c>
      <c r="X52">
        <v>0</v>
      </c>
      <c r="AC52">
        <v>0</v>
      </c>
      <c r="AE52">
        <v>0</v>
      </c>
      <c r="AF52">
        <v>2</v>
      </c>
      <c r="AG52">
        <v>0</v>
      </c>
      <c r="AH52">
        <v>0</v>
      </c>
      <c r="AI52">
        <v>0</v>
      </c>
      <c r="AM52">
        <v>0</v>
      </c>
      <c r="AR52" t="s">
        <v>1679</v>
      </c>
      <c r="AS52" t="s">
        <v>1680</v>
      </c>
      <c r="AT52">
        <v>2024</v>
      </c>
      <c r="AU52">
        <v>7</v>
      </c>
      <c r="AV52" t="s">
        <v>78</v>
      </c>
      <c r="AX52" t="s">
        <v>1731</v>
      </c>
    </row>
    <row r="53" spans="1:50">
      <c r="A53">
        <v>52</v>
      </c>
      <c r="B53">
        <v>33</v>
      </c>
      <c r="C53" t="s">
        <v>74</v>
      </c>
      <c r="D53" t="s">
        <v>1612</v>
      </c>
      <c r="E53" t="s">
        <v>1613</v>
      </c>
      <c r="F53">
        <v>3156</v>
      </c>
      <c r="G53" s="23" t="s">
        <v>779</v>
      </c>
      <c r="H53" s="2" t="s">
        <v>1614</v>
      </c>
      <c r="I53" s="2"/>
      <c r="K53" s="149">
        <v>0</v>
      </c>
      <c r="L53" s="149">
        <v>452133</v>
      </c>
      <c r="M53" s="149">
        <v>85906</v>
      </c>
      <c r="N53" s="149">
        <v>538039</v>
      </c>
      <c r="O53">
        <v>0</v>
      </c>
      <c r="P53">
        <v>0</v>
      </c>
      <c r="Q53">
        <v>0</v>
      </c>
      <c r="R53">
        <v>0</v>
      </c>
      <c r="S53">
        <v>0</v>
      </c>
      <c r="T53" t="s">
        <v>77</v>
      </c>
      <c r="U53">
        <v>0</v>
      </c>
      <c r="V53">
        <v>0</v>
      </c>
      <c r="W53">
        <v>0</v>
      </c>
      <c r="X53">
        <v>0</v>
      </c>
      <c r="Y53">
        <v>0</v>
      </c>
      <c r="AC53">
        <v>0</v>
      </c>
      <c r="AE53">
        <v>0</v>
      </c>
      <c r="AF53">
        <v>2</v>
      </c>
      <c r="AG53">
        <v>0</v>
      </c>
      <c r="AH53">
        <v>0</v>
      </c>
      <c r="AI53">
        <v>0</v>
      </c>
      <c r="AM53">
        <v>0</v>
      </c>
      <c r="AR53" t="s">
        <v>1679</v>
      </c>
      <c r="AS53" t="s">
        <v>1680</v>
      </c>
      <c r="AT53">
        <v>2024</v>
      </c>
      <c r="AU53">
        <v>7</v>
      </c>
      <c r="AV53" t="s">
        <v>78</v>
      </c>
      <c r="AX53" t="s">
        <v>1732</v>
      </c>
    </row>
    <row r="54" spans="1:50">
      <c r="A54">
        <v>53</v>
      </c>
      <c r="B54">
        <v>33</v>
      </c>
      <c r="C54" t="s">
        <v>74</v>
      </c>
      <c r="D54" t="s">
        <v>1222</v>
      </c>
      <c r="E54" t="s">
        <v>1223</v>
      </c>
      <c r="F54">
        <v>3157</v>
      </c>
      <c r="G54" s="23" t="s">
        <v>779</v>
      </c>
      <c r="H54" s="2" t="s">
        <v>1615</v>
      </c>
      <c r="I54" s="2" t="s">
        <v>1616</v>
      </c>
      <c r="K54" s="149">
        <v>0</v>
      </c>
      <c r="L54" s="149">
        <v>9058780</v>
      </c>
      <c r="M54" s="149">
        <v>1721169</v>
      </c>
      <c r="N54" s="149">
        <v>10779949</v>
      </c>
      <c r="O54">
        <v>0</v>
      </c>
      <c r="P54">
        <v>0</v>
      </c>
      <c r="Q54">
        <v>0</v>
      </c>
      <c r="R54">
        <v>0</v>
      </c>
      <c r="S54">
        <v>0</v>
      </c>
      <c r="T54" t="s">
        <v>77</v>
      </c>
      <c r="U54">
        <v>0</v>
      </c>
      <c r="V54">
        <v>0</v>
      </c>
      <c r="W54">
        <v>0</v>
      </c>
      <c r="X54">
        <v>0</v>
      </c>
      <c r="AC54">
        <v>0</v>
      </c>
      <c r="AE54">
        <v>0</v>
      </c>
      <c r="AF54">
        <v>2</v>
      </c>
      <c r="AG54">
        <v>0</v>
      </c>
      <c r="AH54">
        <v>0</v>
      </c>
      <c r="AI54">
        <v>0</v>
      </c>
      <c r="AM54">
        <v>0</v>
      </c>
      <c r="AR54" t="s">
        <v>1679</v>
      </c>
      <c r="AS54" t="s">
        <v>1680</v>
      </c>
      <c r="AT54">
        <v>2024</v>
      </c>
      <c r="AU54">
        <v>7</v>
      </c>
      <c r="AV54" t="s">
        <v>78</v>
      </c>
      <c r="AX54" t="s">
        <v>1733</v>
      </c>
    </row>
    <row r="55" spans="1:50">
      <c r="A55">
        <v>54</v>
      </c>
      <c r="B55">
        <v>33</v>
      </c>
      <c r="C55" t="s">
        <v>74</v>
      </c>
      <c r="D55" t="s">
        <v>1561</v>
      </c>
      <c r="E55" t="s">
        <v>1562</v>
      </c>
      <c r="F55">
        <v>3158</v>
      </c>
      <c r="G55" s="23" t="s">
        <v>779</v>
      </c>
      <c r="H55" s="2" t="s">
        <v>1617</v>
      </c>
      <c r="I55" s="2"/>
      <c r="K55" s="149">
        <v>0</v>
      </c>
      <c r="L55" s="149">
        <v>9841500</v>
      </c>
      <c r="M55" s="149">
        <v>1869885</v>
      </c>
      <c r="N55" s="149">
        <v>11711385</v>
      </c>
      <c r="O55">
        <v>0</v>
      </c>
      <c r="P55">
        <v>0</v>
      </c>
      <c r="Q55">
        <v>0</v>
      </c>
      <c r="R55">
        <v>0</v>
      </c>
      <c r="S55">
        <v>0</v>
      </c>
      <c r="T55" t="s">
        <v>77</v>
      </c>
      <c r="U55">
        <v>0</v>
      </c>
      <c r="V55">
        <v>0</v>
      </c>
      <c r="W55">
        <v>0</v>
      </c>
      <c r="X55">
        <v>0</v>
      </c>
      <c r="Y55">
        <v>0</v>
      </c>
      <c r="AC55">
        <v>0</v>
      </c>
      <c r="AE55">
        <v>0</v>
      </c>
      <c r="AF55">
        <v>2</v>
      </c>
      <c r="AG55">
        <v>0</v>
      </c>
      <c r="AH55">
        <v>0</v>
      </c>
      <c r="AI55">
        <v>0</v>
      </c>
      <c r="AM55">
        <v>0</v>
      </c>
      <c r="AR55" t="s">
        <v>1679</v>
      </c>
      <c r="AS55" t="s">
        <v>1680</v>
      </c>
      <c r="AT55">
        <v>2024</v>
      </c>
      <c r="AU55">
        <v>7</v>
      </c>
      <c r="AV55" t="s">
        <v>78</v>
      </c>
      <c r="AX55" t="s">
        <v>1734</v>
      </c>
    </row>
    <row r="56" spans="1:50">
      <c r="A56">
        <v>55</v>
      </c>
      <c r="B56">
        <v>33</v>
      </c>
      <c r="C56" t="s">
        <v>74</v>
      </c>
      <c r="D56" t="s">
        <v>1558</v>
      </c>
      <c r="E56" t="s">
        <v>1559</v>
      </c>
      <c r="F56">
        <v>3159</v>
      </c>
      <c r="G56" s="23" t="s">
        <v>779</v>
      </c>
      <c r="H56" s="2" t="s">
        <v>1618</v>
      </c>
      <c r="I56" t="s">
        <v>1619</v>
      </c>
      <c r="J56" s="2"/>
      <c r="K56" s="149">
        <v>0</v>
      </c>
      <c r="L56" s="149">
        <v>188200</v>
      </c>
      <c r="M56" s="149">
        <v>35757</v>
      </c>
      <c r="N56" s="149">
        <v>223957</v>
      </c>
      <c r="O56">
        <v>0</v>
      </c>
      <c r="P56">
        <v>0</v>
      </c>
      <c r="Q56">
        <v>0</v>
      </c>
      <c r="R56">
        <v>0</v>
      </c>
      <c r="S56">
        <v>0</v>
      </c>
      <c r="T56" t="s">
        <v>77</v>
      </c>
      <c r="U56">
        <v>0</v>
      </c>
      <c r="V56">
        <v>0</v>
      </c>
      <c r="W56">
        <v>0</v>
      </c>
      <c r="X56">
        <v>0</v>
      </c>
      <c r="Y56">
        <v>0</v>
      </c>
      <c r="AC56">
        <v>0</v>
      </c>
      <c r="AE56">
        <v>0</v>
      </c>
      <c r="AF56">
        <v>2</v>
      </c>
      <c r="AG56">
        <v>0</v>
      </c>
      <c r="AH56">
        <v>0</v>
      </c>
      <c r="AI56">
        <v>0</v>
      </c>
      <c r="AM56">
        <v>0</v>
      </c>
      <c r="AR56" t="s">
        <v>1679</v>
      </c>
      <c r="AS56" t="s">
        <v>1680</v>
      </c>
      <c r="AT56">
        <v>2024</v>
      </c>
      <c r="AU56">
        <v>7</v>
      </c>
      <c r="AV56" t="s">
        <v>78</v>
      </c>
      <c r="AX56" t="s">
        <v>1735</v>
      </c>
    </row>
    <row r="57" spans="1:50">
      <c r="A57">
        <v>56</v>
      </c>
      <c r="B57">
        <v>33</v>
      </c>
      <c r="C57" t="s">
        <v>74</v>
      </c>
      <c r="D57" t="s">
        <v>1590</v>
      </c>
      <c r="E57" t="s">
        <v>1591</v>
      </c>
      <c r="F57">
        <v>3160</v>
      </c>
      <c r="G57" s="23" t="s">
        <v>779</v>
      </c>
      <c r="H57" s="2" t="s">
        <v>1620</v>
      </c>
      <c r="I57" s="2"/>
      <c r="J57" s="2"/>
      <c r="K57" s="149">
        <v>0</v>
      </c>
      <c r="L57" s="149">
        <v>246954</v>
      </c>
      <c r="M57" s="149">
        <v>46921</v>
      </c>
      <c r="N57" s="149">
        <v>293875</v>
      </c>
      <c r="O57">
        <v>0</v>
      </c>
      <c r="P57">
        <v>0</v>
      </c>
      <c r="Q57">
        <v>0</v>
      </c>
      <c r="R57">
        <v>0</v>
      </c>
      <c r="S57">
        <v>0</v>
      </c>
      <c r="T57" t="s">
        <v>77</v>
      </c>
      <c r="U57">
        <v>0</v>
      </c>
      <c r="V57">
        <v>0</v>
      </c>
      <c r="W57">
        <v>0</v>
      </c>
      <c r="X57">
        <v>0</v>
      </c>
      <c r="Y57">
        <v>0</v>
      </c>
      <c r="AC57">
        <v>0</v>
      </c>
      <c r="AE57">
        <v>0</v>
      </c>
      <c r="AF57">
        <v>2</v>
      </c>
      <c r="AG57">
        <v>0</v>
      </c>
      <c r="AH57">
        <v>0</v>
      </c>
      <c r="AI57">
        <v>0</v>
      </c>
      <c r="AM57">
        <v>0</v>
      </c>
      <c r="AR57" t="s">
        <v>1679</v>
      </c>
      <c r="AS57" t="s">
        <v>1680</v>
      </c>
      <c r="AT57">
        <v>2024</v>
      </c>
      <c r="AU57">
        <v>7</v>
      </c>
      <c r="AV57" t="s">
        <v>78</v>
      </c>
      <c r="AX57" t="s">
        <v>1736</v>
      </c>
    </row>
    <row r="58" spans="1:50">
      <c r="A58">
        <v>57</v>
      </c>
      <c r="B58">
        <v>33</v>
      </c>
      <c r="C58" t="s">
        <v>74</v>
      </c>
      <c r="D58" t="s">
        <v>1353</v>
      </c>
      <c r="E58" t="s">
        <v>1354</v>
      </c>
      <c r="F58">
        <v>3161</v>
      </c>
      <c r="G58" s="23" t="s">
        <v>780</v>
      </c>
      <c r="H58" s="2" t="s">
        <v>1621</v>
      </c>
      <c r="I58" s="2" t="s">
        <v>1622</v>
      </c>
      <c r="K58" s="149">
        <v>0</v>
      </c>
      <c r="L58" s="149">
        <v>791570</v>
      </c>
      <c r="M58" s="149">
        <v>150399</v>
      </c>
      <c r="N58" s="149">
        <v>941969</v>
      </c>
      <c r="O58">
        <v>0</v>
      </c>
      <c r="P58">
        <v>0</v>
      </c>
      <c r="Q58">
        <v>0</v>
      </c>
      <c r="R58">
        <v>0</v>
      </c>
      <c r="S58">
        <v>0</v>
      </c>
      <c r="T58" t="s">
        <v>77</v>
      </c>
      <c r="U58">
        <v>0</v>
      </c>
      <c r="V58">
        <v>0</v>
      </c>
      <c r="W58">
        <v>0</v>
      </c>
      <c r="X58">
        <v>0</v>
      </c>
      <c r="Y58">
        <v>0</v>
      </c>
      <c r="AC58">
        <v>0</v>
      </c>
      <c r="AE58">
        <v>0</v>
      </c>
      <c r="AF58">
        <v>2</v>
      </c>
      <c r="AG58">
        <v>0</v>
      </c>
      <c r="AH58">
        <v>0</v>
      </c>
      <c r="AI58">
        <v>0</v>
      </c>
      <c r="AM58">
        <v>0</v>
      </c>
      <c r="AR58" t="s">
        <v>1679</v>
      </c>
      <c r="AS58" t="s">
        <v>1680</v>
      </c>
      <c r="AT58">
        <v>2024</v>
      </c>
      <c r="AU58">
        <v>7</v>
      </c>
      <c r="AV58" t="s">
        <v>78</v>
      </c>
      <c r="AX58" t="s">
        <v>1737</v>
      </c>
    </row>
    <row r="59" spans="1:50">
      <c r="A59">
        <v>58</v>
      </c>
      <c r="B59">
        <v>33</v>
      </c>
      <c r="C59" t="s">
        <v>74</v>
      </c>
      <c r="D59" t="s">
        <v>1583</v>
      </c>
      <c r="E59" t="s">
        <v>1584</v>
      </c>
      <c r="F59">
        <v>3162</v>
      </c>
      <c r="G59" s="23" t="s">
        <v>780</v>
      </c>
      <c r="H59" s="2" t="s">
        <v>1623</v>
      </c>
      <c r="I59" s="2"/>
      <c r="J59" s="2"/>
      <c r="K59" s="149">
        <v>0</v>
      </c>
      <c r="L59" s="149">
        <v>282240</v>
      </c>
      <c r="M59" s="149">
        <v>53626</v>
      </c>
      <c r="N59" s="149">
        <v>335866</v>
      </c>
      <c r="O59">
        <v>0</v>
      </c>
      <c r="P59">
        <v>0</v>
      </c>
      <c r="Q59">
        <v>0</v>
      </c>
      <c r="R59">
        <v>0</v>
      </c>
      <c r="S59">
        <v>0</v>
      </c>
      <c r="T59" t="s">
        <v>77</v>
      </c>
      <c r="U59">
        <v>0</v>
      </c>
      <c r="V59">
        <v>0</v>
      </c>
      <c r="W59">
        <v>0</v>
      </c>
      <c r="X59">
        <v>0</v>
      </c>
      <c r="Y59">
        <v>0</v>
      </c>
      <c r="AC59">
        <v>0</v>
      </c>
      <c r="AE59">
        <v>0</v>
      </c>
      <c r="AF59">
        <v>2</v>
      </c>
      <c r="AG59">
        <v>0</v>
      </c>
      <c r="AH59">
        <v>0</v>
      </c>
      <c r="AI59">
        <v>0</v>
      </c>
      <c r="AM59">
        <v>0</v>
      </c>
      <c r="AR59" t="s">
        <v>1679</v>
      </c>
      <c r="AS59" t="s">
        <v>1680</v>
      </c>
      <c r="AT59">
        <v>2024</v>
      </c>
      <c r="AU59">
        <v>7</v>
      </c>
      <c r="AV59" t="s">
        <v>78</v>
      </c>
      <c r="AX59" t="s">
        <v>1738</v>
      </c>
    </row>
    <row r="60" spans="1:50">
      <c r="A60">
        <v>59</v>
      </c>
      <c r="B60">
        <v>33</v>
      </c>
      <c r="C60" t="s">
        <v>74</v>
      </c>
      <c r="D60" t="s">
        <v>1555</v>
      </c>
      <c r="E60" t="s">
        <v>1556</v>
      </c>
      <c r="F60">
        <v>3163</v>
      </c>
      <c r="G60" s="23" t="s">
        <v>780</v>
      </c>
      <c r="H60" s="2" t="s">
        <v>1624</v>
      </c>
      <c r="I60" s="2" t="s">
        <v>1625</v>
      </c>
      <c r="K60" s="149">
        <v>0</v>
      </c>
      <c r="L60" s="149">
        <v>3200220</v>
      </c>
      <c r="M60" s="149">
        <v>608041</v>
      </c>
      <c r="N60" s="149">
        <v>3808261</v>
      </c>
      <c r="O60">
        <v>0</v>
      </c>
      <c r="P60">
        <v>0</v>
      </c>
      <c r="Q60">
        <v>0</v>
      </c>
      <c r="R60">
        <v>0</v>
      </c>
      <c r="S60">
        <v>0</v>
      </c>
      <c r="T60" t="s">
        <v>77</v>
      </c>
      <c r="U60">
        <v>0</v>
      </c>
      <c r="V60">
        <v>0</v>
      </c>
      <c r="W60">
        <v>0</v>
      </c>
      <c r="X60">
        <v>0</v>
      </c>
      <c r="AC60">
        <v>0</v>
      </c>
      <c r="AE60">
        <v>0</v>
      </c>
      <c r="AF60">
        <v>2</v>
      </c>
      <c r="AG60">
        <v>0</v>
      </c>
      <c r="AH60">
        <v>0</v>
      </c>
      <c r="AI60">
        <v>0</v>
      </c>
      <c r="AM60">
        <v>0</v>
      </c>
      <c r="AR60" t="s">
        <v>1679</v>
      </c>
      <c r="AS60" t="s">
        <v>1680</v>
      </c>
      <c r="AT60">
        <v>2024</v>
      </c>
      <c r="AU60">
        <v>7</v>
      </c>
      <c r="AV60" t="s">
        <v>78</v>
      </c>
      <c r="AX60" t="s">
        <v>1739</v>
      </c>
    </row>
    <row r="61" spans="1:50">
      <c r="A61">
        <v>60</v>
      </c>
      <c r="B61">
        <v>33</v>
      </c>
      <c r="C61" t="s">
        <v>74</v>
      </c>
      <c r="D61" t="s">
        <v>1222</v>
      </c>
      <c r="E61" t="s">
        <v>1223</v>
      </c>
      <c r="F61">
        <v>3164</v>
      </c>
      <c r="G61" s="23" t="s">
        <v>782</v>
      </c>
      <c r="H61" s="2" t="s">
        <v>1626</v>
      </c>
      <c r="I61" s="2"/>
      <c r="K61" s="149">
        <v>0</v>
      </c>
      <c r="L61" s="149">
        <v>14254000</v>
      </c>
      <c r="M61" s="149">
        <v>2708260</v>
      </c>
      <c r="N61" s="149">
        <v>16962260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77</v>
      </c>
      <c r="U61">
        <v>0</v>
      </c>
      <c r="V61">
        <v>0</v>
      </c>
      <c r="W61">
        <v>0</v>
      </c>
      <c r="X61">
        <v>0</v>
      </c>
      <c r="AC61">
        <v>0</v>
      </c>
      <c r="AE61">
        <v>0</v>
      </c>
      <c r="AF61">
        <v>2</v>
      </c>
      <c r="AG61">
        <v>0</v>
      </c>
      <c r="AH61">
        <v>0</v>
      </c>
      <c r="AI61">
        <v>0</v>
      </c>
      <c r="AM61">
        <v>0</v>
      </c>
      <c r="AR61" t="s">
        <v>1679</v>
      </c>
      <c r="AS61" t="s">
        <v>1680</v>
      </c>
      <c r="AT61">
        <v>2024</v>
      </c>
      <c r="AU61">
        <v>7</v>
      </c>
      <c r="AV61" t="s">
        <v>78</v>
      </c>
      <c r="AX61" t="s">
        <v>1740</v>
      </c>
    </row>
    <row r="62" spans="1:50">
      <c r="A62">
        <v>61</v>
      </c>
      <c r="B62">
        <v>33</v>
      </c>
      <c r="C62" t="s">
        <v>74</v>
      </c>
      <c r="D62" t="s">
        <v>1222</v>
      </c>
      <c r="E62" t="s">
        <v>1223</v>
      </c>
      <c r="F62">
        <v>3165</v>
      </c>
      <c r="G62" s="23" t="s">
        <v>782</v>
      </c>
      <c r="H62" s="2" t="s">
        <v>1627</v>
      </c>
      <c r="I62" s="2"/>
      <c r="K62" s="149">
        <v>0</v>
      </c>
      <c r="L62" s="149">
        <v>8343630</v>
      </c>
      <c r="M62" s="149">
        <v>1585290</v>
      </c>
      <c r="N62" s="149">
        <v>9928920</v>
      </c>
      <c r="O62">
        <v>0</v>
      </c>
      <c r="P62">
        <v>0</v>
      </c>
      <c r="Q62">
        <v>0</v>
      </c>
      <c r="R62">
        <v>0</v>
      </c>
      <c r="S62">
        <v>0</v>
      </c>
      <c r="T62" t="s">
        <v>77</v>
      </c>
      <c r="U62">
        <v>0</v>
      </c>
      <c r="V62">
        <v>0</v>
      </c>
      <c r="W62">
        <v>0</v>
      </c>
      <c r="X62">
        <v>0</v>
      </c>
      <c r="AC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M62">
        <v>0</v>
      </c>
      <c r="AR62" t="s">
        <v>1679</v>
      </c>
      <c r="AS62" t="s">
        <v>1680</v>
      </c>
      <c r="AT62">
        <v>2024</v>
      </c>
      <c r="AU62">
        <v>7</v>
      </c>
      <c r="AV62" t="s">
        <v>78</v>
      </c>
      <c r="AX62" t="s">
        <v>1741</v>
      </c>
    </row>
    <row r="63" spans="1:50">
      <c r="A63">
        <v>62</v>
      </c>
      <c r="B63">
        <v>33</v>
      </c>
      <c r="C63" t="s">
        <v>74</v>
      </c>
      <c r="D63" t="s">
        <v>1571</v>
      </c>
      <c r="E63" t="s">
        <v>1572</v>
      </c>
      <c r="F63">
        <v>3166</v>
      </c>
      <c r="G63" s="23" t="s">
        <v>781</v>
      </c>
      <c r="H63" s="2" t="s">
        <v>1628</v>
      </c>
      <c r="I63" s="2"/>
      <c r="J63" s="2" t="s">
        <v>1629</v>
      </c>
      <c r="K63" s="149">
        <v>0</v>
      </c>
      <c r="L63" s="149">
        <v>7135310</v>
      </c>
      <c r="M63" s="149">
        <v>1355709</v>
      </c>
      <c r="N63" s="149">
        <v>8491019</v>
      </c>
      <c r="O63">
        <v>0</v>
      </c>
      <c r="P63">
        <v>0</v>
      </c>
      <c r="Q63">
        <v>0</v>
      </c>
      <c r="R63">
        <v>0</v>
      </c>
      <c r="S63">
        <v>0</v>
      </c>
      <c r="T63" t="s">
        <v>77</v>
      </c>
      <c r="U63">
        <v>0</v>
      </c>
      <c r="V63">
        <v>0</v>
      </c>
      <c r="W63">
        <v>0</v>
      </c>
      <c r="X63">
        <v>0</v>
      </c>
      <c r="AC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M63">
        <v>0</v>
      </c>
      <c r="AR63" t="s">
        <v>1679</v>
      </c>
      <c r="AS63" t="s">
        <v>1680</v>
      </c>
      <c r="AT63">
        <v>2024</v>
      </c>
      <c r="AU63">
        <v>7</v>
      </c>
      <c r="AV63" t="s">
        <v>78</v>
      </c>
      <c r="AX63" t="s">
        <v>1742</v>
      </c>
    </row>
    <row r="64" spans="1:50">
      <c r="A64">
        <v>63</v>
      </c>
      <c r="B64">
        <v>33</v>
      </c>
      <c r="C64" t="s">
        <v>74</v>
      </c>
      <c r="D64" t="s">
        <v>1571</v>
      </c>
      <c r="E64" t="s">
        <v>1572</v>
      </c>
      <c r="F64">
        <v>3167</v>
      </c>
      <c r="G64" s="23" t="s">
        <v>781</v>
      </c>
      <c r="H64" s="2" t="s">
        <v>1630</v>
      </c>
      <c r="J64" s="2" t="s">
        <v>1629</v>
      </c>
      <c r="K64" s="149">
        <v>0</v>
      </c>
      <c r="L64" s="149">
        <v>897600</v>
      </c>
      <c r="M64" s="149">
        <v>170544</v>
      </c>
      <c r="N64" s="149">
        <v>1068144</v>
      </c>
      <c r="O64">
        <v>0</v>
      </c>
      <c r="P64">
        <v>0</v>
      </c>
      <c r="Q64">
        <v>0</v>
      </c>
      <c r="R64">
        <v>0</v>
      </c>
      <c r="S64">
        <v>0</v>
      </c>
      <c r="T64" t="s">
        <v>77</v>
      </c>
      <c r="U64">
        <v>0</v>
      </c>
      <c r="V64">
        <v>0</v>
      </c>
      <c r="W64">
        <v>0</v>
      </c>
      <c r="X64">
        <v>0</v>
      </c>
      <c r="AC64">
        <v>0</v>
      </c>
      <c r="AE64">
        <v>0</v>
      </c>
      <c r="AF64">
        <v>2</v>
      </c>
      <c r="AG64">
        <v>0</v>
      </c>
      <c r="AH64">
        <v>0</v>
      </c>
      <c r="AI64">
        <v>0</v>
      </c>
      <c r="AM64">
        <v>0</v>
      </c>
      <c r="AR64" t="s">
        <v>1679</v>
      </c>
      <c r="AS64" t="s">
        <v>1680</v>
      </c>
      <c r="AT64">
        <v>2024</v>
      </c>
      <c r="AU64">
        <v>7</v>
      </c>
      <c r="AV64" t="s">
        <v>78</v>
      </c>
      <c r="AX64" t="s">
        <v>1743</v>
      </c>
    </row>
    <row r="65" spans="1:50">
      <c r="A65">
        <v>64</v>
      </c>
      <c r="B65">
        <v>33</v>
      </c>
      <c r="C65" t="s">
        <v>74</v>
      </c>
      <c r="D65" t="s">
        <v>1631</v>
      </c>
      <c r="E65" t="s">
        <v>1632</v>
      </c>
      <c r="F65">
        <v>3168</v>
      </c>
      <c r="G65" s="23" t="s">
        <v>781</v>
      </c>
      <c r="H65" s="2" t="s">
        <v>1633</v>
      </c>
      <c r="I65" s="2"/>
      <c r="K65" s="149">
        <v>0</v>
      </c>
      <c r="L65" s="149">
        <v>237070</v>
      </c>
      <c r="M65" s="149">
        <v>45044</v>
      </c>
      <c r="N65" s="149">
        <v>282114</v>
      </c>
      <c r="O65">
        <v>0</v>
      </c>
      <c r="P65">
        <v>0</v>
      </c>
      <c r="Q65">
        <v>0</v>
      </c>
      <c r="R65">
        <v>0</v>
      </c>
      <c r="S65">
        <v>0</v>
      </c>
      <c r="T65" t="s">
        <v>77</v>
      </c>
      <c r="U65">
        <v>0</v>
      </c>
      <c r="V65">
        <v>0</v>
      </c>
      <c r="W65">
        <v>0</v>
      </c>
      <c r="X65">
        <v>0</v>
      </c>
      <c r="Y65">
        <v>0</v>
      </c>
      <c r="AC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M65">
        <v>0</v>
      </c>
      <c r="AR65" t="s">
        <v>1679</v>
      </c>
      <c r="AS65" t="s">
        <v>1680</v>
      </c>
      <c r="AT65">
        <v>2024</v>
      </c>
      <c r="AU65">
        <v>7</v>
      </c>
      <c r="AV65" t="s">
        <v>78</v>
      </c>
      <c r="AX65" t="s">
        <v>1744</v>
      </c>
    </row>
    <row r="66" spans="1:50">
      <c r="A66">
        <v>65</v>
      </c>
      <c r="B66">
        <v>33</v>
      </c>
      <c r="C66" t="s">
        <v>74</v>
      </c>
      <c r="D66" t="s">
        <v>1573</v>
      </c>
      <c r="E66" t="s">
        <v>1574</v>
      </c>
      <c r="F66">
        <v>3169</v>
      </c>
      <c r="G66" s="23" t="s">
        <v>781</v>
      </c>
      <c r="H66" s="2" t="s">
        <v>1634</v>
      </c>
      <c r="J66" s="2"/>
      <c r="K66" s="149">
        <v>0</v>
      </c>
      <c r="L66" s="149">
        <v>275818</v>
      </c>
      <c r="M66" s="149">
        <v>52405</v>
      </c>
      <c r="N66" s="149">
        <v>328223</v>
      </c>
      <c r="O66">
        <v>0</v>
      </c>
      <c r="P66">
        <v>0</v>
      </c>
      <c r="Q66">
        <v>0</v>
      </c>
      <c r="R66">
        <v>0</v>
      </c>
      <c r="S66">
        <v>0</v>
      </c>
      <c r="T66" t="s">
        <v>77</v>
      </c>
      <c r="U66">
        <v>0</v>
      </c>
      <c r="V66">
        <v>0</v>
      </c>
      <c r="W66">
        <v>0</v>
      </c>
      <c r="X66">
        <v>0</v>
      </c>
      <c r="Y66">
        <v>0</v>
      </c>
      <c r="AC66">
        <v>0</v>
      </c>
      <c r="AE66">
        <v>0</v>
      </c>
      <c r="AF66">
        <v>2</v>
      </c>
      <c r="AG66">
        <v>0</v>
      </c>
      <c r="AH66">
        <v>0</v>
      </c>
      <c r="AI66">
        <v>0</v>
      </c>
      <c r="AM66">
        <v>0</v>
      </c>
      <c r="AR66" t="s">
        <v>1679</v>
      </c>
      <c r="AS66" t="s">
        <v>1680</v>
      </c>
      <c r="AT66">
        <v>2024</v>
      </c>
      <c r="AU66">
        <v>7</v>
      </c>
      <c r="AV66" t="s">
        <v>78</v>
      </c>
      <c r="AX66" t="s">
        <v>1745</v>
      </c>
    </row>
    <row r="67" spans="1:50">
      <c r="A67">
        <v>66</v>
      </c>
      <c r="B67">
        <v>33</v>
      </c>
      <c r="C67" t="s">
        <v>74</v>
      </c>
      <c r="D67" t="s">
        <v>1567</v>
      </c>
      <c r="E67" t="s">
        <v>1568</v>
      </c>
      <c r="F67">
        <v>3170</v>
      </c>
      <c r="G67" s="23" t="s">
        <v>781</v>
      </c>
      <c r="H67" s="2" t="s">
        <v>1635</v>
      </c>
      <c r="I67" s="2" t="s">
        <v>1636</v>
      </c>
      <c r="J67" s="2"/>
      <c r="K67" s="149">
        <v>0</v>
      </c>
      <c r="L67" s="149">
        <v>688245</v>
      </c>
      <c r="M67" s="149">
        <v>130767</v>
      </c>
      <c r="N67" s="149">
        <v>819012</v>
      </c>
      <c r="O67">
        <v>0</v>
      </c>
      <c r="P67">
        <v>0</v>
      </c>
      <c r="Q67">
        <v>0</v>
      </c>
      <c r="R67">
        <v>0</v>
      </c>
      <c r="S67">
        <v>0</v>
      </c>
      <c r="T67" t="s">
        <v>77</v>
      </c>
      <c r="U67">
        <v>0</v>
      </c>
      <c r="V67">
        <v>0</v>
      </c>
      <c r="W67">
        <v>0</v>
      </c>
      <c r="X67">
        <v>0</v>
      </c>
      <c r="Y67">
        <v>0</v>
      </c>
      <c r="AC67">
        <v>0</v>
      </c>
      <c r="AE67">
        <v>0</v>
      </c>
      <c r="AF67">
        <v>2</v>
      </c>
      <c r="AG67">
        <v>0</v>
      </c>
      <c r="AH67">
        <v>0</v>
      </c>
      <c r="AI67">
        <v>0</v>
      </c>
      <c r="AM67">
        <v>0</v>
      </c>
      <c r="AR67" t="s">
        <v>1679</v>
      </c>
      <c r="AS67" t="s">
        <v>1680</v>
      </c>
      <c r="AT67">
        <v>2024</v>
      </c>
      <c r="AU67">
        <v>7</v>
      </c>
      <c r="AV67" t="s">
        <v>78</v>
      </c>
      <c r="AX67" t="s">
        <v>1746</v>
      </c>
    </row>
    <row r="68" spans="1:50">
      <c r="A68">
        <v>67</v>
      </c>
      <c r="B68">
        <v>33</v>
      </c>
      <c r="C68" t="s">
        <v>74</v>
      </c>
      <c r="D68" t="s">
        <v>1581</v>
      </c>
      <c r="E68" t="s">
        <v>1582</v>
      </c>
      <c r="F68">
        <v>3171</v>
      </c>
      <c r="G68" s="23" t="s">
        <v>782</v>
      </c>
      <c r="H68" s="2" t="s">
        <v>1637</v>
      </c>
      <c r="I68" s="2" t="s">
        <v>1638</v>
      </c>
      <c r="K68" s="149">
        <v>0</v>
      </c>
      <c r="L68" s="149">
        <v>1842965</v>
      </c>
      <c r="M68" s="149">
        <v>350163</v>
      </c>
      <c r="N68" s="149">
        <v>2193128</v>
      </c>
      <c r="O68">
        <v>0</v>
      </c>
      <c r="P68">
        <v>0</v>
      </c>
      <c r="Q68">
        <v>0</v>
      </c>
      <c r="R68">
        <v>0</v>
      </c>
      <c r="S68">
        <v>0</v>
      </c>
      <c r="T68" t="s">
        <v>77</v>
      </c>
      <c r="U68">
        <v>0</v>
      </c>
      <c r="V68">
        <v>0</v>
      </c>
      <c r="W68">
        <v>0</v>
      </c>
      <c r="X68">
        <v>0</v>
      </c>
      <c r="Y68">
        <v>0</v>
      </c>
      <c r="AC68">
        <v>0</v>
      </c>
      <c r="AE68">
        <v>0</v>
      </c>
      <c r="AF68">
        <v>2</v>
      </c>
      <c r="AG68">
        <v>0</v>
      </c>
      <c r="AH68">
        <v>0</v>
      </c>
      <c r="AI68">
        <v>0</v>
      </c>
      <c r="AM68">
        <v>0</v>
      </c>
      <c r="AR68" t="s">
        <v>1679</v>
      </c>
      <c r="AS68" t="s">
        <v>1680</v>
      </c>
      <c r="AT68">
        <v>2024</v>
      </c>
      <c r="AU68">
        <v>7</v>
      </c>
      <c r="AV68" t="s">
        <v>78</v>
      </c>
      <c r="AX68" t="s">
        <v>1747</v>
      </c>
    </row>
    <row r="69" spans="1:50">
      <c r="A69">
        <v>68</v>
      </c>
      <c r="B69">
        <v>33</v>
      </c>
      <c r="C69" t="s">
        <v>74</v>
      </c>
      <c r="D69" t="s">
        <v>1571</v>
      </c>
      <c r="E69" t="s">
        <v>1572</v>
      </c>
      <c r="F69">
        <v>3172</v>
      </c>
      <c r="G69" s="23" t="s">
        <v>782</v>
      </c>
      <c r="H69" s="2" t="s">
        <v>1639</v>
      </c>
      <c r="I69" s="2"/>
      <c r="J69" t="s">
        <v>1640</v>
      </c>
      <c r="K69" s="149">
        <v>0</v>
      </c>
      <c r="L69" s="149">
        <v>7135310</v>
      </c>
      <c r="M69" s="149">
        <v>1355709</v>
      </c>
      <c r="N69" s="149">
        <v>8491019</v>
      </c>
      <c r="O69">
        <v>0</v>
      </c>
      <c r="P69">
        <v>0</v>
      </c>
      <c r="Q69">
        <v>0</v>
      </c>
      <c r="R69">
        <v>0</v>
      </c>
      <c r="S69">
        <v>0</v>
      </c>
      <c r="T69" t="s">
        <v>77</v>
      </c>
      <c r="U69">
        <v>0</v>
      </c>
      <c r="V69">
        <v>0</v>
      </c>
      <c r="W69">
        <v>0</v>
      </c>
      <c r="X69">
        <v>0</v>
      </c>
      <c r="AC69">
        <v>0</v>
      </c>
      <c r="AE69">
        <v>0</v>
      </c>
      <c r="AF69">
        <v>2</v>
      </c>
      <c r="AG69">
        <v>0</v>
      </c>
      <c r="AH69">
        <v>0</v>
      </c>
      <c r="AI69">
        <v>0</v>
      </c>
      <c r="AM69">
        <v>0</v>
      </c>
      <c r="AR69" t="s">
        <v>1679</v>
      </c>
      <c r="AS69" t="s">
        <v>1680</v>
      </c>
      <c r="AT69">
        <v>2024</v>
      </c>
      <c r="AU69">
        <v>7</v>
      </c>
      <c r="AV69" t="s">
        <v>78</v>
      </c>
      <c r="AX69" t="s">
        <v>1748</v>
      </c>
    </row>
    <row r="70" spans="1:50">
      <c r="A70">
        <v>69</v>
      </c>
      <c r="B70">
        <v>33</v>
      </c>
      <c r="C70" t="s">
        <v>74</v>
      </c>
      <c r="D70" t="s">
        <v>1571</v>
      </c>
      <c r="E70" t="s">
        <v>1572</v>
      </c>
      <c r="F70">
        <v>3173</v>
      </c>
      <c r="G70" s="23" t="s">
        <v>782</v>
      </c>
      <c r="H70" s="2" t="s">
        <v>1641</v>
      </c>
      <c r="I70" s="2" t="s">
        <v>1642</v>
      </c>
      <c r="J70" s="2"/>
      <c r="K70" s="149">
        <v>0</v>
      </c>
      <c r="L70" s="149">
        <v>897600</v>
      </c>
      <c r="M70" s="149">
        <v>170544</v>
      </c>
      <c r="N70" s="149">
        <v>1068144</v>
      </c>
      <c r="O70">
        <v>0</v>
      </c>
      <c r="P70">
        <v>0</v>
      </c>
      <c r="Q70">
        <v>0</v>
      </c>
      <c r="R70">
        <v>0</v>
      </c>
      <c r="S70">
        <v>0</v>
      </c>
      <c r="T70" t="s">
        <v>77</v>
      </c>
      <c r="U70">
        <v>0</v>
      </c>
      <c r="V70">
        <v>0</v>
      </c>
      <c r="W70">
        <v>0</v>
      </c>
      <c r="X70">
        <v>0</v>
      </c>
      <c r="AC70">
        <v>0</v>
      </c>
      <c r="AE70">
        <v>0</v>
      </c>
      <c r="AF70">
        <v>2</v>
      </c>
      <c r="AG70">
        <v>0</v>
      </c>
      <c r="AH70">
        <v>0</v>
      </c>
      <c r="AI70">
        <v>0</v>
      </c>
      <c r="AM70">
        <v>0</v>
      </c>
      <c r="AR70" t="s">
        <v>1679</v>
      </c>
      <c r="AS70" t="s">
        <v>1680</v>
      </c>
      <c r="AT70">
        <v>2024</v>
      </c>
      <c r="AU70">
        <v>7</v>
      </c>
      <c r="AV70" t="s">
        <v>78</v>
      </c>
      <c r="AX70" t="s">
        <v>1749</v>
      </c>
    </row>
    <row r="71" spans="1:50">
      <c r="A71">
        <v>70</v>
      </c>
      <c r="B71">
        <v>33</v>
      </c>
      <c r="C71" t="s">
        <v>74</v>
      </c>
      <c r="D71" t="s">
        <v>1581</v>
      </c>
      <c r="E71" t="s">
        <v>1582</v>
      </c>
      <c r="F71">
        <v>3174</v>
      </c>
      <c r="G71" s="23" t="s">
        <v>783</v>
      </c>
      <c r="H71" s="2" t="s">
        <v>1643</v>
      </c>
      <c r="I71" s="2" t="s">
        <v>1638</v>
      </c>
      <c r="J71" s="2"/>
      <c r="K71" s="149">
        <v>0</v>
      </c>
      <c r="L71" s="149">
        <v>456850</v>
      </c>
      <c r="M71" s="149">
        <v>86802</v>
      </c>
      <c r="N71" s="149">
        <v>543652</v>
      </c>
      <c r="O71">
        <v>0</v>
      </c>
      <c r="P71">
        <v>0</v>
      </c>
      <c r="Q71">
        <v>0</v>
      </c>
      <c r="R71">
        <v>0</v>
      </c>
      <c r="S71">
        <v>0</v>
      </c>
      <c r="T71" t="s">
        <v>77</v>
      </c>
      <c r="U71">
        <v>0</v>
      </c>
      <c r="V71">
        <v>0</v>
      </c>
      <c r="W71">
        <v>0</v>
      </c>
      <c r="X71">
        <v>0</v>
      </c>
      <c r="Y71">
        <v>0</v>
      </c>
      <c r="AC71">
        <v>0</v>
      </c>
      <c r="AE71">
        <v>0</v>
      </c>
      <c r="AF71">
        <v>2</v>
      </c>
      <c r="AG71">
        <v>0</v>
      </c>
      <c r="AH71">
        <v>0</v>
      </c>
      <c r="AI71">
        <v>0</v>
      </c>
      <c r="AM71">
        <v>0</v>
      </c>
      <c r="AR71" t="s">
        <v>1679</v>
      </c>
      <c r="AS71" t="s">
        <v>1680</v>
      </c>
      <c r="AT71">
        <v>2024</v>
      </c>
      <c r="AU71">
        <v>7</v>
      </c>
      <c r="AV71" t="s">
        <v>78</v>
      </c>
      <c r="AX71" t="s">
        <v>1750</v>
      </c>
    </row>
    <row r="72" spans="1:50">
      <c r="A72">
        <v>71</v>
      </c>
      <c r="B72">
        <v>33</v>
      </c>
      <c r="C72" t="s">
        <v>74</v>
      </c>
      <c r="D72" t="s">
        <v>1600</v>
      </c>
      <c r="E72" t="s">
        <v>1601</v>
      </c>
      <c r="F72">
        <v>3175</v>
      </c>
      <c r="G72" s="23" t="s">
        <v>783</v>
      </c>
      <c r="H72" s="2" t="s">
        <v>1644</v>
      </c>
      <c r="K72" s="149">
        <v>0</v>
      </c>
      <c r="L72" s="149">
        <v>335356</v>
      </c>
      <c r="M72" s="149">
        <v>63721</v>
      </c>
      <c r="N72" s="149">
        <v>399077</v>
      </c>
      <c r="O72">
        <v>0</v>
      </c>
      <c r="P72">
        <v>0</v>
      </c>
      <c r="Q72">
        <v>0</v>
      </c>
      <c r="R72">
        <v>0</v>
      </c>
      <c r="S72">
        <v>0</v>
      </c>
      <c r="T72" t="s">
        <v>77</v>
      </c>
      <c r="U72">
        <v>0</v>
      </c>
      <c r="V72">
        <v>0</v>
      </c>
      <c r="W72">
        <v>0</v>
      </c>
      <c r="X72">
        <v>0</v>
      </c>
      <c r="Y72">
        <v>0</v>
      </c>
      <c r="AC72">
        <v>0</v>
      </c>
      <c r="AE72">
        <v>0</v>
      </c>
      <c r="AF72">
        <v>2</v>
      </c>
      <c r="AG72">
        <v>0</v>
      </c>
      <c r="AH72">
        <v>0</v>
      </c>
      <c r="AI72">
        <v>0</v>
      </c>
      <c r="AM72">
        <v>0</v>
      </c>
      <c r="AR72" t="s">
        <v>1679</v>
      </c>
      <c r="AS72" t="s">
        <v>1680</v>
      </c>
      <c r="AT72">
        <v>2024</v>
      </c>
      <c r="AU72">
        <v>7</v>
      </c>
      <c r="AV72" t="s">
        <v>78</v>
      </c>
      <c r="AX72" t="s">
        <v>1751</v>
      </c>
    </row>
    <row r="73" spans="1:50">
      <c r="A73">
        <v>72</v>
      </c>
      <c r="B73">
        <v>33</v>
      </c>
      <c r="C73" t="s">
        <v>74</v>
      </c>
      <c r="D73" t="s">
        <v>1353</v>
      </c>
      <c r="E73" t="s">
        <v>1354</v>
      </c>
      <c r="F73">
        <v>3176</v>
      </c>
      <c r="G73" s="23" t="s">
        <v>784</v>
      </c>
      <c r="H73" s="2" t="s">
        <v>1645</v>
      </c>
      <c r="I73" s="2" t="s">
        <v>1646</v>
      </c>
      <c r="K73" s="149">
        <v>0</v>
      </c>
      <c r="L73" s="149">
        <v>3062837</v>
      </c>
      <c r="M73" s="149">
        <v>581939</v>
      </c>
      <c r="N73" s="149">
        <v>3644776</v>
      </c>
      <c r="O73">
        <v>0</v>
      </c>
      <c r="P73">
        <v>0</v>
      </c>
      <c r="Q73">
        <v>0</v>
      </c>
      <c r="R73">
        <v>0</v>
      </c>
      <c r="S73">
        <v>0</v>
      </c>
      <c r="T73" t="s">
        <v>77</v>
      </c>
      <c r="U73">
        <v>0</v>
      </c>
      <c r="V73">
        <v>0</v>
      </c>
      <c r="W73">
        <v>0</v>
      </c>
      <c r="X73">
        <v>0</v>
      </c>
      <c r="Y73">
        <v>0</v>
      </c>
      <c r="AC73">
        <v>0</v>
      </c>
      <c r="AE73">
        <v>0</v>
      </c>
      <c r="AF73">
        <v>2</v>
      </c>
      <c r="AG73">
        <v>0</v>
      </c>
      <c r="AH73">
        <v>0</v>
      </c>
      <c r="AI73">
        <v>0</v>
      </c>
      <c r="AM73">
        <v>0</v>
      </c>
      <c r="AR73" t="s">
        <v>1679</v>
      </c>
      <c r="AS73" t="s">
        <v>1680</v>
      </c>
      <c r="AT73">
        <v>2024</v>
      </c>
      <c r="AU73">
        <v>7</v>
      </c>
      <c r="AV73" t="s">
        <v>78</v>
      </c>
      <c r="AX73" t="s">
        <v>1752</v>
      </c>
    </row>
    <row r="74" spans="1:50">
      <c r="A74">
        <v>73</v>
      </c>
      <c r="B74">
        <v>33</v>
      </c>
      <c r="C74" t="s">
        <v>74</v>
      </c>
      <c r="D74" t="s">
        <v>1583</v>
      </c>
      <c r="E74" t="s">
        <v>1584</v>
      </c>
      <c r="F74">
        <v>3177</v>
      </c>
      <c r="G74" s="23" t="s">
        <v>784</v>
      </c>
      <c r="H74" s="2" t="s">
        <v>1647</v>
      </c>
      <c r="I74" s="2"/>
      <c r="K74" s="149">
        <v>0</v>
      </c>
      <c r="L74" s="149">
        <v>262910</v>
      </c>
      <c r="M74" s="149">
        <v>49953</v>
      </c>
      <c r="N74" s="149">
        <v>312863</v>
      </c>
      <c r="O74">
        <v>0</v>
      </c>
      <c r="P74">
        <v>0</v>
      </c>
      <c r="Q74">
        <v>0</v>
      </c>
      <c r="R74">
        <v>0</v>
      </c>
      <c r="S74">
        <v>0</v>
      </c>
      <c r="T74" t="s">
        <v>77</v>
      </c>
      <c r="U74">
        <v>0</v>
      </c>
      <c r="V74">
        <v>0</v>
      </c>
      <c r="W74">
        <v>0</v>
      </c>
      <c r="X74">
        <v>0</v>
      </c>
      <c r="Y74">
        <v>0</v>
      </c>
      <c r="AC74">
        <v>0</v>
      </c>
      <c r="AE74">
        <v>0</v>
      </c>
      <c r="AF74">
        <v>2</v>
      </c>
      <c r="AG74">
        <v>0</v>
      </c>
      <c r="AH74">
        <v>0</v>
      </c>
      <c r="AI74">
        <v>0</v>
      </c>
      <c r="AM74">
        <v>0</v>
      </c>
      <c r="AR74" t="s">
        <v>1679</v>
      </c>
      <c r="AS74" t="s">
        <v>1680</v>
      </c>
      <c r="AT74">
        <v>2024</v>
      </c>
      <c r="AU74">
        <v>7</v>
      </c>
      <c r="AV74" t="s">
        <v>78</v>
      </c>
      <c r="AX74" t="s">
        <v>1753</v>
      </c>
    </row>
    <row r="75" spans="1:50">
      <c r="A75">
        <v>74</v>
      </c>
      <c r="B75">
        <v>33</v>
      </c>
      <c r="C75" t="s">
        <v>74</v>
      </c>
      <c r="D75" t="s">
        <v>1561</v>
      </c>
      <c r="E75" t="s">
        <v>1562</v>
      </c>
      <c r="F75">
        <v>3178</v>
      </c>
      <c r="G75" s="23" t="s">
        <v>784</v>
      </c>
      <c r="H75" s="2" t="s">
        <v>1648</v>
      </c>
      <c r="I75" s="2" t="s">
        <v>1649</v>
      </c>
      <c r="K75" s="149">
        <v>0</v>
      </c>
      <c r="L75" s="149">
        <v>9393000</v>
      </c>
      <c r="M75" s="149">
        <v>1784670</v>
      </c>
      <c r="N75" s="149">
        <v>11177670</v>
      </c>
      <c r="O75">
        <v>0</v>
      </c>
      <c r="P75">
        <v>0</v>
      </c>
      <c r="Q75">
        <v>0</v>
      </c>
      <c r="R75">
        <v>0</v>
      </c>
      <c r="S75">
        <v>0</v>
      </c>
      <c r="T75" t="s">
        <v>77</v>
      </c>
      <c r="U75">
        <v>0</v>
      </c>
      <c r="V75">
        <v>0</v>
      </c>
      <c r="W75">
        <v>0</v>
      </c>
      <c r="X75">
        <v>0</v>
      </c>
      <c r="Y75">
        <v>0</v>
      </c>
      <c r="AC75">
        <v>0</v>
      </c>
      <c r="AE75">
        <v>0</v>
      </c>
      <c r="AF75">
        <v>2</v>
      </c>
      <c r="AG75">
        <v>0</v>
      </c>
      <c r="AH75">
        <v>0</v>
      </c>
      <c r="AI75">
        <v>0</v>
      </c>
      <c r="AM75">
        <v>0</v>
      </c>
      <c r="AR75" t="s">
        <v>1679</v>
      </c>
      <c r="AS75" t="s">
        <v>1680</v>
      </c>
      <c r="AT75">
        <v>2024</v>
      </c>
      <c r="AU75">
        <v>7</v>
      </c>
      <c r="AV75" t="s">
        <v>78</v>
      </c>
      <c r="AX75" t="s">
        <v>1754</v>
      </c>
    </row>
    <row r="76" spans="1:50">
      <c r="A76">
        <v>75</v>
      </c>
      <c r="B76">
        <v>33</v>
      </c>
      <c r="C76" t="s">
        <v>74</v>
      </c>
      <c r="D76" t="s">
        <v>1600</v>
      </c>
      <c r="E76" t="s">
        <v>1601</v>
      </c>
      <c r="F76">
        <v>3179</v>
      </c>
      <c r="G76" s="23" t="s">
        <v>783</v>
      </c>
      <c r="H76" s="2" t="s">
        <v>1650</v>
      </c>
      <c r="I76" s="2"/>
      <c r="K76" s="149">
        <v>0</v>
      </c>
      <c r="L76" s="149">
        <v>150038</v>
      </c>
      <c r="M76" s="149">
        <v>28505</v>
      </c>
      <c r="N76" s="149">
        <v>178543</v>
      </c>
      <c r="O76">
        <v>0</v>
      </c>
      <c r="P76">
        <v>0</v>
      </c>
      <c r="Q76">
        <v>0</v>
      </c>
      <c r="R76">
        <v>0</v>
      </c>
      <c r="S76">
        <v>0</v>
      </c>
      <c r="T76" t="s">
        <v>77</v>
      </c>
      <c r="U76">
        <v>0</v>
      </c>
      <c r="V76">
        <v>0</v>
      </c>
      <c r="W76">
        <v>0</v>
      </c>
      <c r="X76">
        <v>0</v>
      </c>
      <c r="Y76">
        <v>0</v>
      </c>
      <c r="AC76">
        <v>0</v>
      </c>
      <c r="AE76">
        <v>0</v>
      </c>
      <c r="AF76">
        <v>2</v>
      </c>
      <c r="AG76">
        <v>0</v>
      </c>
      <c r="AH76">
        <v>0</v>
      </c>
      <c r="AI76">
        <v>0</v>
      </c>
      <c r="AM76">
        <v>0</v>
      </c>
      <c r="AR76" t="s">
        <v>1679</v>
      </c>
      <c r="AS76" t="s">
        <v>1680</v>
      </c>
      <c r="AT76">
        <v>2024</v>
      </c>
      <c r="AU76">
        <v>7</v>
      </c>
      <c r="AV76" t="s">
        <v>78</v>
      </c>
      <c r="AX76" t="s">
        <v>1755</v>
      </c>
    </row>
    <row r="77" spans="1:50">
      <c r="A77">
        <v>76</v>
      </c>
      <c r="B77">
        <v>33</v>
      </c>
      <c r="C77" t="s">
        <v>74</v>
      </c>
      <c r="D77" t="s">
        <v>1579</v>
      </c>
      <c r="E77" t="s">
        <v>1580</v>
      </c>
      <c r="F77">
        <v>3180</v>
      </c>
      <c r="G77" s="23" t="s">
        <v>785</v>
      </c>
      <c r="H77" s="2" t="s">
        <v>1651</v>
      </c>
      <c r="I77" s="2" t="s">
        <v>1652</v>
      </c>
      <c r="K77" s="149">
        <v>0</v>
      </c>
      <c r="L77" s="149">
        <v>17198400</v>
      </c>
      <c r="M77" s="149">
        <v>3267696</v>
      </c>
      <c r="N77" s="149">
        <v>20466096</v>
      </c>
      <c r="O77">
        <v>0</v>
      </c>
      <c r="P77">
        <v>0</v>
      </c>
      <c r="Q77">
        <v>0</v>
      </c>
      <c r="R77">
        <v>0</v>
      </c>
      <c r="S77">
        <v>0</v>
      </c>
      <c r="T77" t="s">
        <v>77</v>
      </c>
      <c r="U77">
        <v>0</v>
      </c>
      <c r="V77">
        <v>0</v>
      </c>
      <c r="W77">
        <v>0</v>
      </c>
      <c r="X77">
        <v>0</v>
      </c>
      <c r="Y77">
        <v>0</v>
      </c>
      <c r="AC77">
        <v>0</v>
      </c>
      <c r="AE77">
        <v>0</v>
      </c>
      <c r="AF77">
        <v>2</v>
      </c>
      <c r="AG77">
        <v>0</v>
      </c>
      <c r="AH77">
        <v>0</v>
      </c>
      <c r="AI77">
        <v>0</v>
      </c>
      <c r="AM77">
        <v>0</v>
      </c>
      <c r="AR77" t="s">
        <v>1679</v>
      </c>
      <c r="AS77" t="s">
        <v>1680</v>
      </c>
      <c r="AT77">
        <v>2024</v>
      </c>
      <c r="AU77">
        <v>7</v>
      </c>
      <c r="AV77" t="s">
        <v>78</v>
      </c>
      <c r="AX77" t="s">
        <v>1756</v>
      </c>
    </row>
    <row r="78" spans="1:50">
      <c r="A78">
        <v>77</v>
      </c>
      <c r="B78">
        <v>33</v>
      </c>
      <c r="C78" t="s">
        <v>74</v>
      </c>
      <c r="D78" t="s">
        <v>1653</v>
      </c>
      <c r="E78" t="s">
        <v>1654</v>
      </c>
      <c r="F78">
        <v>3181</v>
      </c>
      <c r="G78" s="23" t="s">
        <v>1256</v>
      </c>
      <c r="H78" s="2" t="s">
        <v>1655</v>
      </c>
      <c r="I78" s="2" t="s">
        <v>1656</v>
      </c>
      <c r="K78" s="149">
        <v>0</v>
      </c>
      <c r="L78" s="149">
        <v>368330</v>
      </c>
      <c r="M78" s="149">
        <v>69984</v>
      </c>
      <c r="N78" s="149">
        <v>438314</v>
      </c>
      <c r="O78">
        <v>0</v>
      </c>
      <c r="P78">
        <v>0</v>
      </c>
      <c r="Q78">
        <v>0</v>
      </c>
      <c r="R78">
        <v>0</v>
      </c>
      <c r="S78">
        <v>0</v>
      </c>
      <c r="T78" t="s">
        <v>77</v>
      </c>
      <c r="U78">
        <v>0</v>
      </c>
      <c r="V78">
        <v>0</v>
      </c>
      <c r="W78">
        <v>0</v>
      </c>
      <c r="X78">
        <v>0</v>
      </c>
      <c r="Y78">
        <v>0</v>
      </c>
      <c r="AC78">
        <v>0</v>
      </c>
      <c r="AE78">
        <v>0</v>
      </c>
      <c r="AF78">
        <v>2</v>
      </c>
      <c r="AG78">
        <v>0</v>
      </c>
      <c r="AH78">
        <v>0</v>
      </c>
      <c r="AI78">
        <v>0</v>
      </c>
      <c r="AM78">
        <v>0</v>
      </c>
      <c r="AR78" t="s">
        <v>1679</v>
      </c>
      <c r="AS78" t="s">
        <v>1680</v>
      </c>
      <c r="AT78">
        <v>2024</v>
      </c>
      <c r="AU78">
        <v>7</v>
      </c>
      <c r="AV78" t="s">
        <v>78</v>
      </c>
      <c r="AX78" t="s">
        <v>1757</v>
      </c>
    </row>
    <row r="79" spans="1:50">
      <c r="A79">
        <v>78</v>
      </c>
      <c r="B79">
        <v>33</v>
      </c>
      <c r="C79" t="s">
        <v>74</v>
      </c>
      <c r="D79" t="s">
        <v>1555</v>
      </c>
      <c r="E79" t="s">
        <v>1556</v>
      </c>
      <c r="F79">
        <v>3182</v>
      </c>
      <c r="G79" s="23" t="s">
        <v>786</v>
      </c>
      <c r="H79" s="2" t="s">
        <v>1657</v>
      </c>
      <c r="I79" s="2" t="s">
        <v>1658</v>
      </c>
      <c r="K79" s="149">
        <v>0</v>
      </c>
      <c r="L79" s="149">
        <v>3222600</v>
      </c>
      <c r="M79" s="149">
        <v>612294</v>
      </c>
      <c r="N79" s="149">
        <v>3834894</v>
      </c>
      <c r="O79">
        <v>0</v>
      </c>
      <c r="P79">
        <v>0</v>
      </c>
      <c r="Q79">
        <v>0</v>
      </c>
      <c r="R79">
        <v>0</v>
      </c>
      <c r="S79">
        <v>0</v>
      </c>
      <c r="T79" t="s">
        <v>77</v>
      </c>
      <c r="U79">
        <v>0</v>
      </c>
      <c r="V79">
        <v>0</v>
      </c>
      <c r="W79">
        <v>0</v>
      </c>
      <c r="X79">
        <v>0</v>
      </c>
      <c r="AC79">
        <v>0</v>
      </c>
      <c r="AE79">
        <v>0</v>
      </c>
      <c r="AF79">
        <v>2</v>
      </c>
      <c r="AG79">
        <v>0</v>
      </c>
      <c r="AH79">
        <v>0</v>
      </c>
      <c r="AI79">
        <v>0</v>
      </c>
      <c r="AM79">
        <v>0</v>
      </c>
      <c r="AR79" t="s">
        <v>1679</v>
      </c>
      <c r="AS79" t="s">
        <v>1680</v>
      </c>
      <c r="AT79">
        <v>2024</v>
      </c>
      <c r="AU79">
        <v>7</v>
      </c>
      <c r="AV79" t="s">
        <v>78</v>
      </c>
      <c r="AX79" t="s">
        <v>1758</v>
      </c>
    </row>
    <row r="80" spans="1:50">
      <c r="A80">
        <v>79</v>
      </c>
      <c r="B80">
        <v>33</v>
      </c>
      <c r="C80" t="s">
        <v>74</v>
      </c>
      <c r="D80" t="s">
        <v>1353</v>
      </c>
      <c r="E80" t="s">
        <v>1354</v>
      </c>
      <c r="F80">
        <v>3183</v>
      </c>
      <c r="G80" s="23" t="s">
        <v>786</v>
      </c>
      <c r="H80" s="2" t="s">
        <v>1659</v>
      </c>
      <c r="I80" s="2" t="s">
        <v>1660</v>
      </c>
      <c r="K80" s="149">
        <v>0</v>
      </c>
      <c r="L80" s="149">
        <v>2242318</v>
      </c>
      <c r="M80" s="149">
        <v>426040</v>
      </c>
      <c r="N80" s="149">
        <v>2668358</v>
      </c>
      <c r="O80">
        <v>0</v>
      </c>
      <c r="P80">
        <v>0</v>
      </c>
      <c r="Q80">
        <v>0</v>
      </c>
      <c r="R80">
        <v>0</v>
      </c>
      <c r="S80">
        <v>0</v>
      </c>
      <c r="T80" t="s">
        <v>77</v>
      </c>
      <c r="U80">
        <v>0</v>
      </c>
      <c r="V80">
        <v>0</v>
      </c>
      <c r="W80">
        <v>0</v>
      </c>
      <c r="X80">
        <v>0</v>
      </c>
      <c r="Y80">
        <v>0</v>
      </c>
      <c r="AC80">
        <v>0</v>
      </c>
      <c r="AE80">
        <v>0</v>
      </c>
      <c r="AF80">
        <v>2</v>
      </c>
      <c r="AG80">
        <v>0</v>
      </c>
      <c r="AH80">
        <v>0</v>
      </c>
      <c r="AI80">
        <v>0</v>
      </c>
      <c r="AM80">
        <v>0</v>
      </c>
      <c r="AR80" t="s">
        <v>1679</v>
      </c>
      <c r="AS80" t="s">
        <v>1680</v>
      </c>
      <c r="AT80">
        <v>2024</v>
      </c>
      <c r="AU80">
        <v>7</v>
      </c>
      <c r="AV80" t="s">
        <v>78</v>
      </c>
      <c r="AX80" t="s">
        <v>1759</v>
      </c>
    </row>
    <row r="81" spans="1:50">
      <c r="A81">
        <v>80</v>
      </c>
      <c r="B81">
        <v>33</v>
      </c>
      <c r="C81" t="s">
        <v>74</v>
      </c>
      <c r="D81" t="s">
        <v>1222</v>
      </c>
      <c r="E81" t="s">
        <v>1223</v>
      </c>
      <c r="F81">
        <v>3184</v>
      </c>
      <c r="G81" s="23" t="s">
        <v>787</v>
      </c>
      <c r="H81" s="2" t="s">
        <v>1661</v>
      </c>
      <c r="I81" s="2"/>
      <c r="J81" s="2">
        <v>45330.4684375</v>
      </c>
      <c r="K81" s="149">
        <v>0</v>
      </c>
      <c r="L81" s="149">
        <v>16211852</v>
      </c>
      <c r="M81" s="149">
        <v>3080252</v>
      </c>
      <c r="N81" s="149">
        <v>19292104</v>
      </c>
      <c r="O81">
        <v>0</v>
      </c>
      <c r="P81">
        <v>0</v>
      </c>
      <c r="Q81">
        <v>0</v>
      </c>
      <c r="R81">
        <v>0</v>
      </c>
      <c r="S81">
        <v>0</v>
      </c>
      <c r="T81" t="s">
        <v>77</v>
      </c>
      <c r="U81">
        <v>0</v>
      </c>
      <c r="V81">
        <v>0</v>
      </c>
      <c r="W81">
        <v>0</v>
      </c>
      <c r="X81">
        <v>0</v>
      </c>
      <c r="AC81">
        <v>0</v>
      </c>
      <c r="AE81">
        <v>0</v>
      </c>
      <c r="AF81">
        <v>2</v>
      </c>
      <c r="AG81">
        <v>0</v>
      </c>
      <c r="AH81">
        <v>0</v>
      </c>
      <c r="AI81">
        <v>0</v>
      </c>
      <c r="AM81">
        <v>0</v>
      </c>
      <c r="AR81" t="s">
        <v>1679</v>
      </c>
      <c r="AS81" t="s">
        <v>1680</v>
      </c>
      <c r="AT81">
        <v>2024</v>
      </c>
      <c r="AU81">
        <v>7</v>
      </c>
      <c r="AV81" t="s">
        <v>78</v>
      </c>
      <c r="AX81" t="s">
        <v>1760</v>
      </c>
    </row>
    <row r="82" spans="1:50">
      <c r="A82">
        <v>81</v>
      </c>
      <c r="B82">
        <v>33</v>
      </c>
      <c r="C82" t="s">
        <v>74</v>
      </c>
      <c r="D82" t="s">
        <v>1579</v>
      </c>
      <c r="E82" t="s">
        <v>1580</v>
      </c>
      <c r="F82">
        <v>3185</v>
      </c>
      <c r="G82" s="23" t="s">
        <v>785</v>
      </c>
      <c r="H82" s="2" t="s">
        <v>1662</v>
      </c>
      <c r="I82" s="2" t="s">
        <v>1663</v>
      </c>
      <c r="K82" s="149">
        <v>0</v>
      </c>
      <c r="L82" s="149">
        <v>937200</v>
      </c>
      <c r="M82" s="149">
        <v>178068</v>
      </c>
      <c r="N82" s="149">
        <v>1115268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77</v>
      </c>
      <c r="U82">
        <v>0</v>
      </c>
      <c r="V82">
        <v>0</v>
      </c>
      <c r="W82">
        <v>0</v>
      </c>
      <c r="X82">
        <v>0</v>
      </c>
      <c r="Y82">
        <v>0</v>
      </c>
      <c r="AC82">
        <v>0</v>
      </c>
      <c r="AE82">
        <v>0</v>
      </c>
      <c r="AF82">
        <v>2</v>
      </c>
      <c r="AG82">
        <v>0</v>
      </c>
      <c r="AH82">
        <v>0</v>
      </c>
      <c r="AI82">
        <v>0</v>
      </c>
      <c r="AM82">
        <v>0</v>
      </c>
      <c r="AR82" t="s">
        <v>1679</v>
      </c>
      <c r="AS82" t="s">
        <v>1680</v>
      </c>
      <c r="AT82">
        <v>2024</v>
      </c>
      <c r="AU82">
        <v>7</v>
      </c>
      <c r="AV82" t="s">
        <v>78</v>
      </c>
      <c r="AX82" t="s">
        <v>1761</v>
      </c>
    </row>
    <row r="83" spans="1:50">
      <c r="A83">
        <v>82</v>
      </c>
      <c r="B83">
        <v>33</v>
      </c>
      <c r="C83" t="s">
        <v>74</v>
      </c>
      <c r="D83" t="s">
        <v>1222</v>
      </c>
      <c r="E83" t="s">
        <v>1223</v>
      </c>
      <c r="F83">
        <v>3186</v>
      </c>
      <c r="G83" s="23" t="s">
        <v>787</v>
      </c>
      <c r="H83" s="2" t="s">
        <v>1664</v>
      </c>
      <c r="I83" s="2">
        <v>45420.655590277776</v>
      </c>
      <c r="K83" s="149">
        <v>0</v>
      </c>
      <c r="L83" s="149">
        <v>4061950</v>
      </c>
      <c r="M83" s="149">
        <v>771771</v>
      </c>
      <c r="N83" s="149">
        <v>4833721</v>
      </c>
      <c r="O83">
        <v>0</v>
      </c>
      <c r="P83">
        <v>0</v>
      </c>
      <c r="Q83">
        <v>0</v>
      </c>
      <c r="R83">
        <v>0</v>
      </c>
      <c r="S83">
        <v>0</v>
      </c>
      <c r="T83" t="s">
        <v>77</v>
      </c>
      <c r="U83">
        <v>0</v>
      </c>
      <c r="V83">
        <v>0</v>
      </c>
      <c r="W83">
        <v>0</v>
      </c>
      <c r="X83">
        <v>0</v>
      </c>
      <c r="AC83">
        <v>0</v>
      </c>
      <c r="AE83">
        <v>0</v>
      </c>
      <c r="AF83">
        <v>2</v>
      </c>
      <c r="AG83">
        <v>0</v>
      </c>
      <c r="AH83">
        <v>0</v>
      </c>
      <c r="AI83">
        <v>0</v>
      </c>
      <c r="AM83">
        <v>0</v>
      </c>
      <c r="AR83" t="s">
        <v>1679</v>
      </c>
      <c r="AS83" t="s">
        <v>1680</v>
      </c>
      <c r="AT83">
        <v>2024</v>
      </c>
      <c r="AU83">
        <v>7</v>
      </c>
      <c r="AV83" t="s">
        <v>78</v>
      </c>
      <c r="AX83" t="s">
        <v>1762</v>
      </c>
    </row>
    <row r="84" spans="1:50">
      <c r="A84">
        <v>83</v>
      </c>
      <c r="B84">
        <v>33</v>
      </c>
      <c r="C84" t="s">
        <v>74</v>
      </c>
      <c r="D84" t="s">
        <v>1571</v>
      </c>
      <c r="E84" t="s">
        <v>1572</v>
      </c>
      <c r="F84">
        <v>3191</v>
      </c>
      <c r="G84" s="23" t="s">
        <v>787</v>
      </c>
      <c r="H84" s="2" t="s">
        <v>1665</v>
      </c>
      <c r="I84" s="2">
        <v>45299.485949074071</v>
      </c>
      <c r="K84" s="149">
        <v>0</v>
      </c>
      <c r="L84" s="149">
        <v>2977115</v>
      </c>
      <c r="M84" s="149">
        <v>565651</v>
      </c>
      <c r="N84" s="149">
        <v>3542766</v>
      </c>
      <c r="O84">
        <v>0</v>
      </c>
      <c r="P84">
        <v>0</v>
      </c>
      <c r="Q84">
        <v>0</v>
      </c>
      <c r="R84">
        <v>0</v>
      </c>
      <c r="S84">
        <v>0</v>
      </c>
      <c r="T84" t="s">
        <v>77</v>
      </c>
      <c r="U84">
        <v>0</v>
      </c>
      <c r="V84">
        <v>0</v>
      </c>
      <c r="W84">
        <v>0</v>
      </c>
      <c r="X84">
        <v>0</v>
      </c>
      <c r="AC84">
        <v>0</v>
      </c>
      <c r="AE84">
        <v>0</v>
      </c>
      <c r="AF84">
        <v>2</v>
      </c>
      <c r="AG84">
        <v>0</v>
      </c>
      <c r="AH84">
        <v>0</v>
      </c>
      <c r="AI84">
        <v>0</v>
      </c>
      <c r="AM84">
        <v>0</v>
      </c>
      <c r="AR84" t="s">
        <v>1679</v>
      </c>
      <c r="AS84" t="s">
        <v>1680</v>
      </c>
      <c r="AT84">
        <v>2024</v>
      </c>
      <c r="AU84">
        <v>7</v>
      </c>
      <c r="AV84" t="s">
        <v>78</v>
      </c>
      <c r="AX84" t="s">
        <v>1763</v>
      </c>
    </row>
    <row r="85" spans="1:50">
      <c r="A85">
        <v>84</v>
      </c>
      <c r="B85">
        <v>61</v>
      </c>
      <c r="C85" t="s">
        <v>74</v>
      </c>
      <c r="D85" t="s">
        <v>1222</v>
      </c>
      <c r="E85" t="s">
        <v>1223</v>
      </c>
      <c r="F85">
        <v>680</v>
      </c>
      <c r="G85" s="23">
        <v>45474</v>
      </c>
      <c r="H85" s="2">
        <v>45298.45108796296</v>
      </c>
      <c r="I85" s="2"/>
      <c r="K85" s="149">
        <v>0</v>
      </c>
      <c r="L85" s="149">
        <v>-19870200</v>
      </c>
      <c r="M85" s="149">
        <v>-3775338</v>
      </c>
      <c r="N85" s="149">
        <v>-23645538</v>
      </c>
      <c r="O85">
        <v>0</v>
      </c>
      <c r="P85">
        <v>0</v>
      </c>
      <c r="Q85">
        <v>0</v>
      </c>
      <c r="R85">
        <v>0</v>
      </c>
      <c r="S85">
        <v>0</v>
      </c>
      <c r="T85" t="s">
        <v>77</v>
      </c>
      <c r="U85">
        <v>0</v>
      </c>
      <c r="V85">
        <v>0</v>
      </c>
      <c r="W85">
        <v>0</v>
      </c>
      <c r="X85">
        <v>0</v>
      </c>
      <c r="Y85">
        <v>33</v>
      </c>
      <c r="Z85">
        <v>3089</v>
      </c>
      <c r="AC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M85">
        <v>0</v>
      </c>
      <c r="AR85" t="s">
        <v>1679</v>
      </c>
      <c r="AS85" t="s">
        <v>1680</v>
      </c>
      <c r="AT85">
        <v>2024</v>
      </c>
      <c r="AU85">
        <v>7</v>
      </c>
      <c r="AV85" t="s">
        <v>318</v>
      </c>
      <c r="AX85" t="s">
        <v>1764</v>
      </c>
    </row>
    <row r="86" spans="1:50">
      <c r="A86">
        <v>85</v>
      </c>
      <c r="B86">
        <v>61</v>
      </c>
      <c r="C86" t="s">
        <v>74</v>
      </c>
      <c r="D86" t="s">
        <v>1222</v>
      </c>
      <c r="E86" t="s">
        <v>1223</v>
      </c>
      <c r="F86">
        <v>681</v>
      </c>
      <c r="G86" s="23">
        <v>45474</v>
      </c>
      <c r="H86" s="2">
        <v>45298.465208333335</v>
      </c>
      <c r="K86" s="149">
        <v>0</v>
      </c>
      <c r="L86" s="149">
        <v>-15443060</v>
      </c>
      <c r="M86" s="149">
        <v>-2934181</v>
      </c>
      <c r="N86" s="149">
        <v>-18377241</v>
      </c>
      <c r="O86">
        <v>0</v>
      </c>
      <c r="P86">
        <v>0</v>
      </c>
      <c r="Q86">
        <v>0</v>
      </c>
      <c r="R86">
        <v>0</v>
      </c>
      <c r="S86">
        <v>0</v>
      </c>
      <c r="T86" t="s">
        <v>77</v>
      </c>
      <c r="U86">
        <v>0</v>
      </c>
      <c r="V86">
        <v>0</v>
      </c>
      <c r="W86">
        <v>0</v>
      </c>
      <c r="X86">
        <v>0</v>
      </c>
      <c r="Y86">
        <v>33</v>
      </c>
      <c r="Z86">
        <v>3090</v>
      </c>
      <c r="AC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M86">
        <v>0</v>
      </c>
      <c r="AR86" t="s">
        <v>1679</v>
      </c>
      <c r="AS86" t="s">
        <v>1680</v>
      </c>
      <c r="AT86">
        <v>2024</v>
      </c>
      <c r="AU86">
        <v>7</v>
      </c>
      <c r="AV86" t="s">
        <v>318</v>
      </c>
      <c r="AX86" t="s">
        <v>1765</v>
      </c>
    </row>
    <row r="87" spans="1:50">
      <c r="A87">
        <v>86</v>
      </c>
      <c r="B87">
        <v>61</v>
      </c>
      <c r="C87" t="s">
        <v>74</v>
      </c>
      <c r="D87" t="s">
        <v>1571</v>
      </c>
      <c r="E87" t="s">
        <v>1572</v>
      </c>
      <c r="F87">
        <v>682</v>
      </c>
      <c r="G87" s="23">
        <v>45474</v>
      </c>
      <c r="H87" s="2">
        <v>45298.512615740743</v>
      </c>
      <c r="J87" s="2">
        <v>45419.335636574076</v>
      </c>
      <c r="K87" s="149">
        <v>0</v>
      </c>
      <c r="L87" s="149">
        <v>-256200</v>
      </c>
      <c r="M87" s="149">
        <v>-48678</v>
      </c>
      <c r="N87" s="149">
        <v>-304878</v>
      </c>
      <c r="O87">
        <v>0</v>
      </c>
      <c r="P87">
        <v>0</v>
      </c>
      <c r="Q87">
        <v>0</v>
      </c>
      <c r="R87">
        <v>0</v>
      </c>
      <c r="S87">
        <v>0</v>
      </c>
      <c r="T87" t="s">
        <v>77</v>
      </c>
      <c r="U87">
        <v>0</v>
      </c>
      <c r="V87">
        <v>0</v>
      </c>
      <c r="W87">
        <v>0</v>
      </c>
      <c r="X87">
        <v>0</v>
      </c>
      <c r="Y87">
        <v>33</v>
      </c>
      <c r="Z87">
        <v>3104</v>
      </c>
      <c r="AC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M87">
        <v>0</v>
      </c>
      <c r="AR87" t="s">
        <v>1679</v>
      </c>
      <c r="AS87" t="s">
        <v>1680</v>
      </c>
      <c r="AT87">
        <v>2024</v>
      </c>
      <c r="AU87">
        <v>7</v>
      </c>
      <c r="AV87" t="s">
        <v>318</v>
      </c>
      <c r="AX87" t="s">
        <v>1766</v>
      </c>
    </row>
    <row r="88" spans="1:50">
      <c r="A88">
        <v>87</v>
      </c>
      <c r="B88">
        <v>61</v>
      </c>
      <c r="C88" t="s">
        <v>74</v>
      </c>
      <c r="D88" t="s">
        <v>1571</v>
      </c>
      <c r="E88" t="s">
        <v>1572</v>
      </c>
      <c r="F88">
        <v>683</v>
      </c>
      <c r="G88" s="23">
        <v>45474</v>
      </c>
      <c r="H88" s="2">
        <v>45298.572476851848</v>
      </c>
      <c r="K88" s="149">
        <v>0</v>
      </c>
      <c r="L88" s="149">
        <v>-13835463</v>
      </c>
      <c r="M88" s="149">
        <v>-2628738</v>
      </c>
      <c r="N88" s="149">
        <v>-16464201</v>
      </c>
      <c r="O88">
        <v>0</v>
      </c>
      <c r="P88">
        <v>0</v>
      </c>
      <c r="Q88">
        <v>0</v>
      </c>
      <c r="R88">
        <v>0</v>
      </c>
      <c r="S88">
        <v>0</v>
      </c>
      <c r="T88" t="s">
        <v>77</v>
      </c>
      <c r="U88">
        <v>0</v>
      </c>
      <c r="V88">
        <v>0</v>
      </c>
      <c r="W88">
        <v>0</v>
      </c>
      <c r="X88">
        <v>0</v>
      </c>
      <c r="Y88">
        <v>33</v>
      </c>
      <c r="Z88">
        <v>2960</v>
      </c>
      <c r="AC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M88">
        <v>0</v>
      </c>
      <c r="AR88" t="s">
        <v>1679</v>
      </c>
      <c r="AS88" t="s">
        <v>1680</v>
      </c>
      <c r="AT88">
        <v>2024</v>
      </c>
      <c r="AU88">
        <v>7</v>
      </c>
      <c r="AV88" t="s">
        <v>318</v>
      </c>
      <c r="AX88" t="s">
        <v>1767</v>
      </c>
    </row>
    <row r="89" spans="1:50">
      <c r="A89">
        <v>88</v>
      </c>
      <c r="B89">
        <v>61</v>
      </c>
      <c r="C89" t="s">
        <v>74</v>
      </c>
      <c r="D89" t="s">
        <v>1353</v>
      </c>
      <c r="E89" t="s">
        <v>1354</v>
      </c>
      <c r="F89">
        <v>684</v>
      </c>
      <c r="G89" s="23">
        <v>45477</v>
      </c>
      <c r="H89" s="2">
        <v>45389.52065972222</v>
      </c>
      <c r="I89" s="2"/>
      <c r="K89" s="149">
        <v>0</v>
      </c>
      <c r="L89" s="149">
        <v>-42119</v>
      </c>
      <c r="M89" s="149">
        <v>-8002</v>
      </c>
      <c r="N89" s="149">
        <v>-50121</v>
      </c>
      <c r="O89">
        <v>0</v>
      </c>
      <c r="P89">
        <v>0</v>
      </c>
      <c r="Q89">
        <v>0</v>
      </c>
      <c r="R89">
        <v>0</v>
      </c>
      <c r="S89">
        <v>0</v>
      </c>
      <c r="T89" t="s">
        <v>77</v>
      </c>
      <c r="U89">
        <v>0</v>
      </c>
      <c r="V89">
        <v>0</v>
      </c>
      <c r="W89">
        <v>0</v>
      </c>
      <c r="X89">
        <v>0</v>
      </c>
      <c r="Y89">
        <v>33</v>
      </c>
      <c r="Z89">
        <v>3117</v>
      </c>
      <c r="AC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M89">
        <v>0</v>
      </c>
      <c r="AR89" t="s">
        <v>1679</v>
      </c>
      <c r="AS89" t="s">
        <v>1680</v>
      </c>
      <c r="AT89">
        <v>2024</v>
      </c>
      <c r="AU89">
        <v>7</v>
      </c>
      <c r="AV89" t="s">
        <v>318</v>
      </c>
      <c r="AX89" t="s">
        <v>1768</v>
      </c>
    </row>
    <row r="90" spans="1:50">
      <c r="A90">
        <v>89</v>
      </c>
      <c r="B90">
        <v>61</v>
      </c>
      <c r="C90" t="s">
        <v>74</v>
      </c>
      <c r="D90" t="s">
        <v>1558</v>
      </c>
      <c r="E90" t="s">
        <v>1559</v>
      </c>
      <c r="F90">
        <v>685</v>
      </c>
      <c r="G90" s="23">
        <v>45477</v>
      </c>
      <c r="H90" s="2">
        <v>45389.735231481478</v>
      </c>
      <c r="I90" s="2">
        <v>45419.659386574072</v>
      </c>
      <c r="J90" s="2"/>
      <c r="K90" s="149">
        <v>0</v>
      </c>
      <c r="L90" s="149">
        <v>-56460</v>
      </c>
      <c r="M90" s="149">
        <v>-10727</v>
      </c>
      <c r="N90" s="149">
        <v>-67187</v>
      </c>
      <c r="O90">
        <v>0</v>
      </c>
      <c r="P90">
        <v>0</v>
      </c>
      <c r="Q90">
        <v>0</v>
      </c>
      <c r="R90">
        <v>0</v>
      </c>
      <c r="S90">
        <v>0</v>
      </c>
      <c r="T90" t="s">
        <v>77</v>
      </c>
      <c r="U90">
        <v>0</v>
      </c>
      <c r="V90">
        <v>0</v>
      </c>
      <c r="W90">
        <v>0</v>
      </c>
      <c r="X90">
        <v>0</v>
      </c>
      <c r="Y90">
        <v>33</v>
      </c>
      <c r="Z90">
        <v>3124</v>
      </c>
      <c r="AC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M90">
        <v>0</v>
      </c>
      <c r="AR90" t="s">
        <v>1679</v>
      </c>
      <c r="AS90" t="s">
        <v>1680</v>
      </c>
      <c r="AT90">
        <v>2024</v>
      </c>
      <c r="AU90">
        <v>7</v>
      </c>
      <c r="AV90" t="s">
        <v>318</v>
      </c>
      <c r="AX90" t="s">
        <v>1769</v>
      </c>
    </row>
    <row r="91" spans="1:50">
      <c r="A91">
        <v>90</v>
      </c>
      <c r="B91">
        <v>61</v>
      </c>
      <c r="C91" t="s">
        <v>74</v>
      </c>
      <c r="D91" t="s">
        <v>1558</v>
      </c>
      <c r="E91" t="s">
        <v>1559</v>
      </c>
      <c r="F91">
        <v>686</v>
      </c>
      <c r="G91" s="23">
        <v>45483</v>
      </c>
      <c r="H91" s="2">
        <v>45572.41033564815</v>
      </c>
      <c r="I91" s="2">
        <v>45572.749942129631</v>
      </c>
      <c r="K91" s="149">
        <v>0</v>
      </c>
      <c r="L91" s="149">
        <v>-75280</v>
      </c>
      <c r="M91" s="149">
        <v>-14304</v>
      </c>
      <c r="N91" s="149">
        <v>-89584</v>
      </c>
      <c r="O91">
        <v>0</v>
      </c>
      <c r="P91">
        <v>0</v>
      </c>
      <c r="Q91">
        <v>0</v>
      </c>
      <c r="R91">
        <v>0</v>
      </c>
      <c r="S91">
        <v>0</v>
      </c>
      <c r="T91" t="s">
        <v>77</v>
      </c>
      <c r="U91">
        <v>0</v>
      </c>
      <c r="V91">
        <v>0</v>
      </c>
      <c r="W91">
        <v>0</v>
      </c>
      <c r="X91">
        <v>0</v>
      </c>
      <c r="Y91">
        <v>33</v>
      </c>
      <c r="Z91">
        <v>3134</v>
      </c>
      <c r="AC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M91">
        <v>0</v>
      </c>
      <c r="AR91" t="s">
        <v>1679</v>
      </c>
      <c r="AS91" t="s">
        <v>1680</v>
      </c>
      <c r="AT91">
        <v>2024</v>
      </c>
      <c r="AU91">
        <v>7</v>
      </c>
      <c r="AV91" t="s">
        <v>318</v>
      </c>
      <c r="AX91" t="s">
        <v>1770</v>
      </c>
    </row>
    <row r="92" spans="1:50">
      <c r="A92">
        <v>91</v>
      </c>
      <c r="B92">
        <v>61</v>
      </c>
      <c r="C92" t="s">
        <v>74</v>
      </c>
      <c r="D92" t="s">
        <v>1353</v>
      </c>
      <c r="E92" t="s">
        <v>1354</v>
      </c>
      <c r="F92">
        <v>687</v>
      </c>
      <c r="G92" s="23">
        <v>45483</v>
      </c>
      <c r="H92" s="2">
        <v>45572.414537037039</v>
      </c>
      <c r="I92" s="2"/>
      <c r="K92" s="149">
        <v>0</v>
      </c>
      <c r="L92" s="149">
        <v>-515460</v>
      </c>
      <c r="M92" s="149">
        <v>-97937</v>
      </c>
      <c r="N92" s="149">
        <v>-613397</v>
      </c>
      <c r="O92">
        <v>0</v>
      </c>
      <c r="P92">
        <v>0</v>
      </c>
      <c r="Q92">
        <v>0</v>
      </c>
      <c r="R92">
        <v>0</v>
      </c>
      <c r="S92">
        <v>0</v>
      </c>
      <c r="T92" t="s">
        <v>77</v>
      </c>
      <c r="U92">
        <v>0</v>
      </c>
      <c r="V92">
        <v>0</v>
      </c>
      <c r="W92">
        <v>0</v>
      </c>
      <c r="X92">
        <v>0</v>
      </c>
      <c r="Y92">
        <v>33</v>
      </c>
      <c r="Z92">
        <v>3126</v>
      </c>
      <c r="AC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M92">
        <v>0</v>
      </c>
      <c r="AR92" t="s">
        <v>1679</v>
      </c>
      <c r="AS92" t="s">
        <v>1680</v>
      </c>
      <c r="AT92">
        <v>2024</v>
      </c>
      <c r="AU92">
        <v>7</v>
      </c>
      <c r="AV92" t="s">
        <v>318</v>
      </c>
      <c r="AX92" t="s">
        <v>1771</v>
      </c>
    </row>
    <row r="93" spans="1:50">
      <c r="A93">
        <v>92</v>
      </c>
      <c r="B93">
        <v>61</v>
      </c>
      <c r="C93" t="s">
        <v>74</v>
      </c>
      <c r="D93" t="s">
        <v>1571</v>
      </c>
      <c r="E93" t="s">
        <v>1572</v>
      </c>
      <c r="F93">
        <v>688</v>
      </c>
      <c r="G93" s="23" t="s">
        <v>777</v>
      </c>
      <c r="H93" s="2" t="s">
        <v>1666</v>
      </c>
      <c r="I93" s="2"/>
      <c r="K93" s="149">
        <v>0</v>
      </c>
      <c r="L93" s="149">
        <v>-8314705</v>
      </c>
      <c r="M93" s="149">
        <v>-1579795</v>
      </c>
      <c r="N93" s="149">
        <v>-9894500</v>
      </c>
      <c r="O93">
        <v>0</v>
      </c>
      <c r="P93">
        <v>0</v>
      </c>
      <c r="Q93">
        <v>0</v>
      </c>
      <c r="R93">
        <v>0</v>
      </c>
      <c r="S93">
        <v>0</v>
      </c>
      <c r="T93" t="s">
        <v>77</v>
      </c>
      <c r="U93">
        <v>0</v>
      </c>
      <c r="V93">
        <v>0</v>
      </c>
      <c r="W93">
        <v>0</v>
      </c>
      <c r="X93">
        <v>0</v>
      </c>
      <c r="Y93">
        <v>33</v>
      </c>
      <c r="Z93">
        <v>3104</v>
      </c>
      <c r="AC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M93">
        <v>0</v>
      </c>
      <c r="AR93" t="s">
        <v>1679</v>
      </c>
      <c r="AS93" t="s">
        <v>1680</v>
      </c>
      <c r="AT93">
        <v>2024</v>
      </c>
      <c r="AU93">
        <v>7</v>
      </c>
      <c r="AV93" t="s">
        <v>318</v>
      </c>
      <c r="AX93" t="s">
        <v>1772</v>
      </c>
    </row>
    <row r="94" spans="1:50">
      <c r="A94">
        <v>93</v>
      </c>
      <c r="B94">
        <v>61</v>
      </c>
      <c r="C94" t="s">
        <v>74</v>
      </c>
      <c r="D94" t="s">
        <v>1222</v>
      </c>
      <c r="E94" t="s">
        <v>1223</v>
      </c>
      <c r="F94">
        <v>689</v>
      </c>
      <c r="G94" s="23" t="s">
        <v>777</v>
      </c>
      <c r="H94" s="2" t="s">
        <v>1667</v>
      </c>
      <c r="I94" s="2"/>
      <c r="K94" s="149">
        <v>0</v>
      </c>
      <c r="L94" s="149">
        <v>-10369826</v>
      </c>
      <c r="M94" s="149">
        <v>-1970267</v>
      </c>
      <c r="N94" s="149">
        <v>-12340093</v>
      </c>
      <c r="O94">
        <v>0</v>
      </c>
      <c r="P94">
        <v>0</v>
      </c>
      <c r="Q94">
        <v>0</v>
      </c>
      <c r="R94">
        <v>0</v>
      </c>
      <c r="S94">
        <v>0</v>
      </c>
      <c r="T94" t="s">
        <v>77</v>
      </c>
      <c r="U94">
        <v>0</v>
      </c>
      <c r="V94">
        <v>0</v>
      </c>
      <c r="W94">
        <v>0</v>
      </c>
      <c r="X94">
        <v>0</v>
      </c>
      <c r="Y94">
        <v>33</v>
      </c>
      <c r="Z94">
        <v>3107</v>
      </c>
      <c r="AC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M94">
        <v>0</v>
      </c>
      <c r="AR94" t="s">
        <v>1679</v>
      </c>
      <c r="AS94" t="s">
        <v>1680</v>
      </c>
      <c r="AT94">
        <v>2024</v>
      </c>
      <c r="AU94">
        <v>7</v>
      </c>
      <c r="AV94" t="s">
        <v>318</v>
      </c>
      <c r="AX94" t="s">
        <v>1773</v>
      </c>
    </row>
    <row r="95" spans="1:50">
      <c r="A95">
        <v>94</v>
      </c>
      <c r="B95">
        <v>61</v>
      </c>
      <c r="C95" t="s">
        <v>74</v>
      </c>
      <c r="D95" t="s">
        <v>1222</v>
      </c>
      <c r="E95" t="s">
        <v>1223</v>
      </c>
      <c r="F95">
        <v>690</v>
      </c>
      <c r="G95" s="23" t="s">
        <v>777</v>
      </c>
      <c r="H95" s="2" t="s">
        <v>1668</v>
      </c>
      <c r="I95" s="2"/>
      <c r="K95" s="149">
        <v>0</v>
      </c>
      <c r="L95" s="149">
        <v>-447860</v>
      </c>
      <c r="M95" s="149">
        <v>-85093</v>
      </c>
      <c r="N95" s="149">
        <v>-532953</v>
      </c>
      <c r="O95">
        <v>0</v>
      </c>
      <c r="P95">
        <v>0</v>
      </c>
      <c r="Q95">
        <v>0</v>
      </c>
      <c r="R95">
        <v>0</v>
      </c>
      <c r="S95">
        <v>0</v>
      </c>
      <c r="T95" t="s">
        <v>77</v>
      </c>
      <c r="U95">
        <v>0</v>
      </c>
      <c r="V95">
        <v>0</v>
      </c>
      <c r="W95">
        <v>0</v>
      </c>
      <c r="X95">
        <v>0</v>
      </c>
      <c r="Y95">
        <v>33</v>
      </c>
      <c r="Z95">
        <v>3105</v>
      </c>
      <c r="AC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M95">
        <v>0</v>
      </c>
      <c r="AR95" t="s">
        <v>1679</v>
      </c>
      <c r="AS95" t="s">
        <v>1680</v>
      </c>
      <c r="AT95">
        <v>2024</v>
      </c>
      <c r="AU95">
        <v>7</v>
      </c>
      <c r="AV95" t="s">
        <v>318</v>
      </c>
      <c r="AX95" t="s">
        <v>1774</v>
      </c>
    </row>
    <row r="96" spans="1:50">
      <c r="A96">
        <v>95</v>
      </c>
      <c r="B96">
        <v>61</v>
      </c>
      <c r="C96" t="s">
        <v>74</v>
      </c>
      <c r="D96" t="s">
        <v>1222</v>
      </c>
      <c r="E96" t="s">
        <v>1223</v>
      </c>
      <c r="F96">
        <v>691</v>
      </c>
      <c r="G96" s="23" t="s">
        <v>777</v>
      </c>
      <c r="H96" s="2" t="s">
        <v>1669</v>
      </c>
      <c r="I96" s="2"/>
      <c r="K96" s="149">
        <v>0</v>
      </c>
      <c r="L96" s="149">
        <v>-4768560</v>
      </c>
      <c r="M96" s="149">
        <v>-906026</v>
      </c>
      <c r="N96" s="149">
        <v>-5674586</v>
      </c>
      <c r="O96">
        <v>0</v>
      </c>
      <c r="P96">
        <v>0</v>
      </c>
      <c r="Q96">
        <v>0</v>
      </c>
      <c r="R96">
        <v>0</v>
      </c>
      <c r="S96">
        <v>0</v>
      </c>
      <c r="T96" t="s">
        <v>77</v>
      </c>
      <c r="U96">
        <v>0</v>
      </c>
      <c r="V96">
        <v>0</v>
      </c>
      <c r="W96">
        <v>0</v>
      </c>
      <c r="X96">
        <v>0</v>
      </c>
      <c r="Y96">
        <v>33</v>
      </c>
      <c r="Z96">
        <v>3106</v>
      </c>
      <c r="AC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M96">
        <v>0</v>
      </c>
      <c r="AR96" t="s">
        <v>1679</v>
      </c>
      <c r="AS96" t="s">
        <v>1680</v>
      </c>
      <c r="AT96">
        <v>2024</v>
      </c>
      <c r="AU96">
        <v>7</v>
      </c>
      <c r="AV96" t="s">
        <v>318</v>
      </c>
      <c r="AX96" t="s">
        <v>1775</v>
      </c>
    </row>
    <row r="97" spans="1:50">
      <c r="A97">
        <v>96</v>
      </c>
      <c r="B97">
        <v>61</v>
      </c>
      <c r="C97" t="s">
        <v>74</v>
      </c>
      <c r="D97" t="s">
        <v>1222</v>
      </c>
      <c r="E97" t="s">
        <v>1223</v>
      </c>
      <c r="F97">
        <v>692</v>
      </c>
      <c r="G97" s="23" t="s">
        <v>777</v>
      </c>
      <c r="H97" s="2" t="s">
        <v>1670</v>
      </c>
      <c r="I97" s="2"/>
      <c r="J97" s="2"/>
      <c r="K97" s="149">
        <v>0</v>
      </c>
      <c r="L97" s="149">
        <v>-22712826</v>
      </c>
      <c r="M97" s="149">
        <v>-4315437</v>
      </c>
      <c r="N97" s="149">
        <v>-27028263</v>
      </c>
      <c r="O97">
        <v>0</v>
      </c>
      <c r="P97">
        <v>0</v>
      </c>
      <c r="Q97">
        <v>0</v>
      </c>
      <c r="R97">
        <v>0</v>
      </c>
      <c r="S97">
        <v>0</v>
      </c>
      <c r="T97" t="s">
        <v>77</v>
      </c>
      <c r="U97">
        <v>0</v>
      </c>
      <c r="V97">
        <v>0</v>
      </c>
      <c r="W97">
        <v>0</v>
      </c>
      <c r="X97">
        <v>0</v>
      </c>
      <c r="Y97">
        <v>33</v>
      </c>
      <c r="Z97">
        <v>3128</v>
      </c>
      <c r="AC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M97">
        <v>0</v>
      </c>
      <c r="AR97" t="s">
        <v>1679</v>
      </c>
      <c r="AS97" t="s">
        <v>1680</v>
      </c>
      <c r="AT97">
        <v>2024</v>
      </c>
      <c r="AU97">
        <v>7</v>
      </c>
      <c r="AV97" t="s">
        <v>318</v>
      </c>
      <c r="AX97" t="s">
        <v>1776</v>
      </c>
    </row>
    <row r="98" spans="1:50">
      <c r="A98">
        <v>97</v>
      </c>
      <c r="B98">
        <v>61</v>
      </c>
      <c r="C98" t="s">
        <v>74</v>
      </c>
      <c r="D98" t="s">
        <v>1571</v>
      </c>
      <c r="E98" t="s">
        <v>1572</v>
      </c>
      <c r="F98">
        <v>693</v>
      </c>
      <c r="G98" s="23" t="s">
        <v>781</v>
      </c>
      <c r="H98" s="2" t="s">
        <v>1671</v>
      </c>
      <c r="J98" t="s">
        <v>1629</v>
      </c>
      <c r="K98" s="149">
        <v>0</v>
      </c>
      <c r="L98" s="149">
        <v>-7135310</v>
      </c>
      <c r="M98" s="149">
        <v>-1355709</v>
      </c>
      <c r="N98" s="149">
        <v>-8491019</v>
      </c>
      <c r="O98">
        <v>0</v>
      </c>
      <c r="P98">
        <v>0</v>
      </c>
      <c r="Q98">
        <v>0</v>
      </c>
      <c r="R98">
        <v>0</v>
      </c>
      <c r="S98">
        <v>0</v>
      </c>
      <c r="T98" t="s">
        <v>77</v>
      </c>
      <c r="U98">
        <v>0</v>
      </c>
      <c r="V98">
        <v>0</v>
      </c>
      <c r="W98">
        <v>0</v>
      </c>
      <c r="X98">
        <v>0</v>
      </c>
      <c r="Y98">
        <v>33</v>
      </c>
      <c r="Z98">
        <v>3166</v>
      </c>
      <c r="AC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M98">
        <v>0</v>
      </c>
      <c r="AR98" t="s">
        <v>1679</v>
      </c>
      <c r="AS98" t="s">
        <v>1680</v>
      </c>
      <c r="AT98">
        <v>2024</v>
      </c>
      <c r="AU98">
        <v>7</v>
      </c>
      <c r="AV98" t="s">
        <v>318</v>
      </c>
      <c r="AX98" t="s">
        <v>1777</v>
      </c>
    </row>
    <row r="99" spans="1:50">
      <c r="A99">
        <v>98</v>
      </c>
      <c r="B99">
        <v>61</v>
      </c>
      <c r="C99" t="s">
        <v>74</v>
      </c>
      <c r="D99" t="s">
        <v>1571</v>
      </c>
      <c r="E99" t="s">
        <v>1572</v>
      </c>
      <c r="F99">
        <v>694</v>
      </c>
      <c r="G99" s="23" t="s">
        <v>781</v>
      </c>
      <c r="H99" s="2" t="s">
        <v>1672</v>
      </c>
      <c r="I99" s="2"/>
      <c r="J99" s="2" t="s">
        <v>1629</v>
      </c>
      <c r="K99" s="149">
        <v>0</v>
      </c>
      <c r="L99" s="149">
        <v>-897600</v>
      </c>
      <c r="M99" s="149">
        <v>-170544</v>
      </c>
      <c r="N99" s="149">
        <v>-1068144</v>
      </c>
      <c r="O99">
        <v>0</v>
      </c>
      <c r="P99">
        <v>0</v>
      </c>
      <c r="Q99">
        <v>0</v>
      </c>
      <c r="R99">
        <v>0</v>
      </c>
      <c r="S99">
        <v>0</v>
      </c>
      <c r="T99" t="s">
        <v>77</v>
      </c>
      <c r="U99">
        <v>0</v>
      </c>
      <c r="V99">
        <v>0</v>
      </c>
      <c r="W99">
        <v>0</v>
      </c>
      <c r="X99">
        <v>0</v>
      </c>
      <c r="Y99">
        <v>33</v>
      </c>
      <c r="Z99">
        <v>3167</v>
      </c>
      <c r="AC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M99">
        <v>0</v>
      </c>
      <c r="AR99" t="s">
        <v>1679</v>
      </c>
      <c r="AS99" t="s">
        <v>1680</v>
      </c>
      <c r="AT99">
        <v>2024</v>
      </c>
      <c r="AU99">
        <v>7</v>
      </c>
      <c r="AV99" t="s">
        <v>318</v>
      </c>
      <c r="AX99" t="s">
        <v>1778</v>
      </c>
    </row>
    <row r="100" spans="1:50">
      <c r="A100">
        <v>99</v>
      </c>
      <c r="B100">
        <v>61</v>
      </c>
      <c r="C100" t="s">
        <v>74</v>
      </c>
      <c r="D100" t="s">
        <v>1600</v>
      </c>
      <c r="E100" t="s">
        <v>1601</v>
      </c>
      <c r="F100">
        <v>695</v>
      </c>
      <c r="G100" s="23" t="s">
        <v>783</v>
      </c>
      <c r="H100" s="2" t="s">
        <v>1673</v>
      </c>
      <c r="I100" s="2"/>
      <c r="K100" s="149">
        <v>0</v>
      </c>
      <c r="L100" s="149">
        <v>-335356</v>
      </c>
      <c r="M100" s="149">
        <v>-63721</v>
      </c>
      <c r="N100" s="149">
        <v>-399077</v>
      </c>
      <c r="O100">
        <v>0</v>
      </c>
      <c r="P100">
        <v>0</v>
      </c>
      <c r="Q100">
        <v>0</v>
      </c>
      <c r="R100">
        <v>0</v>
      </c>
      <c r="S100">
        <v>0</v>
      </c>
      <c r="T100" t="s">
        <v>77</v>
      </c>
      <c r="U100">
        <v>0</v>
      </c>
      <c r="V100">
        <v>0</v>
      </c>
      <c r="W100">
        <v>0</v>
      </c>
      <c r="X100">
        <v>0</v>
      </c>
      <c r="Y100">
        <v>33</v>
      </c>
      <c r="Z100">
        <v>3175</v>
      </c>
      <c r="AC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M100">
        <v>0</v>
      </c>
      <c r="AR100" t="s">
        <v>1679</v>
      </c>
      <c r="AS100" t="s">
        <v>1680</v>
      </c>
      <c r="AT100">
        <v>2024</v>
      </c>
      <c r="AU100">
        <v>7</v>
      </c>
      <c r="AV100" t="s">
        <v>318</v>
      </c>
      <c r="AX100" t="s">
        <v>1779</v>
      </c>
    </row>
    <row r="101" spans="1:50">
      <c r="A101">
        <v>100</v>
      </c>
      <c r="B101">
        <v>61</v>
      </c>
      <c r="C101" t="s">
        <v>74</v>
      </c>
      <c r="D101" t="s">
        <v>1588</v>
      </c>
      <c r="E101" t="s">
        <v>1589</v>
      </c>
      <c r="F101">
        <v>696</v>
      </c>
      <c r="G101" s="23" t="s">
        <v>783</v>
      </c>
      <c r="H101" s="2" t="s">
        <v>1674</v>
      </c>
      <c r="I101" s="2"/>
      <c r="J101" s="2"/>
      <c r="K101" s="149">
        <v>0</v>
      </c>
      <c r="L101" s="149">
        <v>-158240</v>
      </c>
      <c r="M101" s="149">
        <v>-30066</v>
      </c>
      <c r="N101" s="149">
        <v>-188306</v>
      </c>
      <c r="O101">
        <v>0</v>
      </c>
      <c r="P101">
        <v>0</v>
      </c>
      <c r="Q101">
        <v>0</v>
      </c>
      <c r="R101">
        <v>0</v>
      </c>
      <c r="S101">
        <v>0</v>
      </c>
      <c r="T101" t="s">
        <v>77</v>
      </c>
      <c r="U101">
        <v>0</v>
      </c>
      <c r="V101">
        <v>0</v>
      </c>
      <c r="W101">
        <v>0</v>
      </c>
      <c r="X101">
        <v>0</v>
      </c>
      <c r="Y101">
        <v>33</v>
      </c>
      <c r="Z101">
        <v>3136</v>
      </c>
      <c r="AC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M101">
        <v>0</v>
      </c>
      <c r="AR101" t="s">
        <v>1679</v>
      </c>
      <c r="AS101" t="s">
        <v>1680</v>
      </c>
      <c r="AT101">
        <v>2024</v>
      </c>
      <c r="AU101">
        <v>7</v>
      </c>
      <c r="AV101" t="s">
        <v>318</v>
      </c>
      <c r="AX101" t="s">
        <v>1780</v>
      </c>
    </row>
    <row r="102" spans="1:50">
      <c r="A102">
        <v>101</v>
      </c>
      <c r="B102">
        <v>61</v>
      </c>
      <c r="C102" t="s">
        <v>74</v>
      </c>
      <c r="D102" t="s">
        <v>1588</v>
      </c>
      <c r="E102" t="s">
        <v>1589</v>
      </c>
      <c r="F102">
        <v>697</v>
      </c>
      <c r="G102" s="23" t="s">
        <v>783</v>
      </c>
      <c r="H102" s="2" t="s">
        <v>1675</v>
      </c>
      <c r="I102" s="2"/>
      <c r="K102" s="149">
        <v>0</v>
      </c>
      <c r="L102" s="149">
        <v>-168700</v>
      </c>
      <c r="M102" s="149">
        <v>-32053</v>
      </c>
      <c r="N102" s="149">
        <v>-200753</v>
      </c>
      <c r="O102">
        <v>0</v>
      </c>
      <c r="P102">
        <v>0</v>
      </c>
      <c r="Q102">
        <v>0</v>
      </c>
      <c r="R102">
        <v>0</v>
      </c>
      <c r="S102">
        <v>0</v>
      </c>
      <c r="T102" t="s">
        <v>77</v>
      </c>
      <c r="U102">
        <v>0</v>
      </c>
      <c r="V102">
        <v>0</v>
      </c>
      <c r="W102">
        <v>0</v>
      </c>
      <c r="X102">
        <v>0</v>
      </c>
      <c r="Y102">
        <v>33</v>
      </c>
      <c r="Z102">
        <v>3136</v>
      </c>
      <c r="AC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M102">
        <v>0</v>
      </c>
      <c r="AR102" t="s">
        <v>1679</v>
      </c>
      <c r="AS102" t="s">
        <v>1680</v>
      </c>
      <c r="AT102">
        <v>2024</v>
      </c>
      <c r="AU102">
        <v>7</v>
      </c>
      <c r="AV102" t="s">
        <v>318</v>
      </c>
      <c r="AX102" t="s">
        <v>1781</v>
      </c>
    </row>
    <row r="103" spans="1:50">
      <c r="A103">
        <v>102</v>
      </c>
      <c r="B103">
        <v>61</v>
      </c>
      <c r="C103" t="s">
        <v>74</v>
      </c>
      <c r="D103" t="s">
        <v>1579</v>
      </c>
      <c r="E103" t="s">
        <v>1580</v>
      </c>
      <c r="F103">
        <v>698</v>
      </c>
      <c r="G103" s="23" t="s">
        <v>785</v>
      </c>
      <c r="H103" s="2" t="s">
        <v>1676</v>
      </c>
      <c r="K103" s="149">
        <v>0</v>
      </c>
      <c r="L103" s="149">
        <v>-937200</v>
      </c>
      <c r="M103" s="149">
        <v>-178068</v>
      </c>
      <c r="N103" s="149">
        <v>-1115268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77</v>
      </c>
      <c r="U103">
        <v>0</v>
      </c>
      <c r="V103">
        <v>0</v>
      </c>
      <c r="W103">
        <v>0</v>
      </c>
      <c r="X103">
        <v>0</v>
      </c>
      <c r="Y103">
        <v>33</v>
      </c>
      <c r="Z103">
        <v>3180</v>
      </c>
      <c r="AC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M103">
        <v>0</v>
      </c>
      <c r="AR103" t="s">
        <v>1679</v>
      </c>
      <c r="AS103" t="s">
        <v>1680</v>
      </c>
      <c r="AT103">
        <v>2024</v>
      </c>
      <c r="AU103">
        <v>7</v>
      </c>
      <c r="AV103" t="s">
        <v>318</v>
      </c>
      <c r="AX103" t="s">
        <v>1782</v>
      </c>
    </row>
    <row r="104" spans="1:50">
      <c r="A104">
        <v>103</v>
      </c>
      <c r="B104">
        <v>61</v>
      </c>
      <c r="C104" t="s">
        <v>74</v>
      </c>
      <c r="D104" t="s">
        <v>1571</v>
      </c>
      <c r="E104" t="s">
        <v>1572</v>
      </c>
      <c r="F104">
        <v>699</v>
      </c>
      <c r="G104" s="23" t="s">
        <v>785</v>
      </c>
      <c r="H104" s="2" t="s">
        <v>1677</v>
      </c>
      <c r="J104" t="s">
        <v>1640</v>
      </c>
      <c r="K104" s="149">
        <v>0</v>
      </c>
      <c r="L104" s="149">
        <v>-4158195</v>
      </c>
      <c r="M104" s="149">
        <v>-790057</v>
      </c>
      <c r="N104" s="149">
        <v>-4948252</v>
      </c>
      <c r="O104">
        <v>0</v>
      </c>
      <c r="P104">
        <v>0</v>
      </c>
      <c r="Q104">
        <v>0</v>
      </c>
      <c r="R104">
        <v>0</v>
      </c>
      <c r="S104">
        <v>0</v>
      </c>
      <c r="T104" t="s">
        <v>77</v>
      </c>
      <c r="U104">
        <v>0</v>
      </c>
      <c r="V104">
        <v>0</v>
      </c>
      <c r="W104">
        <v>0</v>
      </c>
      <c r="X104">
        <v>0</v>
      </c>
      <c r="Y104">
        <v>33</v>
      </c>
      <c r="Z104">
        <v>3172</v>
      </c>
      <c r="AC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M104">
        <v>0</v>
      </c>
      <c r="AR104" t="s">
        <v>1679</v>
      </c>
      <c r="AS104" t="s">
        <v>1680</v>
      </c>
      <c r="AT104">
        <v>2024</v>
      </c>
      <c r="AU104">
        <v>7</v>
      </c>
      <c r="AV104" t="s">
        <v>318</v>
      </c>
      <c r="AX104" t="s">
        <v>1783</v>
      </c>
    </row>
    <row r="105" spans="1:50">
      <c r="A105">
        <v>104</v>
      </c>
      <c r="B105">
        <v>61</v>
      </c>
      <c r="C105" t="s">
        <v>74</v>
      </c>
      <c r="D105" t="s">
        <v>1571</v>
      </c>
      <c r="E105" t="s">
        <v>1572</v>
      </c>
      <c r="F105">
        <v>700</v>
      </c>
      <c r="G105" s="23" t="s">
        <v>787</v>
      </c>
      <c r="H105" s="2" t="s">
        <v>1678</v>
      </c>
      <c r="K105" s="149">
        <v>0</v>
      </c>
      <c r="L105" s="149">
        <v>-2977115</v>
      </c>
      <c r="M105" s="149">
        <v>-565651</v>
      </c>
      <c r="N105" s="149">
        <v>-3542766</v>
      </c>
      <c r="O105">
        <v>0</v>
      </c>
      <c r="P105">
        <v>0</v>
      </c>
      <c r="Q105">
        <v>0</v>
      </c>
      <c r="R105">
        <v>0</v>
      </c>
      <c r="S105">
        <v>0</v>
      </c>
      <c r="T105" t="s">
        <v>77</v>
      </c>
      <c r="U105">
        <v>0</v>
      </c>
      <c r="V105">
        <v>0</v>
      </c>
      <c r="W105">
        <v>0</v>
      </c>
      <c r="X105">
        <v>0</v>
      </c>
      <c r="Y105">
        <v>33</v>
      </c>
      <c r="Z105">
        <v>3172</v>
      </c>
      <c r="AC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M105">
        <v>0</v>
      </c>
      <c r="AR105" t="s">
        <v>1679</v>
      </c>
      <c r="AS105" t="s">
        <v>1680</v>
      </c>
      <c r="AT105">
        <v>2024</v>
      </c>
      <c r="AU105">
        <v>7</v>
      </c>
      <c r="AV105" t="s">
        <v>318</v>
      </c>
      <c r="AX105" t="s">
        <v>1784</v>
      </c>
    </row>
    <row r="106" spans="1:50">
      <c r="A106">
        <v>1</v>
      </c>
      <c r="B106">
        <v>33</v>
      </c>
      <c r="C106" t="s">
        <v>74</v>
      </c>
      <c r="D106" t="s">
        <v>1785</v>
      </c>
      <c r="E106" t="s">
        <v>1786</v>
      </c>
      <c r="F106">
        <v>3187</v>
      </c>
      <c r="G106" s="23">
        <v>45505</v>
      </c>
      <c r="H106" s="2" t="s">
        <v>1787</v>
      </c>
      <c r="I106" s="2"/>
      <c r="K106" s="149">
        <v>0</v>
      </c>
      <c r="L106" s="149">
        <v>207578</v>
      </c>
      <c r="M106" s="149">
        <v>39441</v>
      </c>
      <c r="N106" s="149">
        <v>247019</v>
      </c>
      <c r="O106">
        <v>0</v>
      </c>
      <c r="P106">
        <v>0</v>
      </c>
      <c r="Q106">
        <v>0</v>
      </c>
      <c r="R106">
        <v>0</v>
      </c>
      <c r="S106">
        <v>0</v>
      </c>
      <c r="T106" t="s">
        <v>77</v>
      </c>
      <c r="U106">
        <v>0</v>
      </c>
      <c r="V106">
        <v>0</v>
      </c>
      <c r="W106">
        <v>0</v>
      </c>
      <c r="X106">
        <v>0</v>
      </c>
      <c r="Y106">
        <v>0</v>
      </c>
      <c r="AC106">
        <v>0</v>
      </c>
      <c r="AE106">
        <v>0</v>
      </c>
      <c r="AF106">
        <v>2</v>
      </c>
      <c r="AG106">
        <v>0</v>
      </c>
      <c r="AH106">
        <v>0</v>
      </c>
      <c r="AI106">
        <v>0</v>
      </c>
      <c r="AM106">
        <v>0</v>
      </c>
      <c r="AR106" t="s">
        <v>1887</v>
      </c>
      <c r="AS106" t="s">
        <v>1680</v>
      </c>
      <c r="AT106">
        <v>2024</v>
      </c>
      <c r="AU106">
        <v>8</v>
      </c>
      <c r="AV106" t="s">
        <v>78</v>
      </c>
      <c r="AX106" t="s">
        <v>1888</v>
      </c>
    </row>
    <row r="107" spans="1:50">
      <c r="A107">
        <v>2</v>
      </c>
      <c r="B107">
        <v>33</v>
      </c>
      <c r="C107" t="s">
        <v>74</v>
      </c>
      <c r="D107" t="s">
        <v>1788</v>
      </c>
      <c r="E107" t="s">
        <v>1789</v>
      </c>
      <c r="F107">
        <v>3188</v>
      </c>
      <c r="G107" s="23">
        <v>45505</v>
      </c>
      <c r="H107" s="2" t="s">
        <v>1790</v>
      </c>
      <c r="I107" s="2">
        <v>45330.414594907408</v>
      </c>
      <c r="K107" s="149">
        <v>0</v>
      </c>
      <c r="L107" s="149">
        <v>141360</v>
      </c>
      <c r="M107" s="149">
        <v>26858</v>
      </c>
      <c r="N107" s="149">
        <v>168218</v>
      </c>
      <c r="O107">
        <v>0</v>
      </c>
      <c r="P107">
        <v>0</v>
      </c>
      <c r="Q107">
        <v>0</v>
      </c>
      <c r="R107">
        <v>0</v>
      </c>
      <c r="S107">
        <v>0</v>
      </c>
      <c r="T107" t="s">
        <v>77</v>
      </c>
      <c r="U107">
        <v>0</v>
      </c>
      <c r="V107">
        <v>0</v>
      </c>
      <c r="W107">
        <v>0</v>
      </c>
      <c r="X107">
        <v>0</v>
      </c>
      <c r="AC107">
        <v>0</v>
      </c>
      <c r="AE107">
        <v>0</v>
      </c>
      <c r="AF107">
        <v>2</v>
      </c>
      <c r="AG107">
        <v>0</v>
      </c>
      <c r="AH107">
        <v>0</v>
      </c>
      <c r="AI107">
        <v>0</v>
      </c>
      <c r="AM107">
        <v>0</v>
      </c>
      <c r="AR107" t="s">
        <v>1887</v>
      </c>
      <c r="AS107" t="s">
        <v>1680</v>
      </c>
      <c r="AT107">
        <v>2024</v>
      </c>
      <c r="AU107">
        <v>8</v>
      </c>
      <c r="AV107" t="s">
        <v>78</v>
      </c>
      <c r="AX107" t="s">
        <v>1889</v>
      </c>
    </row>
    <row r="108" spans="1:50">
      <c r="A108">
        <v>3</v>
      </c>
      <c r="B108">
        <v>33</v>
      </c>
      <c r="C108" t="s">
        <v>74</v>
      </c>
      <c r="D108" t="s">
        <v>1586</v>
      </c>
      <c r="E108" t="s">
        <v>1587</v>
      </c>
      <c r="F108">
        <v>3189</v>
      </c>
      <c r="G108" s="23">
        <v>45505</v>
      </c>
      <c r="H108" s="2" t="s">
        <v>1791</v>
      </c>
      <c r="K108" s="149">
        <v>0</v>
      </c>
      <c r="L108" s="149">
        <v>1131955</v>
      </c>
      <c r="M108" s="149">
        <v>215071</v>
      </c>
      <c r="N108" s="149">
        <v>1347026</v>
      </c>
      <c r="O108">
        <v>0</v>
      </c>
      <c r="P108">
        <v>0</v>
      </c>
      <c r="Q108">
        <v>0</v>
      </c>
      <c r="R108">
        <v>0</v>
      </c>
      <c r="S108">
        <v>0</v>
      </c>
      <c r="T108" t="s">
        <v>77</v>
      </c>
      <c r="U108">
        <v>0</v>
      </c>
      <c r="V108">
        <v>0</v>
      </c>
      <c r="W108">
        <v>0</v>
      </c>
      <c r="X108">
        <v>0</v>
      </c>
      <c r="Y108">
        <v>0</v>
      </c>
      <c r="AC108">
        <v>0</v>
      </c>
      <c r="AE108">
        <v>0</v>
      </c>
      <c r="AF108">
        <v>2</v>
      </c>
      <c r="AG108">
        <v>0</v>
      </c>
      <c r="AH108">
        <v>0</v>
      </c>
      <c r="AI108">
        <v>0</v>
      </c>
      <c r="AM108">
        <v>0</v>
      </c>
      <c r="AR108" t="s">
        <v>1887</v>
      </c>
      <c r="AS108" t="s">
        <v>1680</v>
      </c>
      <c r="AT108">
        <v>2024</v>
      </c>
      <c r="AU108">
        <v>8</v>
      </c>
      <c r="AV108" t="s">
        <v>78</v>
      </c>
      <c r="AX108" t="s">
        <v>1890</v>
      </c>
    </row>
    <row r="109" spans="1:50">
      <c r="A109">
        <v>4</v>
      </c>
      <c r="B109">
        <v>33</v>
      </c>
      <c r="C109" t="s">
        <v>74</v>
      </c>
      <c r="D109" t="s">
        <v>1573</v>
      </c>
      <c r="E109" t="s">
        <v>1574</v>
      </c>
      <c r="F109">
        <v>3190</v>
      </c>
      <c r="G109" s="23">
        <v>45505</v>
      </c>
      <c r="H109" s="2" t="s">
        <v>1792</v>
      </c>
      <c r="K109" s="149">
        <v>0</v>
      </c>
      <c r="L109" s="149">
        <v>226726</v>
      </c>
      <c r="M109" s="149">
        <v>43078</v>
      </c>
      <c r="N109" s="149">
        <v>269804</v>
      </c>
      <c r="O109">
        <v>0</v>
      </c>
      <c r="P109">
        <v>0</v>
      </c>
      <c r="Q109">
        <v>0</v>
      </c>
      <c r="R109">
        <v>0</v>
      </c>
      <c r="S109">
        <v>0</v>
      </c>
      <c r="T109" t="s">
        <v>77</v>
      </c>
      <c r="U109">
        <v>0</v>
      </c>
      <c r="V109">
        <v>0</v>
      </c>
      <c r="W109">
        <v>0</v>
      </c>
      <c r="X109">
        <v>0</v>
      </c>
      <c r="Y109">
        <v>0</v>
      </c>
      <c r="AC109">
        <v>0</v>
      </c>
      <c r="AE109">
        <v>0</v>
      </c>
      <c r="AF109">
        <v>2</v>
      </c>
      <c r="AG109">
        <v>0</v>
      </c>
      <c r="AH109">
        <v>0</v>
      </c>
      <c r="AI109">
        <v>0</v>
      </c>
      <c r="AM109">
        <v>0</v>
      </c>
      <c r="AR109" t="s">
        <v>1887</v>
      </c>
      <c r="AS109" t="s">
        <v>1680</v>
      </c>
      <c r="AT109">
        <v>2024</v>
      </c>
      <c r="AU109">
        <v>8</v>
      </c>
      <c r="AV109" t="s">
        <v>78</v>
      </c>
      <c r="AX109" t="s">
        <v>1891</v>
      </c>
    </row>
    <row r="110" spans="1:50">
      <c r="A110">
        <v>5</v>
      </c>
      <c r="B110">
        <v>33</v>
      </c>
      <c r="C110" t="s">
        <v>74</v>
      </c>
      <c r="D110" t="s">
        <v>1222</v>
      </c>
      <c r="E110" t="s">
        <v>1223</v>
      </c>
      <c r="F110">
        <v>3192</v>
      </c>
      <c r="G110" s="23">
        <v>45506</v>
      </c>
      <c r="H110" s="2" t="s">
        <v>1793</v>
      </c>
      <c r="I110" s="2">
        <v>45481.642905092594</v>
      </c>
      <c r="K110" s="149">
        <v>0</v>
      </c>
      <c r="L110" s="149">
        <v>2220760</v>
      </c>
      <c r="M110" s="149">
        <v>421944</v>
      </c>
      <c r="N110" s="149">
        <v>2642704</v>
      </c>
      <c r="O110">
        <v>0</v>
      </c>
      <c r="P110">
        <v>0</v>
      </c>
      <c r="Q110">
        <v>0</v>
      </c>
      <c r="R110">
        <v>0</v>
      </c>
      <c r="S110">
        <v>0</v>
      </c>
      <c r="T110" t="s">
        <v>77</v>
      </c>
      <c r="U110">
        <v>0</v>
      </c>
      <c r="V110">
        <v>0</v>
      </c>
      <c r="W110">
        <v>0</v>
      </c>
      <c r="X110">
        <v>0</v>
      </c>
      <c r="AC110">
        <v>0</v>
      </c>
      <c r="AE110">
        <v>0</v>
      </c>
      <c r="AF110">
        <v>2</v>
      </c>
      <c r="AG110">
        <v>0</v>
      </c>
      <c r="AH110">
        <v>0</v>
      </c>
      <c r="AI110">
        <v>0</v>
      </c>
      <c r="AM110">
        <v>0</v>
      </c>
      <c r="AR110" t="s">
        <v>1887</v>
      </c>
      <c r="AS110" t="s">
        <v>1680</v>
      </c>
      <c r="AT110">
        <v>2024</v>
      </c>
      <c r="AU110">
        <v>8</v>
      </c>
      <c r="AV110" t="s">
        <v>78</v>
      </c>
      <c r="AX110" t="s">
        <v>1892</v>
      </c>
    </row>
    <row r="111" spans="1:50">
      <c r="A111">
        <v>6</v>
      </c>
      <c r="B111">
        <v>33</v>
      </c>
      <c r="C111" t="s">
        <v>74</v>
      </c>
      <c r="D111" t="s">
        <v>1561</v>
      </c>
      <c r="E111" t="s">
        <v>1562</v>
      </c>
      <c r="F111">
        <v>3193</v>
      </c>
      <c r="G111" s="23">
        <v>45506</v>
      </c>
      <c r="H111" s="2" t="s">
        <v>1794</v>
      </c>
      <c r="K111" s="149">
        <v>0</v>
      </c>
      <c r="L111" s="149">
        <v>14986500</v>
      </c>
      <c r="M111" s="149">
        <v>2847435</v>
      </c>
      <c r="N111" s="149">
        <v>17833935</v>
      </c>
      <c r="O111">
        <v>0</v>
      </c>
      <c r="P111">
        <v>0</v>
      </c>
      <c r="Q111">
        <v>0</v>
      </c>
      <c r="R111">
        <v>0</v>
      </c>
      <c r="S111">
        <v>0</v>
      </c>
      <c r="T111" t="s">
        <v>77</v>
      </c>
      <c r="U111">
        <v>0</v>
      </c>
      <c r="V111">
        <v>0</v>
      </c>
      <c r="W111">
        <v>0</v>
      </c>
      <c r="X111">
        <v>0</v>
      </c>
      <c r="Y111">
        <v>0</v>
      </c>
      <c r="AC111">
        <v>0</v>
      </c>
      <c r="AE111">
        <v>0</v>
      </c>
      <c r="AF111">
        <v>2</v>
      </c>
      <c r="AG111">
        <v>0</v>
      </c>
      <c r="AH111">
        <v>0</v>
      </c>
      <c r="AI111">
        <v>0</v>
      </c>
      <c r="AM111">
        <v>0</v>
      </c>
      <c r="AR111" t="s">
        <v>1887</v>
      </c>
      <c r="AS111" t="s">
        <v>1680</v>
      </c>
      <c r="AT111">
        <v>2024</v>
      </c>
      <c r="AU111">
        <v>8</v>
      </c>
      <c r="AV111" t="s">
        <v>78</v>
      </c>
      <c r="AX111" t="s">
        <v>1893</v>
      </c>
    </row>
    <row r="112" spans="1:50">
      <c r="A112">
        <v>7</v>
      </c>
      <c r="B112">
        <v>33</v>
      </c>
      <c r="C112" t="s">
        <v>74</v>
      </c>
      <c r="D112" t="s">
        <v>1577</v>
      </c>
      <c r="E112" t="s">
        <v>1578</v>
      </c>
      <c r="F112">
        <v>3194</v>
      </c>
      <c r="G112" s="23">
        <v>45509</v>
      </c>
      <c r="H112" s="2">
        <v>45299.710069444445</v>
      </c>
      <c r="I112" s="2"/>
      <c r="K112" s="149">
        <v>0</v>
      </c>
      <c r="L112" s="149">
        <v>190090</v>
      </c>
      <c r="M112" s="149">
        <v>36118</v>
      </c>
      <c r="N112" s="149">
        <v>226208</v>
      </c>
      <c r="O112">
        <v>0</v>
      </c>
      <c r="P112">
        <v>0</v>
      </c>
      <c r="Q112">
        <v>0</v>
      </c>
      <c r="R112">
        <v>0</v>
      </c>
      <c r="S112">
        <v>0</v>
      </c>
      <c r="T112" t="s">
        <v>77</v>
      </c>
      <c r="U112">
        <v>0</v>
      </c>
      <c r="V112">
        <v>0</v>
      </c>
      <c r="W112">
        <v>0</v>
      </c>
      <c r="X112">
        <v>0</v>
      </c>
      <c r="Y112">
        <v>0</v>
      </c>
      <c r="AC112">
        <v>0</v>
      </c>
      <c r="AE112">
        <v>0</v>
      </c>
      <c r="AF112">
        <v>2</v>
      </c>
      <c r="AG112">
        <v>0</v>
      </c>
      <c r="AH112">
        <v>0</v>
      </c>
      <c r="AI112">
        <v>0</v>
      </c>
      <c r="AM112">
        <v>0</v>
      </c>
      <c r="AR112" t="s">
        <v>1887</v>
      </c>
      <c r="AS112" t="s">
        <v>1680</v>
      </c>
      <c r="AT112">
        <v>2024</v>
      </c>
      <c r="AU112">
        <v>8</v>
      </c>
      <c r="AV112" t="s">
        <v>78</v>
      </c>
      <c r="AX112" t="s">
        <v>1894</v>
      </c>
    </row>
    <row r="113" spans="1:50">
      <c r="A113">
        <v>8</v>
      </c>
      <c r="B113">
        <v>33</v>
      </c>
      <c r="C113" t="s">
        <v>74</v>
      </c>
      <c r="D113" t="s">
        <v>1555</v>
      </c>
      <c r="E113" t="s">
        <v>1556</v>
      </c>
      <c r="F113">
        <v>3195</v>
      </c>
      <c r="G113" s="23">
        <v>45509</v>
      </c>
      <c r="H113" s="2">
        <v>45299.74</v>
      </c>
      <c r="I113" s="2">
        <v>45420.797673611109</v>
      </c>
      <c r="K113" s="149">
        <v>0</v>
      </c>
      <c r="L113" s="149">
        <v>2745640</v>
      </c>
      <c r="M113" s="149">
        <v>521672</v>
      </c>
      <c r="N113" s="149">
        <v>3267312</v>
      </c>
      <c r="O113">
        <v>0</v>
      </c>
      <c r="P113">
        <v>0</v>
      </c>
      <c r="Q113">
        <v>0</v>
      </c>
      <c r="R113">
        <v>0</v>
      </c>
      <c r="S113">
        <v>0</v>
      </c>
      <c r="T113" t="s">
        <v>77</v>
      </c>
      <c r="U113">
        <v>0</v>
      </c>
      <c r="V113">
        <v>0</v>
      </c>
      <c r="W113">
        <v>0</v>
      </c>
      <c r="X113">
        <v>0</v>
      </c>
      <c r="AC113">
        <v>0</v>
      </c>
      <c r="AE113">
        <v>0</v>
      </c>
      <c r="AF113">
        <v>2</v>
      </c>
      <c r="AG113">
        <v>0</v>
      </c>
      <c r="AH113">
        <v>0</v>
      </c>
      <c r="AI113">
        <v>0</v>
      </c>
      <c r="AM113">
        <v>0</v>
      </c>
      <c r="AR113" t="s">
        <v>1887</v>
      </c>
      <c r="AS113" t="s">
        <v>1680</v>
      </c>
      <c r="AT113">
        <v>2024</v>
      </c>
      <c r="AU113">
        <v>8</v>
      </c>
      <c r="AV113" t="s">
        <v>78</v>
      </c>
      <c r="AX113" t="s">
        <v>1895</v>
      </c>
    </row>
    <row r="114" spans="1:50">
      <c r="A114">
        <v>9</v>
      </c>
      <c r="B114">
        <v>33</v>
      </c>
      <c r="C114" t="s">
        <v>74</v>
      </c>
      <c r="D114" t="s">
        <v>1564</v>
      </c>
      <c r="E114" t="s">
        <v>1565</v>
      </c>
      <c r="F114">
        <v>3196</v>
      </c>
      <c r="G114" s="23">
        <v>45509</v>
      </c>
      <c r="H114" s="2">
        <v>45330.412222222221</v>
      </c>
      <c r="K114" s="149">
        <v>0</v>
      </c>
      <c r="L114" s="149">
        <v>520652</v>
      </c>
      <c r="M114" s="149">
        <v>98925</v>
      </c>
      <c r="N114" s="149">
        <v>619577</v>
      </c>
      <c r="O114">
        <v>0</v>
      </c>
      <c r="P114">
        <v>0</v>
      </c>
      <c r="Q114">
        <v>0</v>
      </c>
      <c r="R114">
        <v>0</v>
      </c>
      <c r="S114">
        <v>0</v>
      </c>
      <c r="T114" t="s">
        <v>77</v>
      </c>
      <c r="U114">
        <v>0</v>
      </c>
      <c r="V114">
        <v>0</v>
      </c>
      <c r="W114">
        <v>0</v>
      </c>
      <c r="X114">
        <v>0</v>
      </c>
      <c r="Y114">
        <v>0</v>
      </c>
      <c r="AC114">
        <v>0</v>
      </c>
      <c r="AE114">
        <v>0</v>
      </c>
      <c r="AF114">
        <v>2</v>
      </c>
      <c r="AG114">
        <v>0</v>
      </c>
      <c r="AH114">
        <v>0</v>
      </c>
      <c r="AI114">
        <v>0</v>
      </c>
      <c r="AM114">
        <v>0</v>
      </c>
      <c r="AR114" t="s">
        <v>1887</v>
      </c>
      <c r="AS114" t="s">
        <v>1680</v>
      </c>
      <c r="AT114">
        <v>2024</v>
      </c>
      <c r="AU114">
        <v>8</v>
      </c>
      <c r="AV114" t="s">
        <v>78</v>
      </c>
      <c r="AX114" t="s">
        <v>1896</v>
      </c>
    </row>
    <row r="115" spans="1:50">
      <c r="A115">
        <v>10</v>
      </c>
      <c r="B115">
        <v>33</v>
      </c>
      <c r="C115" t="s">
        <v>74</v>
      </c>
      <c r="D115" t="s">
        <v>1222</v>
      </c>
      <c r="E115" t="s">
        <v>1223</v>
      </c>
      <c r="F115">
        <v>3197</v>
      </c>
      <c r="G115" s="23">
        <v>45511</v>
      </c>
      <c r="H115" s="2">
        <v>45330.448449074072</v>
      </c>
      <c r="I115" s="2">
        <v>45543.431608796294</v>
      </c>
      <c r="K115" s="149">
        <v>0</v>
      </c>
      <c r="L115" s="149">
        <v>13799000</v>
      </c>
      <c r="M115" s="149">
        <v>2621810</v>
      </c>
      <c r="N115" s="149">
        <v>16420810</v>
      </c>
      <c r="O115">
        <v>0</v>
      </c>
      <c r="P115">
        <v>0</v>
      </c>
      <c r="Q115">
        <v>0</v>
      </c>
      <c r="R115">
        <v>0</v>
      </c>
      <c r="S115">
        <v>0</v>
      </c>
      <c r="T115" t="s">
        <v>77</v>
      </c>
      <c r="U115">
        <v>0</v>
      </c>
      <c r="V115">
        <v>0</v>
      </c>
      <c r="W115">
        <v>0</v>
      </c>
      <c r="X115">
        <v>0</v>
      </c>
      <c r="AC115">
        <v>0</v>
      </c>
      <c r="AE115">
        <v>0</v>
      </c>
      <c r="AF115">
        <v>2</v>
      </c>
      <c r="AG115">
        <v>0</v>
      </c>
      <c r="AH115">
        <v>0</v>
      </c>
      <c r="AI115">
        <v>0</v>
      </c>
      <c r="AM115">
        <v>0</v>
      </c>
      <c r="AR115" t="s">
        <v>1887</v>
      </c>
      <c r="AS115" t="s">
        <v>1680</v>
      </c>
      <c r="AT115">
        <v>2024</v>
      </c>
      <c r="AU115">
        <v>8</v>
      </c>
      <c r="AV115" t="s">
        <v>78</v>
      </c>
      <c r="AX115" t="s">
        <v>1897</v>
      </c>
    </row>
    <row r="116" spans="1:50">
      <c r="A116">
        <v>11</v>
      </c>
      <c r="B116">
        <v>33</v>
      </c>
      <c r="C116" t="s">
        <v>74</v>
      </c>
      <c r="D116" t="s">
        <v>1581</v>
      </c>
      <c r="E116" t="s">
        <v>1582</v>
      </c>
      <c r="F116">
        <v>3198</v>
      </c>
      <c r="G116" s="23">
        <v>45510</v>
      </c>
      <c r="H116" s="2">
        <v>45330.524004629631</v>
      </c>
      <c r="I116" s="2">
        <v>45481.496921296297</v>
      </c>
      <c r="J116" s="2"/>
      <c r="K116" s="149">
        <v>0</v>
      </c>
      <c r="L116" s="149">
        <v>1180495</v>
      </c>
      <c r="M116" s="149">
        <v>224295</v>
      </c>
      <c r="N116" s="149">
        <v>1404790</v>
      </c>
      <c r="O116">
        <v>0</v>
      </c>
      <c r="P116">
        <v>0</v>
      </c>
      <c r="Q116">
        <v>0</v>
      </c>
      <c r="R116">
        <v>0</v>
      </c>
      <c r="S116">
        <v>0</v>
      </c>
      <c r="T116" t="s">
        <v>77</v>
      </c>
      <c r="U116">
        <v>0</v>
      </c>
      <c r="V116">
        <v>0</v>
      </c>
      <c r="W116">
        <v>0</v>
      </c>
      <c r="X116">
        <v>0</v>
      </c>
      <c r="Y116">
        <v>0</v>
      </c>
      <c r="AC116">
        <v>0</v>
      </c>
      <c r="AE116">
        <v>0</v>
      </c>
      <c r="AF116">
        <v>2</v>
      </c>
      <c r="AG116">
        <v>0</v>
      </c>
      <c r="AH116">
        <v>0</v>
      </c>
      <c r="AI116">
        <v>0</v>
      </c>
      <c r="AM116">
        <v>0</v>
      </c>
      <c r="AR116" t="s">
        <v>1887</v>
      </c>
      <c r="AS116" t="s">
        <v>1680</v>
      </c>
      <c r="AT116">
        <v>2024</v>
      </c>
      <c r="AU116">
        <v>8</v>
      </c>
      <c r="AV116" t="s">
        <v>78</v>
      </c>
      <c r="AX116" t="s">
        <v>1898</v>
      </c>
    </row>
    <row r="117" spans="1:50">
      <c r="A117">
        <v>12</v>
      </c>
      <c r="B117">
        <v>33</v>
      </c>
      <c r="C117" t="s">
        <v>74</v>
      </c>
      <c r="D117" t="s">
        <v>1600</v>
      </c>
      <c r="E117" t="s">
        <v>1601</v>
      </c>
      <c r="F117">
        <v>3199</v>
      </c>
      <c r="G117" s="23">
        <v>45509</v>
      </c>
      <c r="H117" s="2">
        <v>45359.473240740743</v>
      </c>
      <c r="J117" s="2"/>
      <c r="K117" s="149">
        <v>0</v>
      </c>
      <c r="L117" s="149">
        <v>128344</v>
      </c>
      <c r="M117" s="149">
        <v>24385</v>
      </c>
      <c r="N117" s="149">
        <v>152729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77</v>
      </c>
      <c r="U117">
        <v>0</v>
      </c>
      <c r="V117">
        <v>0</v>
      </c>
      <c r="W117">
        <v>0</v>
      </c>
      <c r="X117">
        <v>0</v>
      </c>
      <c r="Y117">
        <v>0</v>
      </c>
      <c r="AC117">
        <v>0</v>
      </c>
      <c r="AE117">
        <v>0</v>
      </c>
      <c r="AF117">
        <v>2</v>
      </c>
      <c r="AG117">
        <v>0</v>
      </c>
      <c r="AH117">
        <v>0</v>
      </c>
      <c r="AI117">
        <v>0</v>
      </c>
      <c r="AM117">
        <v>0</v>
      </c>
      <c r="AR117" t="s">
        <v>1887</v>
      </c>
      <c r="AS117" t="s">
        <v>1680</v>
      </c>
      <c r="AT117">
        <v>2024</v>
      </c>
      <c r="AU117">
        <v>8</v>
      </c>
      <c r="AV117" t="s">
        <v>78</v>
      </c>
      <c r="AX117" t="s">
        <v>1899</v>
      </c>
    </row>
    <row r="118" spans="1:50">
      <c r="A118">
        <v>13</v>
      </c>
      <c r="B118">
        <v>33</v>
      </c>
      <c r="C118" t="s">
        <v>74</v>
      </c>
      <c r="D118" t="s">
        <v>1353</v>
      </c>
      <c r="E118" t="s">
        <v>1354</v>
      </c>
      <c r="F118">
        <v>3200</v>
      </c>
      <c r="G118" s="23">
        <v>45510</v>
      </c>
      <c r="H118" s="2">
        <v>45420.413344907407</v>
      </c>
      <c r="I118" s="2">
        <v>45481.512071759258</v>
      </c>
      <c r="K118" s="149">
        <v>0</v>
      </c>
      <c r="L118" s="149">
        <v>2003804</v>
      </c>
      <c r="M118" s="149">
        <v>380723</v>
      </c>
      <c r="N118" s="149">
        <v>2384527</v>
      </c>
      <c r="O118">
        <v>0</v>
      </c>
      <c r="P118">
        <v>0</v>
      </c>
      <c r="Q118">
        <v>0</v>
      </c>
      <c r="R118">
        <v>0</v>
      </c>
      <c r="S118">
        <v>0</v>
      </c>
      <c r="T118" t="s">
        <v>77</v>
      </c>
      <c r="U118">
        <v>0</v>
      </c>
      <c r="V118">
        <v>0</v>
      </c>
      <c r="W118">
        <v>0</v>
      </c>
      <c r="X118">
        <v>0</v>
      </c>
      <c r="Y118">
        <v>0</v>
      </c>
      <c r="AC118">
        <v>0</v>
      </c>
      <c r="AE118">
        <v>0</v>
      </c>
      <c r="AF118">
        <v>2</v>
      </c>
      <c r="AG118">
        <v>0</v>
      </c>
      <c r="AH118">
        <v>0</v>
      </c>
      <c r="AI118">
        <v>0</v>
      </c>
      <c r="AM118">
        <v>0</v>
      </c>
      <c r="AR118" t="s">
        <v>1887</v>
      </c>
      <c r="AS118" t="s">
        <v>1680</v>
      </c>
      <c r="AT118">
        <v>2024</v>
      </c>
      <c r="AU118">
        <v>8</v>
      </c>
      <c r="AV118" t="s">
        <v>78</v>
      </c>
      <c r="AX118" t="s">
        <v>1900</v>
      </c>
    </row>
    <row r="119" spans="1:50">
      <c r="A119">
        <v>14</v>
      </c>
      <c r="B119">
        <v>33</v>
      </c>
      <c r="C119" t="s">
        <v>74</v>
      </c>
      <c r="D119" t="s">
        <v>1600</v>
      </c>
      <c r="E119" t="s">
        <v>1601</v>
      </c>
      <c r="F119">
        <v>3201</v>
      </c>
      <c r="G119" s="23">
        <v>45510</v>
      </c>
      <c r="H119" s="2">
        <v>45420.488668981481</v>
      </c>
      <c r="K119" s="149">
        <v>0</v>
      </c>
      <c r="L119" s="149">
        <v>13552</v>
      </c>
      <c r="M119" s="149">
        <v>2575</v>
      </c>
      <c r="N119" s="149">
        <v>16127</v>
      </c>
      <c r="O119">
        <v>0</v>
      </c>
      <c r="P119">
        <v>0</v>
      </c>
      <c r="Q119">
        <v>0</v>
      </c>
      <c r="R119">
        <v>0</v>
      </c>
      <c r="S119">
        <v>0</v>
      </c>
      <c r="T119" t="s">
        <v>77</v>
      </c>
      <c r="U119">
        <v>0</v>
      </c>
      <c r="V119">
        <v>0</v>
      </c>
      <c r="W119">
        <v>0</v>
      </c>
      <c r="X119">
        <v>0</v>
      </c>
      <c r="Y119">
        <v>0</v>
      </c>
      <c r="AC119">
        <v>0</v>
      </c>
      <c r="AE119">
        <v>0</v>
      </c>
      <c r="AF119">
        <v>2</v>
      </c>
      <c r="AG119">
        <v>0</v>
      </c>
      <c r="AH119">
        <v>0</v>
      </c>
      <c r="AI119">
        <v>0</v>
      </c>
      <c r="AM119">
        <v>0</v>
      </c>
      <c r="AR119" t="s">
        <v>1887</v>
      </c>
      <c r="AS119" t="s">
        <v>1680</v>
      </c>
      <c r="AT119">
        <v>2024</v>
      </c>
      <c r="AU119">
        <v>8</v>
      </c>
      <c r="AV119" t="s">
        <v>78</v>
      </c>
      <c r="AX119" t="s">
        <v>1901</v>
      </c>
    </row>
    <row r="120" spans="1:50">
      <c r="A120">
        <v>15</v>
      </c>
      <c r="B120">
        <v>33</v>
      </c>
      <c r="C120" t="s">
        <v>74</v>
      </c>
      <c r="D120" t="s">
        <v>1590</v>
      </c>
      <c r="E120" t="s">
        <v>1591</v>
      </c>
      <c r="F120">
        <v>3202</v>
      </c>
      <c r="G120" s="23">
        <v>45510</v>
      </c>
      <c r="H120" s="2">
        <v>45420.495856481481</v>
      </c>
      <c r="K120" s="149">
        <v>0</v>
      </c>
      <c r="L120" s="149">
        <v>254383</v>
      </c>
      <c r="M120" s="149">
        <v>48332</v>
      </c>
      <c r="N120" s="149">
        <v>302715</v>
      </c>
      <c r="O120">
        <v>0</v>
      </c>
      <c r="P120">
        <v>0</v>
      </c>
      <c r="Q120">
        <v>0</v>
      </c>
      <c r="R120">
        <v>0</v>
      </c>
      <c r="S120">
        <v>0</v>
      </c>
      <c r="T120" t="s">
        <v>77</v>
      </c>
      <c r="U120">
        <v>0</v>
      </c>
      <c r="V120">
        <v>0</v>
      </c>
      <c r="W120">
        <v>0</v>
      </c>
      <c r="X120">
        <v>0</v>
      </c>
      <c r="Y120">
        <v>0</v>
      </c>
      <c r="AC120">
        <v>0</v>
      </c>
      <c r="AE120">
        <v>0</v>
      </c>
      <c r="AF120">
        <v>2</v>
      </c>
      <c r="AG120">
        <v>0</v>
      </c>
      <c r="AH120">
        <v>0</v>
      </c>
      <c r="AI120">
        <v>0</v>
      </c>
      <c r="AM120">
        <v>0</v>
      </c>
      <c r="AR120" t="s">
        <v>1887</v>
      </c>
      <c r="AS120" t="s">
        <v>1680</v>
      </c>
      <c r="AT120">
        <v>2024</v>
      </c>
      <c r="AU120">
        <v>8</v>
      </c>
      <c r="AV120" t="s">
        <v>78</v>
      </c>
      <c r="AX120" t="s">
        <v>1902</v>
      </c>
    </row>
    <row r="121" spans="1:50">
      <c r="A121">
        <v>16</v>
      </c>
      <c r="B121">
        <v>33</v>
      </c>
      <c r="C121" t="s">
        <v>74</v>
      </c>
      <c r="D121" t="s">
        <v>1571</v>
      </c>
      <c r="E121" t="s">
        <v>1572</v>
      </c>
      <c r="F121">
        <v>3203</v>
      </c>
      <c r="G121" s="23">
        <v>45511</v>
      </c>
      <c r="H121" s="2">
        <v>45420.685428240744</v>
      </c>
      <c r="I121" s="2">
        <v>45512.501122685186</v>
      </c>
      <c r="K121" s="149">
        <v>0</v>
      </c>
      <c r="L121" s="149">
        <v>11160640</v>
      </c>
      <c r="M121" s="149">
        <v>2120521</v>
      </c>
      <c r="N121" s="149">
        <v>13281161</v>
      </c>
      <c r="O121">
        <v>0</v>
      </c>
      <c r="P121">
        <v>0</v>
      </c>
      <c r="Q121">
        <v>0</v>
      </c>
      <c r="R121">
        <v>0</v>
      </c>
      <c r="S121">
        <v>0</v>
      </c>
      <c r="T121" t="s">
        <v>77</v>
      </c>
      <c r="U121">
        <v>0</v>
      </c>
      <c r="V121">
        <v>0</v>
      </c>
      <c r="W121">
        <v>0</v>
      </c>
      <c r="X121">
        <v>0</v>
      </c>
      <c r="AC121">
        <v>0</v>
      </c>
      <c r="AE121">
        <v>0</v>
      </c>
      <c r="AF121">
        <v>2</v>
      </c>
      <c r="AG121">
        <v>0</v>
      </c>
      <c r="AH121">
        <v>0</v>
      </c>
      <c r="AI121">
        <v>0</v>
      </c>
      <c r="AM121">
        <v>0</v>
      </c>
      <c r="AR121" t="s">
        <v>1887</v>
      </c>
      <c r="AS121" t="s">
        <v>1680</v>
      </c>
      <c r="AT121">
        <v>2024</v>
      </c>
      <c r="AU121">
        <v>8</v>
      </c>
      <c r="AV121" t="s">
        <v>78</v>
      </c>
      <c r="AX121" t="s">
        <v>1903</v>
      </c>
    </row>
    <row r="122" spans="1:50">
      <c r="A122">
        <v>17</v>
      </c>
      <c r="B122">
        <v>33</v>
      </c>
      <c r="C122" t="s">
        <v>74</v>
      </c>
      <c r="D122" t="s">
        <v>1222</v>
      </c>
      <c r="E122" t="s">
        <v>1223</v>
      </c>
      <c r="F122">
        <v>3204</v>
      </c>
      <c r="G122" s="23">
        <v>45511</v>
      </c>
      <c r="H122" s="2">
        <v>45420.720347222225</v>
      </c>
      <c r="I122" s="2">
        <v>45543.431608796294</v>
      </c>
      <c r="K122" s="149">
        <v>0</v>
      </c>
      <c r="L122" s="149">
        <v>4548210</v>
      </c>
      <c r="M122" s="149">
        <v>864160</v>
      </c>
      <c r="N122" s="149">
        <v>5412370</v>
      </c>
      <c r="O122">
        <v>0</v>
      </c>
      <c r="P122">
        <v>0</v>
      </c>
      <c r="Q122">
        <v>0</v>
      </c>
      <c r="R122">
        <v>0</v>
      </c>
      <c r="S122">
        <v>0</v>
      </c>
      <c r="T122" t="s">
        <v>77</v>
      </c>
      <c r="U122">
        <v>0</v>
      </c>
      <c r="V122">
        <v>0</v>
      </c>
      <c r="W122">
        <v>0</v>
      </c>
      <c r="X122">
        <v>0</v>
      </c>
      <c r="AC122">
        <v>0</v>
      </c>
      <c r="AE122">
        <v>0</v>
      </c>
      <c r="AF122">
        <v>2</v>
      </c>
      <c r="AG122">
        <v>0</v>
      </c>
      <c r="AH122">
        <v>0</v>
      </c>
      <c r="AI122">
        <v>0</v>
      </c>
      <c r="AM122">
        <v>0</v>
      </c>
      <c r="AR122" t="s">
        <v>1887</v>
      </c>
      <c r="AS122" t="s">
        <v>1680</v>
      </c>
      <c r="AT122">
        <v>2024</v>
      </c>
      <c r="AU122">
        <v>8</v>
      </c>
      <c r="AV122" t="s">
        <v>78</v>
      </c>
      <c r="AX122" t="s">
        <v>1904</v>
      </c>
    </row>
    <row r="123" spans="1:50">
      <c r="A123">
        <v>18</v>
      </c>
      <c r="B123">
        <v>33</v>
      </c>
      <c r="C123" t="s">
        <v>74</v>
      </c>
      <c r="D123" t="s">
        <v>1558</v>
      </c>
      <c r="E123" t="s">
        <v>1559</v>
      </c>
      <c r="F123">
        <v>3205</v>
      </c>
      <c r="G123" s="23">
        <v>45512</v>
      </c>
      <c r="H123" s="2">
        <v>45481.412708333337</v>
      </c>
      <c r="I123" s="2">
        <v>45634.610671296294</v>
      </c>
      <c r="K123" s="149">
        <v>0</v>
      </c>
      <c r="L123" s="149">
        <v>170400</v>
      </c>
      <c r="M123" s="149">
        <v>32376</v>
      </c>
      <c r="N123" s="149">
        <v>202776</v>
      </c>
      <c r="O123">
        <v>0</v>
      </c>
      <c r="P123">
        <v>0</v>
      </c>
      <c r="Q123">
        <v>0</v>
      </c>
      <c r="R123">
        <v>0</v>
      </c>
      <c r="S123">
        <v>0</v>
      </c>
      <c r="T123" t="s">
        <v>77</v>
      </c>
      <c r="U123">
        <v>0</v>
      </c>
      <c r="V123">
        <v>0</v>
      </c>
      <c r="W123">
        <v>0</v>
      </c>
      <c r="X123">
        <v>0</v>
      </c>
      <c r="Y123">
        <v>0</v>
      </c>
      <c r="AC123">
        <v>0</v>
      </c>
      <c r="AE123">
        <v>0</v>
      </c>
      <c r="AF123">
        <v>2</v>
      </c>
      <c r="AG123">
        <v>0</v>
      </c>
      <c r="AH123">
        <v>0</v>
      </c>
      <c r="AI123">
        <v>0</v>
      </c>
      <c r="AM123">
        <v>0</v>
      </c>
      <c r="AR123" t="s">
        <v>1887</v>
      </c>
      <c r="AS123" t="s">
        <v>1680</v>
      </c>
      <c r="AT123">
        <v>2024</v>
      </c>
      <c r="AU123">
        <v>8</v>
      </c>
      <c r="AV123" t="s">
        <v>78</v>
      </c>
      <c r="AX123" t="s">
        <v>1905</v>
      </c>
    </row>
    <row r="124" spans="1:50">
      <c r="A124">
        <v>19</v>
      </c>
      <c r="B124">
        <v>33</v>
      </c>
      <c r="C124" t="s">
        <v>74</v>
      </c>
      <c r="D124" t="s">
        <v>1597</v>
      </c>
      <c r="E124" t="s">
        <v>1598</v>
      </c>
      <c r="F124">
        <v>3206</v>
      </c>
      <c r="G124" s="23">
        <v>45512</v>
      </c>
      <c r="H124" s="2">
        <v>45481.423773148148</v>
      </c>
      <c r="I124" s="2">
        <v>45512.439409722225</v>
      </c>
      <c r="K124" s="149">
        <v>0</v>
      </c>
      <c r="L124" s="149">
        <v>179096</v>
      </c>
      <c r="M124" s="149">
        <v>34030</v>
      </c>
      <c r="N124" s="149">
        <v>213126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77</v>
      </c>
      <c r="U124">
        <v>0</v>
      </c>
      <c r="V124">
        <v>0</v>
      </c>
      <c r="W124">
        <v>0</v>
      </c>
      <c r="X124">
        <v>0</v>
      </c>
      <c r="Y124">
        <v>0</v>
      </c>
      <c r="AC124">
        <v>0</v>
      </c>
      <c r="AE124">
        <v>0</v>
      </c>
      <c r="AF124">
        <v>2</v>
      </c>
      <c r="AG124">
        <v>0</v>
      </c>
      <c r="AH124">
        <v>0</v>
      </c>
      <c r="AI124">
        <v>0</v>
      </c>
      <c r="AM124">
        <v>0</v>
      </c>
      <c r="AR124" t="s">
        <v>1887</v>
      </c>
      <c r="AS124" t="s">
        <v>1680</v>
      </c>
      <c r="AT124">
        <v>2024</v>
      </c>
      <c r="AU124">
        <v>8</v>
      </c>
      <c r="AV124" t="s">
        <v>78</v>
      </c>
      <c r="AX124" t="s">
        <v>1906</v>
      </c>
    </row>
    <row r="125" spans="1:50">
      <c r="A125">
        <v>20</v>
      </c>
      <c r="B125">
        <v>33</v>
      </c>
      <c r="C125" t="s">
        <v>74</v>
      </c>
      <c r="D125" t="s">
        <v>1573</v>
      </c>
      <c r="E125" t="s">
        <v>1574</v>
      </c>
      <c r="F125">
        <v>3207</v>
      </c>
      <c r="G125" s="23">
        <v>45512</v>
      </c>
      <c r="H125" s="2">
        <v>45481.475057870368</v>
      </c>
      <c r="I125" s="2"/>
      <c r="K125" s="149">
        <v>0</v>
      </c>
      <c r="L125" s="149">
        <v>214949</v>
      </c>
      <c r="M125" s="149">
        <v>40841</v>
      </c>
      <c r="N125" s="149">
        <v>255790</v>
      </c>
      <c r="O125">
        <v>0</v>
      </c>
      <c r="P125">
        <v>0</v>
      </c>
      <c r="Q125">
        <v>0</v>
      </c>
      <c r="R125">
        <v>0</v>
      </c>
      <c r="S125">
        <v>0</v>
      </c>
      <c r="T125" t="s">
        <v>77</v>
      </c>
      <c r="U125">
        <v>0</v>
      </c>
      <c r="V125">
        <v>0</v>
      </c>
      <c r="W125">
        <v>0</v>
      </c>
      <c r="X125">
        <v>0</v>
      </c>
      <c r="Y125">
        <v>0</v>
      </c>
      <c r="AC125">
        <v>0</v>
      </c>
      <c r="AE125">
        <v>0</v>
      </c>
      <c r="AF125">
        <v>2</v>
      </c>
      <c r="AG125">
        <v>0</v>
      </c>
      <c r="AH125">
        <v>0</v>
      </c>
      <c r="AI125">
        <v>0</v>
      </c>
      <c r="AM125">
        <v>0</v>
      </c>
      <c r="AR125" t="s">
        <v>1887</v>
      </c>
      <c r="AS125" t="s">
        <v>1680</v>
      </c>
      <c r="AT125">
        <v>2024</v>
      </c>
      <c r="AU125">
        <v>8</v>
      </c>
      <c r="AV125" t="s">
        <v>78</v>
      </c>
      <c r="AX125" t="s">
        <v>1907</v>
      </c>
    </row>
    <row r="126" spans="1:50">
      <c r="A126">
        <v>21</v>
      </c>
      <c r="B126">
        <v>33</v>
      </c>
      <c r="C126" t="s">
        <v>74</v>
      </c>
      <c r="D126" t="s">
        <v>1571</v>
      </c>
      <c r="E126" t="s">
        <v>1572</v>
      </c>
      <c r="F126">
        <v>3208</v>
      </c>
      <c r="G126" s="23">
        <v>45513</v>
      </c>
      <c r="H126" s="2">
        <v>45512.47</v>
      </c>
      <c r="I126" s="2"/>
      <c r="J126" s="2">
        <v>45634.917858796296</v>
      </c>
      <c r="K126" s="149">
        <v>0</v>
      </c>
      <c r="L126" s="149">
        <v>7499415</v>
      </c>
      <c r="M126" s="149">
        <v>1424889</v>
      </c>
      <c r="N126" s="149">
        <v>8924304</v>
      </c>
      <c r="O126">
        <v>0</v>
      </c>
      <c r="P126">
        <v>0</v>
      </c>
      <c r="Q126">
        <v>0</v>
      </c>
      <c r="R126">
        <v>0</v>
      </c>
      <c r="S126">
        <v>0</v>
      </c>
      <c r="T126" t="s">
        <v>77</v>
      </c>
      <c r="U126">
        <v>0</v>
      </c>
      <c r="V126">
        <v>0</v>
      </c>
      <c r="W126">
        <v>0</v>
      </c>
      <c r="X126">
        <v>0</v>
      </c>
      <c r="AC126">
        <v>0</v>
      </c>
      <c r="AE126">
        <v>0</v>
      </c>
      <c r="AF126">
        <v>2</v>
      </c>
      <c r="AG126">
        <v>0</v>
      </c>
      <c r="AH126">
        <v>0</v>
      </c>
      <c r="AI126">
        <v>0</v>
      </c>
      <c r="AM126">
        <v>0</v>
      </c>
      <c r="AR126" t="s">
        <v>1887</v>
      </c>
      <c r="AS126" t="s">
        <v>1680</v>
      </c>
      <c r="AT126">
        <v>2024</v>
      </c>
      <c r="AU126">
        <v>8</v>
      </c>
      <c r="AV126" t="s">
        <v>78</v>
      </c>
      <c r="AX126" t="s">
        <v>1908</v>
      </c>
    </row>
    <row r="127" spans="1:50">
      <c r="A127">
        <v>22</v>
      </c>
      <c r="B127">
        <v>33</v>
      </c>
      <c r="C127" t="s">
        <v>74</v>
      </c>
      <c r="D127" t="s">
        <v>1353</v>
      </c>
      <c r="E127" t="s">
        <v>1354</v>
      </c>
      <c r="F127">
        <v>3209</v>
      </c>
      <c r="G127" s="23">
        <v>45516</v>
      </c>
      <c r="H127" s="2">
        <v>45543.39234953704</v>
      </c>
      <c r="I127" s="2">
        <v>45634.579317129632</v>
      </c>
      <c r="K127" s="149">
        <v>0</v>
      </c>
      <c r="L127" s="149">
        <v>3101012</v>
      </c>
      <c r="M127" s="149">
        <v>589193</v>
      </c>
      <c r="N127" s="149">
        <v>3690205</v>
      </c>
      <c r="O127">
        <v>0</v>
      </c>
      <c r="P127">
        <v>0</v>
      </c>
      <c r="Q127">
        <v>0</v>
      </c>
      <c r="R127">
        <v>0</v>
      </c>
      <c r="S127">
        <v>0</v>
      </c>
      <c r="T127" t="s">
        <v>77</v>
      </c>
      <c r="U127">
        <v>0</v>
      </c>
      <c r="V127">
        <v>0</v>
      </c>
      <c r="W127">
        <v>0</v>
      </c>
      <c r="X127">
        <v>0</v>
      </c>
      <c r="Y127">
        <v>0</v>
      </c>
      <c r="AC127">
        <v>0</v>
      </c>
      <c r="AE127">
        <v>0</v>
      </c>
      <c r="AF127">
        <v>2</v>
      </c>
      <c r="AG127">
        <v>0</v>
      </c>
      <c r="AH127">
        <v>0</v>
      </c>
      <c r="AI127">
        <v>0</v>
      </c>
      <c r="AM127">
        <v>0</v>
      </c>
      <c r="AR127" t="s">
        <v>1887</v>
      </c>
      <c r="AS127" t="s">
        <v>1680</v>
      </c>
      <c r="AT127">
        <v>2024</v>
      </c>
      <c r="AU127">
        <v>8</v>
      </c>
      <c r="AV127" t="s">
        <v>78</v>
      </c>
      <c r="AX127" t="s">
        <v>1909</v>
      </c>
    </row>
    <row r="128" spans="1:50">
      <c r="A128">
        <v>23</v>
      </c>
      <c r="B128">
        <v>33</v>
      </c>
      <c r="C128" t="s">
        <v>74</v>
      </c>
      <c r="D128" t="s">
        <v>1795</v>
      </c>
      <c r="E128" t="s">
        <v>1796</v>
      </c>
      <c r="F128">
        <v>3210</v>
      </c>
      <c r="G128" s="23">
        <v>45516</v>
      </c>
      <c r="H128" s="2">
        <v>45543.408449074072</v>
      </c>
      <c r="I128" s="2"/>
      <c r="K128" s="149">
        <v>0</v>
      </c>
      <c r="L128" s="149">
        <v>260552</v>
      </c>
      <c r="M128" s="149">
        <v>49505</v>
      </c>
      <c r="N128" s="149">
        <v>310057</v>
      </c>
      <c r="O128">
        <v>0</v>
      </c>
      <c r="P128">
        <v>0</v>
      </c>
      <c r="Q128">
        <v>0</v>
      </c>
      <c r="R128">
        <v>0</v>
      </c>
      <c r="S128">
        <v>0</v>
      </c>
      <c r="T128" t="s">
        <v>77</v>
      </c>
      <c r="U128">
        <v>0</v>
      </c>
      <c r="V128">
        <v>0</v>
      </c>
      <c r="W128">
        <v>0</v>
      </c>
      <c r="X128">
        <v>0</v>
      </c>
      <c r="Y128">
        <v>0</v>
      </c>
      <c r="AC128">
        <v>0</v>
      </c>
      <c r="AE128">
        <v>0</v>
      </c>
      <c r="AF128">
        <v>2</v>
      </c>
      <c r="AG128">
        <v>0</v>
      </c>
      <c r="AH128">
        <v>0</v>
      </c>
      <c r="AI128">
        <v>0</v>
      </c>
      <c r="AM128">
        <v>0</v>
      </c>
      <c r="AR128" t="s">
        <v>1887</v>
      </c>
      <c r="AS128" t="s">
        <v>1680</v>
      </c>
      <c r="AT128">
        <v>2024</v>
      </c>
      <c r="AU128">
        <v>8</v>
      </c>
      <c r="AV128" t="s">
        <v>78</v>
      </c>
      <c r="AX128" t="s">
        <v>1910</v>
      </c>
    </row>
    <row r="129" spans="1:50">
      <c r="A129">
        <v>24</v>
      </c>
      <c r="B129">
        <v>33</v>
      </c>
      <c r="C129" t="s">
        <v>74</v>
      </c>
      <c r="D129" t="s">
        <v>1564</v>
      </c>
      <c r="E129" t="s">
        <v>1565</v>
      </c>
      <c r="F129">
        <v>3211</v>
      </c>
      <c r="G129" s="23" t="s">
        <v>788</v>
      </c>
      <c r="H129" s="2">
        <v>45543.423298611109</v>
      </c>
      <c r="I129" s="2"/>
      <c r="K129" s="149">
        <v>0</v>
      </c>
      <c r="L129" s="149">
        <v>755553</v>
      </c>
      <c r="M129" s="149">
        <v>143556</v>
      </c>
      <c r="N129" s="149">
        <v>899109</v>
      </c>
      <c r="O129">
        <v>0</v>
      </c>
      <c r="P129">
        <v>0</v>
      </c>
      <c r="Q129">
        <v>0</v>
      </c>
      <c r="R129">
        <v>0</v>
      </c>
      <c r="S129">
        <v>0</v>
      </c>
      <c r="T129" t="s">
        <v>77</v>
      </c>
      <c r="U129">
        <v>0</v>
      </c>
      <c r="V129">
        <v>0</v>
      </c>
      <c r="W129">
        <v>0</v>
      </c>
      <c r="X129">
        <v>0</v>
      </c>
      <c r="Y129">
        <v>0</v>
      </c>
      <c r="AC129">
        <v>0</v>
      </c>
      <c r="AE129">
        <v>0</v>
      </c>
      <c r="AF129">
        <v>2</v>
      </c>
      <c r="AG129">
        <v>0</v>
      </c>
      <c r="AH129">
        <v>0</v>
      </c>
      <c r="AI129">
        <v>0</v>
      </c>
      <c r="AM129">
        <v>0</v>
      </c>
      <c r="AR129" t="s">
        <v>1887</v>
      </c>
      <c r="AS129" t="s">
        <v>1680</v>
      </c>
      <c r="AT129">
        <v>2024</v>
      </c>
      <c r="AU129">
        <v>8</v>
      </c>
      <c r="AV129" t="s">
        <v>78</v>
      </c>
      <c r="AX129" t="s">
        <v>1911</v>
      </c>
    </row>
    <row r="130" spans="1:50">
      <c r="A130">
        <v>25</v>
      </c>
      <c r="B130">
        <v>33</v>
      </c>
      <c r="C130" t="s">
        <v>74</v>
      </c>
      <c r="D130" t="s">
        <v>1592</v>
      </c>
      <c r="E130" t="s">
        <v>1593</v>
      </c>
      <c r="F130">
        <v>3212</v>
      </c>
      <c r="G130" s="23" t="s">
        <v>788</v>
      </c>
      <c r="H130" s="2">
        <v>45543.428379629629</v>
      </c>
      <c r="I130" s="2"/>
      <c r="K130" s="149">
        <v>0</v>
      </c>
      <c r="L130" s="149">
        <v>203400</v>
      </c>
      <c r="M130" s="149">
        <v>38646</v>
      </c>
      <c r="N130" s="149">
        <v>242046</v>
      </c>
      <c r="O130">
        <v>0</v>
      </c>
      <c r="P130">
        <v>0</v>
      </c>
      <c r="Q130">
        <v>0</v>
      </c>
      <c r="R130">
        <v>0</v>
      </c>
      <c r="S130">
        <v>0</v>
      </c>
      <c r="T130" t="s">
        <v>77</v>
      </c>
      <c r="U130">
        <v>0</v>
      </c>
      <c r="V130">
        <v>0</v>
      </c>
      <c r="W130">
        <v>0</v>
      </c>
      <c r="X130">
        <v>0</v>
      </c>
      <c r="Y130">
        <v>0</v>
      </c>
      <c r="AC130">
        <v>0</v>
      </c>
      <c r="AE130">
        <v>0</v>
      </c>
      <c r="AF130">
        <v>2</v>
      </c>
      <c r="AG130">
        <v>0</v>
      </c>
      <c r="AH130">
        <v>0</v>
      </c>
      <c r="AI130">
        <v>0</v>
      </c>
      <c r="AM130">
        <v>0</v>
      </c>
      <c r="AR130" t="s">
        <v>1887</v>
      </c>
      <c r="AS130" t="s">
        <v>1680</v>
      </c>
      <c r="AT130">
        <v>2024</v>
      </c>
      <c r="AU130">
        <v>8</v>
      </c>
      <c r="AV130" t="s">
        <v>78</v>
      </c>
      <c r="AX130" t="s">
        <v>1912</v>
      </c>
    </row>
    <row r="131" spans="1:50">
      <c r="A131">
        <v>26</v>
      </c>
      <c r="B131">
        <v>33</v>
      </c>
      <c r="C131" t="s">
        <v>74</v>
      </c>
      <c r="D131" t="s">
        <v>1222</v>
      </c>
      <c r="E131" t="s">
        <v>1223</v>
      </c>
      <c r="F131">
        <v>3213</v>
      </c>
      <c r="G131" s="23">
        <v>45513</v>
      </c>
      <c r="H131" s="2">
        <v>45543.45989583333</v>
      </c>
      <c r="I131" s="2" t="s">
        <v>1797</v>
      </c>
      <c r="K131" s="149">
        <v>0</v>
      </c>
      <c r="L131" s="149">
        <v>22995600</v>
      </c>
      <c r="M131" s="149">
        <v>4369164</v>
      </c>
      <c r="N131" s="149">
        <v>27364764</v>
      </c>
      <c r="O131">
        <v>0</v>
      </c>
      <c r="P131">
        <v>0</v>
      </c>
      <c r="Q131">
        <v>0</v>
      </c>
      <c r="R131">
        <v>0</v>
      </c>
      <c r="S131">
        <v>0</v>
      </c>
      <c r="T131" t="s">
        <v>77</v>
      </c>
      <c r="U131">
        <v>0</v>
      </c>
      <c r="V131">
        <v>0</v>
      </c>
      <c r="W131">
        <v>0</v>
      </c>
      <c r="X131">
        <v>0</v>
      </c>
      <c r="AC131">
        <v>0</v>
      </c>
      <c r="AE131">
        <v>0</v>
      </c>
      <c r="AF131">
        <v>2</v>
      </c>
      <c r="AG131">
        <v>0</v>
      </c>
      <c r="AH131">
        <v>0</v>
      </c>
      <c r="AI131">
        <v>0</v>
      </c>
      <c r="AM131">
        <v>0</v>
      </c>
      <c r="AR131" t="s">
        <v>1887</v>
      </c>
      <c r="AS131" t="s">
        <v>1680</v>
      </c>
      <c r="AT131">
        <v>2024</v>
      </c>
      <c r="AU131">
        <v>8</v>
      </c>
      <c r="AV131" t="s">
        <v>78</v>
      </c>
      <c r="AX131" t="s">
        <v>1913</v>
      </c>
    </row>
    <row r="132" spans="1:50">
      <c r="A132">
        <v>27</v>
      </c>
      <c r="B132">
        <v>33</v>
      </c>
      <c r="C132" t="s">
        <v>74</v>
      </c>
      <c r="D132" t="s">
        <v>1222</v>
      </c>
      <c r="E132" t="s">
        <v>1223</v>
      </c>
      <c r="F132">
        <v>3214</v>
      </c>
      <c r="G132" s="23">
        <v>45513</v>
      </c>
      <c r="H132" s="2">
        <v>45543.468148148146</v>
      </c>
      <c r="I132" s="2" t="s">
        <v>1797</v>
      </c>
      <c r="K132" s="149">
        <v>0</v>
      </c>
      <c r="L132" s="149">
        <v>15545252</v>
      </c>
      <c r="M132" s="149">
        <v>2953598</v>
      </c>
      <c r="N132" s="149">
        <v>18498850</v>
      </c>
      <c r="O132">
        <v>0</v>
      </c>
      <c r="P132">
        <v>0</v>
      </c>
      <c r="Q132">
        <v>0</v>
      </c>
      <c r="R132">
        <v>0</v>
      </c>
      <c r="S132">
        <v>0</v>
      </c>
      <c r="T132" t="s">
        <v>77</v>
      </c>
      <c r="U132">
        <v>0</v>
      </c>
      <c r="V132">
        <v>0</v>
      </c>
      <c r="W132">
        <v>0</v>
      </c>
      <c r="X132">
        <v>0</v>
      </c>
      <c r="AC132">
        <v>0</v>
      </c>
      <c r="AE132">
        <v>0</v>
      </c>
      <c r="AF132">
        <v>2</v>
      </c>
      <c r="AG132">
        <v>0</v>
      </c>
      <c r="AH132">
        <v>0</v>
      </c>
      <c r="AI132">
        <v>0</v>
      </c>
      <c r="AM132">
        <v>0</v>
      </c>
      <c r="AR132" t="s">
        <v>1887</v>
      </c>
      <c r="AS132" t="s">
        <v>1680</v>
      </c>
      <c r="AT132">
        <v>2024</v>
      </c>
      <c r="AU132">
        <v>8</v>
      </c>
      <c r="AV132" t="s">
        <v>78</v>
      </c>
      <c r="AX132" t="s">
        <v>1914</v>
      </c>
    </row>
    <row r="133" spans="1:50">
      <c r="A133">
        <v>28</v>
      </c>
      <c r="B133">
        <v>33</v>
      </c>
      <c r="C133" t="s">
        <v>74</v>
      </c>
      <c r="D133" t="s">
        <v>1222</v>
      </c>
      <c r="E133" t="s">
        <v>1223</v>
      </c>
      <c r="F133">
        <v>3215</v>
      </c>
      <c r="G133" s="23" t="s">
        <v>789</v>
      </c>
      <c r="H133" s="2">
        <v>45543.483865740738</v>
      </c>
      <c r="J133" t="s">
        <v>1798</v>
      </c>
      <c r="K133" s="149">
        <v>0</v>
      </c>
      <c r="L133" s="149">
        <v>28082913</v>
      </c>
      <c r="M133" s="149">
        <v>5335753</v>
      </c>
      <c r="N133" s="149">
        <v>33418666</v>
      </c>
      <c r="O133">
        <v>0</v>
      </c>
      <c r="P133">
        <v>0</v>
      </c>
      <c r="Q133">
        <v>0</v>
      </c>
      <c r="R133">
        <v>0</v>
      </c>
      <c r="S133">
        <v>0</v>
      </c>
      <c r="T133" t="s">
        <v>77</v>
      </c>
      <c r="U133">
        <v>0</v>
      </c>
      <c r="V133">
        <v>0</v>
      </c>
      <c r="W133">
        <v>0</v>
      </c>
      <c r="X133">
        <v>0</v>
      </c>
      <c r="AC133">
        <v>0</v>
      </c>
      <c r="AE133">
        <v>0</v>
      </c>
      <c r="AF133">
        <v>2</v>
      </c>
      <c r="AG133">
        <v>0</v>
      </c>
      <c r="AH133">
        <v>0</v>
      </c>
      <c r="AI133">
        <v>0</v>
      </c>
      <c r="AM133">
        <v>0</v>
      </c>
      <c r="AR133" t="s">
        <v>1887</v>
      </c>
      <c r="AS133" t="s">
        <v>1680</v>
      </c>
      <c r="AT133">
        <v>2024</v>
      </c>
      <c r="AU133">
        <v>8</v>
      </c>
      <c r="AV133" t="s">
        <v>78</v>
      </c>
      <c r="AX133" t="s">
        <v>1915</v>
      </c>
    </row>
    <row r="134" spans="1:50">
      <c r="A134">
        <v>29</v>
      </c>
      <c r="B134">
        <v>33</v>
      </c>
      <c r="C134" t="s">
        <v>74</v>
      </c>
      <c r="D134" t="s">
        <v>1222</v>
      </c>
      <c r="E134" t="s">
        <v>1223</v>
      </c>
      <c r="F134">
        <v>3216</v>
      </c>
      <c r="G134" s="23" t="s">
        <v>789</v>
      </c>
      <c r="H134" s="2">
        <v>45543.492488425924</v>
      </c>
      <c r="I134" s="2"/>
      <c r="J134" t="s">
        <v>1799</v>
      </c>
      <c r="K134" s="149">
        <v>0</v>
      </c>
      <c r="L134" s="149">
        <v>5628400</v>
      </c>
      <c r="M134" s="149">
        <v>1069396</v>
      </c>
      <c r="N134" s="149">
        <v>6697796</v>
      </c>
      <c r="O134">
        <v>0</v>
      </c>
      <c r="P134">
        <v>0</v>
      </c>
      <c r="Q134">
        <v>0</v>
      </c>
      <c r="R134">
        <v>0</v>
      </c>
      <c r="S134">
        <v>0</v>
      </c>
      <c r="T134" t="s">
        <v>77</v>
      </c>
      <c r="U134">
        <v>0</v>
      </c>
      <c r="V134">
        <v>0</v>
      </c>
      <c r="W134">
        <v>0</v>
      </c>
      <c r="X134">
        <v>0</v>
      </c>
      <c r="AC134">
        <v>0</v>
      </c>
      <c r="AE134">
        <v>0</v>
      </c>
      <c r="AF134">
        <v>2</v>
      </c>
      <c r="AG134">
        <v>0</v>
      </c>
      <c r="AH134">
        <v>0</v>
      </c>
      <c r="AI134">
        <v>0</v>
      </c>
      <c r="AM134">
        <v>0</v>
      </c>
      <c r="AR134" t="s">
        <v>1887</v>
      </c>
      <c r="AS134" t="s">
        <v>1680</v>
      </c>
      <c r="AT134">
        <v>2024</v>
      </c>
      <c r="AU134">
        <v>8</v>
      </c>
      <c r="AV134" t="s">
        <v>78</v>
      </c>
      <c r="AX134" t="s">
        <v>1916</v>
      </c>
    </row>
    <row r="135" spans="1:50">
      <c r="A135">
        <v>30</v>
      </c>
      <c r="B135">
        <v>33</v>
      </c>
      <c r="C135" t="s">
        <v>74</v>
      </c>
      <c r="D135" t="s">
        <v>1581</v>
      </c>
      <c r="E135" t="s">
        <v>1582</v>
      </c>
      <c r="F135">
        <v>3217</v>
      </c>
      <c r="G135" s="23" t="s">
        <v>788</v>
      </c>
      <c r="H135" s="2">
        <v>45634.448634259257</v>
      </c>
      <c r="I135" t="s">
        <v>1800</v>
      </c>
      <c r="K135" s="149">
        <v>0</v>
      </c>
      <c r="L135" s="149">
        <v>827060</v>
      </c>
      <c r="M135" s="149">
        <v>157142</v>
      </c>
      <c r="N135" s="149">
        <v>984202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77</v>
      </c>
      <c r="U135">
        <v>0</v>
      </c>
      <c r="V135">
        <v>0</v>
      </c>
      <c r="W135">
        <v>0</v>
      </c>
      <c r="X135">
        <v>0</v>
      </c>
      <c r="Y135">
        <v>0</v>
      </c>
      <c r="AC135">
        <v>0</v>
      </c>
      <c r="AE135">
        <v>0</v>
      </c>
      <c r="AF135">
        <v>2</v>
      </c>
      <c r="AG135">
        <v>0</v>
      </c>
      <c r="AH135">
        <v>0</v>
      </c>
      <c r="AI135">
        <v>0</v>
      </c>
      <c r="AM135">
        <v>0</v>
      </c>
      <c r="AR135" t="s">
        <v>1887</v>
      </c>
      <c r="AS135" t="s">
        <v>1680</v>
      </c>
      <c r="AT135">
        <v>2024</v>
      </c>
      <c r="AU135">
        <v>8</v>
      </c>
      <c r="AV135" t="s">
        <v>78</v>
      </c>
      <c r="AX135" t="s">
        <v>1917</v>
      </c>
    </row>
    <row r="136" spans="1:50">
      <c r="A136">
        <v>31</v>
      </c>
      <c r="B136">
        <v>33</v>
      </c>
      <c r="C136" t="s">
        <v>74</v>
      </c>
      <c r="D136" t="s">
        <v>1573</v>
      </c>
      <c r="E136" t="s">
        <v>1574</v>
      </c>
      <c r="F136">
        <v>3218</v>
      </c>
      <c r="G136" s="23" t="s">
        <v>788</v>
      </c>
      <c r="H136" s="2">
        <v>45634.465671296297</v>
      </c>
      <c r="K136" s="149">
        <v>0</v>
      </c>
      <c r="L136" s="149">
        <v>246295</v>
      </c>
      <c r="M136" s="149">
        <v>46795</v>
      </c>
      <c r="N136" s="149">
        <v>293090</v>
      </c>
      <c r="O136">
        <v>0</v>
      </c>
      <c r="P136">
        <v>0</v>
      </c>
      <c r="Q136">
        <v>0</v>
      </c>
      <c r="R136">
        <v>0</v>
      </c>
      <c r="S136">
        <v>0</v>
      </c>
      <c r="T136" t="s">
        <v>77</v>
      </c>
      <c r="U136">
        <v>0</v>
      </c>
      <c r="V136">
        <v>0</v>
      </c>
      <c r="W136">
        <v>0</v>
      </c>
      <c r="X136">
        <v>0</v>
      </c>
      <c r="Y136">
        <v>0</v>
      </c>
      <c r="AC136">
        <v>0</v>
      </c>
      <c r="AE136">
        <v>0</v>
      </c>
      <c r="AF136">
        <v>2</v>
      </c>
      <c r="AG136">
        <v>0</v>
      </c>
      <c r="AH136">
        <v>0</v>
      </c>
      <c r="AI136">
        <v>0</v>
      </c>
      <c r="AM136">
        <v>0</v>
      </c>
      <c r="AR136" t="s">
        <v>1887</v>
      </c>
      <c r="AS136" t="s">
        <v>1680</v>
      </c>
      <c r="AT136">
        <v>2024</v>
      </c>
      <c r="AU136">
        <v>8</v>
      </c>
      <c r="AV136" t="s">
        <v>78</v>
      </c>
      <c r="AX136" t="s">
        <v>1918</v>
      </c>
    </row>
    <row r="137" spans="1:50">
      <c r="A137">
        <v>32</v>
      </c>
      <c r="B137">
        <v>33</v>
      </c>
      <c r="C137" t="s">
        <v>74</v>
      </c>
      <c r="D137" t="s">
        <v>1590</v>
      </c>
      <c r="E137" t="s">
        <v>1591</v>
      </c>
      <c r="F137">
        <v>3219</v>
      </c>
      <c r="G137" s="23" t="s">
        <v>788</v>
      </c>
      <c r="H137" s="2">
        <v>45634.500960648147</v>
      </c>
      <c r="K137" s="149">
        <v>0</v>
      </c>
      <c r="L137" s="149">
        <v>291738</v>
      </c>
      <c r="M137" s="149">
        <v>55430</v>
      </c>
      <c r="N137" s="149">
        <v>347168</v>
      </c>
      <c r="O137">
        <v>0</v>
      </c>
      <c r="P137">
        <v>0</v>
      </c>
      <c r="Q137">
        <v>0</v>
      </c>
      <c r="R137">
        <v>0</v>
      </c>
      <c r="S137">
        <v>0</v>
      </c>
      <c r="T137" t="s">
        <v>77</v>
      </c>
      <c r="U137">
        <v>0</v>
      </c>
      <c r="V137">
        <v>0</v>
      </c>
      <c r="W137">
        <v>0</v>
      </c>
      <c r="X137">
        <v>0</v>
      </c>
      <c r="Y137">
        <v>0</v>
      </c>
      <c r="AC137">
        <v>0</v>
      </c>
      <c r="AE137">
        <v>0</v>
      </c>
      <c r="AF137">
        <v>2</v>
      </c>
      <c r="AG137">
        <v>0</v>
      </c>
      <c r="AH137">
        <v>0</v>
      </c>
      <c r="AI137">
        <v>0</v>
      </c>
      <c r="AM137">
        <v>0</v>
      </c>
      <c r="AR137" t="s">
        <v>1887</v>
      </c>
      <c r="AS137" t="s">
        <v>1680</v>
      </c>
      <c r="AT137">
        <v>2024</v>
      </c>
      <c r="AU137">
        <v>8</v>
      </c>
      <c r="AV137" t="s">
        <v>78</v>
      </c>
      <c r="AX137" t="s">
        <v>1919</v>
      </c>
    </row>
    <row r="138" spans="1:50">
      <c r="A138">
        <v>33</v>
      </c>
      <c r="B138">
        <v>33</v>
      </c>
      <c r="C138" t="s">
        <v>74</v>
      </c>
      <c r="D138" t="s">
        <v>1575</v>
      </c>
      <c r="E138" t="s">
        <v>1576</v>
      </c>
      <c r="F138">
        <v>3220</v>
      </c>
      <c r="G138" s="23" t="s">
        <v>788</v>
      </c>
      <c r="H138" s="2">
        <v>45634.515729166669</v>
      </c>
      <c r="K138" s="149">
        <v>0</v>
      </c>
      <c r="L138" s="149">
        <v>621060</v>
      </c>
      <c r="M138" s="149">
        <v>118002</v>
      </c>
      <c r="N138" s="149">
        <v>739062</v>
      </c>
      <c r="O138">
        <v>0</v>
      </c>
      <c r="P138">
        <v>0</v>
      </c>
      <c r="Q138">
        <v>0</v>
      </c>
      <c r="R138">
        <v>0</v>
      </c>
      <c r="S138">
        <v>0</v>
      </c>
      <c r="T138" t="s">
        <v>77</v>
      </c>
      <c r="U138">
        <v>0</v>
      </c>
      <c r="V138">
        <v>0</v>
      </c>
      <c r="W138">
        <v>0</v>
      </c>
      <c r="X138">
        <v>0</v>
      </c>
      <c r="Y138">
        <v>0</v>
      </c>
      <c r="AC138">
        <v>0</v>
      </c>
      <c r="AE138">
        <v>0</v>
      </c>
      <c r="AF138">
        <v>2</v>
      </c>
      <c r="AG138">
        <v>0</v>
      </c>
      <c r="AH138">
        <v>0</v>
      </c>
      <c r="AI138">
        <v>0</v>
      </c>
      <c r="AM138">
        <v>0</v>
      </c>
      <c r="AR138" t="s">
        <v>1887</v>
      </c>
      <c r="AS138" t="s">
        <v>1680</v>
      </c>
      <c r="AT138">
        <v>2024</v>
      </c>
      <c r="AU138">
        <v>8</v>
      </c>
      <c r="AV138" t="s">
        <v>78</v>
      </c>
      <c r="AX138" t="s">
        <v>1920</v>
      </c>
    </row>
    <row r="139" spans="1:50">
      <c r="A139">
        <v>34</v>
      </c>
      <c r="B139">
        <v>33</v>
      </c>
      <c r="C139" t="s">
        <v>74</v>
      </c>
      <c r="D139" t="s">
        <v>1571</v>
      </c>
      <c r="E139" t="s">
        <v>1572</v>
      </c>
      <c r="F139">
        <v>3221</v>
      </c>
      <c r="G139" s="23">
        <v>45516</v>
      </c>
      <c r="H139" s="2">
        <v>45634.61347222222</v>
      </c>
      <c r="I139" s="2">
        <v>45634.964537037034</v>
      </c>
      <c r="K139" s="149">
        <v>0</v>
      </c>
      <c r="L139" s="149">
        <v>4180803</v>
      </c>
      <c r="M139" s="149">
        <v>794353</v>
      </c>
      <c r="N139" s="149">
        <v>4975156</v>
      </c>
      <c r="O139">
        <v>0</v>
      </c>
      <c r="P139">
        <v>0</v>
      </c>
      <c r="Q139">
        <v>0</v>
      </c>
      <c r="R139">
        <v>0</v>
      </c>
      <c r="S139">
        <v>0</v>
      </c>
      <c r="T139" t="s">
        <v>77</v>
      </c>
      <c r="U139">
        <v>0</v>
      </c>
      <c r="V139">
        <v>0</v>
      </c>
      <c r="W139">
        <v>0</v>
      </c>
      <c r="X139">
        <v>0</v>
      </c>
      <c r="AC139">
        <v>0</v>
      </c>
      <c r="AE139">
        <v>0</v>
      </c>
      <c r="AF139">
        <v>2</v>
      </c>
      <c r="AG139">
        <v>0</v>
      </c>
      <c r="AH139">
        <v>0</v>
      </c>
      <c r="AI139">
        <v>0</v>
      </c>
      <c r="AM139">
        <v>0</v>
      </c>
      <c r="AR139" t="s">
        <v>1887</v>
      </c>
      <c r="AS139" t="s">
        <v>1680</v>
      </c>
      <c r="AT139">
        <v>2024</v>
      </c>
      <c r="AU139">
        <v>8</v>
      </c>
      <c r="AV139" t="s">
        <v>78</v>
      </c>
      <c r="AX139" t="s">
        <v>1921</v>
      </c>
    </row>
    <row r="140" spans="1:50">
      <c r="A140">
        <v>35</v>
      </c>
      <c r="B140">
        <v>33</v>
      </c>
      <c r="C140" t="s">
        <v>74</v>
      </c>
      <c r="D140" t="s">
        <v>1222</v>
      </c>
      <c r="E140" t="s">
        <v>1223</v>
      </c>
      <c r="F140">
        <v>3222</v>
      </c>
      <c r="G140" s="23" t="s">
        <v>883</v>
      </c>
      <c r="H140" s="2" t="s">
        <v>1801</v>
      </c>
      <c r="I140" s="2" t="s">
        <v>1802</v>
      </c>
      <c r="K140" s="149">
        <v>0</v>
      </c>
      <c r="L140" s="149">
        <v>1551730</v>
      </c>
      <c r="M140" s="149">
        <v>294829</v>
      </c>
      <c r="N140" s="149">
        <v>1846559</v>
      </c>
      <c r="O140">
        <v>0</v>
      </c>
      <c r="P140">
        <v>0</v>
      </c>
      <c r="Q140">
        <v>0</v>
      </c>
      <c r="R140">
        <v>0</v>
      </c>
      <c r="S140">
        <v>0</v>
      </c>
      <c r="T140" t="s">
        <v>77</v>
      </c>
      <c r="U140">
        <v>0</v>
      </c>
      <c r="V140">
        <v>0</v>
      </c>
      <c r="W140">
        <v>0</v>
      </c>
      <c r="X140">
        <v>0</v>
      </c>
      <c r="AC140">
        <v>0</v>
      </c>
      <c r="AE140">
        <v>0</v>
      </c>
      <c r="AF140">
        <v>2</v>
      </c>
      <c r="AG140">
        <v>0</v>
      </c>
      <c r="AH140">
        <v>0</v>
      </c>
      <c r="AI140">
        <v>0</v>
      </c>
      <c r="AM140">
        <v>0</v>
      </c>
      <c r="AR140" t="s">
        <v>1887</v>
      </c>
      <c r="AS140" t="s">
        <v>1680</v>
      </c>
      <c r="AT140">
        <v>2024</v>
      </c>
      <c r="AU140">
        <v>8</v>
      </c>
      <c r="AV140" t="s">
        <v>78</v>
      </c>
      <c r="AX140" t="s">
        <v>1922</v>
      </c>
    </row>
    <row r="141" spans="1:50">
      <c r="A141">
        <v>36</v>
      </c>
      <c r="B141">
        <v>33</v>
      </c>
      <c r="C141" t="s">
        <v>74</v>
      </c>
      <c r="D141" t="s">
        <v>1583</v>
      </c>
      <c r="E141" t="s">
        <v>1584</v>
      </c>
      <c r="F141">
        <v>3223</v>
      </c>
      <c r="G141" s="23" t="s">
        <v>883</v>
      </c>
      <c r="H141" s="2" t="s">
        <v>1803</v>
      </c>
      <c r="I141" s="2"/>
      <c r="K141" s="149">
        <v>0</v>
      </c>
      <c r="L141" s="149">
        <v>271104</v>
      </c>
      <c r="M141" s="149">
        <v>51510</v>
      </c>
      <c r="N141" s="149">
        <v>322614</v>
      </c>
      <c r="O141">
        <v>0</v>
      </c>
      <c r="P141">
        <v>0</v>
      </c>
      <c r="Q141">
        <v>0</v>
      </c>
      <c r="R141">
        <v>0</v>
      </c>
      <c r="S141">
        <v>0</v>
      </c>
      <c r="T141" t="s">
        <v>77</v>
      </c>
      <c r="U141">
        <v>0</v>
      </c>
      <c r="V141">
        <v>0</v>
      </c>
      <c r="W141">
        <v>0</v>
      </c>
      <c r="X141">
        <v>0</v>
      </c>
      <c r="Y141">
        <v>0</v>
      </c>
      <c r="AC141">
        <v>0</v>
      </c>
      <c r="AE141">
        <v>0</v>
      </c>
      <c r="AF141">
        <v>2</v>
      </c>
      <c r="AG141">
        <v>0</v>
      </c>
      <c r="AH141">
        <v>0</v>
      </c>
      <c r="AI141">
        <v>0</v>
      </c>
      <c r="AM141">
        <v>0</v>
      </c>
      <c r="AR141" t="s">
        <v>1887</v>
      </c>
      <c r="AS141" t="s">
        <v>1680</v>
      </c>
      <c r="AT141">
        <v>2024</v>
      </c>
      <c r="AU141">
        <v>8</v>
      </c>
      <c r="AV141" t="s">
        <v>78</v>
      </c>
      <c r="AX141" t="s">
        <v>1923</v>
      </c>
    </row>
    <row r="142" spans="1:50">
      <c r="A142">
        <v>37</v>
      </c>
      <c r="B142">
        <v>33</v>
      </c>
      <c r="C142" t="s">
        <v>74</v>
      </c>
      <c r="D142" t="s">
        <v>1561</v>
      </c>
      <c r="E142" t="s">
        <v>1562</v>
      </c>
      <c r="F142">
        <v>3224</v>
      </c>
      <c r="G142" s="23" t="s">
        <v>883</v>
      </c>
      <c r="H142" s="2" t="s">
        <v>1804</v>
      </c>
      <c r="I142" s="2"/>
      <c r="K142" s="149">
        <v>0</v>
      </c>
      <c r="L142" s="149">
        <v>9790200</v>
      </c>
      <c r="M142" s="149">
        <v>1860138</v>
      </c>
      <c r="N142" s="149">
        <v>11650338</v>
      </c>
      <c r="O142">
        <v>0</v>
      </c>
      <c r="P142">
        <v>0</v>
      </c>
      <c r="Q142">
        <v>0</v>
      </c>
      <c r="R142">
        <v>0</v>
      </c>
      <c r="S142">
        <v>0</v>
      </c>
      <c r="T142" t="s">
        <v>77</v>
      </c>
      <c r="U142">
        <v>0</v>
      </c>
      <c r="V142">
        <v>0</v>
      </c>
      <c r="W142">
        <v>0</v>
      </c>
      <c r="X142">
        <v>0</v>
      </c>
      <c r="Y142">
        <v>0</v>
      </c>
      <c r="AC142">
        <v>0</v>
      </c>
      <c r="AE142">
        <v>0</v>
      </c>
      <c r="AF142">
        <v>2</v>
      </c>
      <c r="AG142">
        <v>0</v>
      </c>
      <c r="AH142">
        <v>0</v>
      </c>
      <c r="AI142">
        <v>0</v>
      </c>
      <c r="AM142">
        <v>0</v>
      </c>
      <c r="AR142" t="s">
        <v>1887</v>
      </c>
      <c r="AS142" t="s">
        <v>1680</v>
      </c>
      <c r="AT142">
        <v>2024</v>
      </c>
      <c r="AU142">
        <v>8</v>
      </c>
      <c r="AV142" t="s">
        <v>78</v>
      </c>
      <c r="AX142" t="s">
        <v>1924</v>
      </c>
    </row>
    <row r="143" spans="1:50">
      <c r="A143">
        <v>38</v>
      </c>
      <c r="B143">
        <v>33</v>
      </c>
      <c r="C143" t="s">
        <v>74</v>
      </c>
      <c r="D143" t="s">
        <v>1588</v>
      </c>
      <c r="E143" t="s">
        <v>1589</v>
      </c>
      <c r="F143">
        <v>3225</v>
      </c>
      <c r="G143" s="23" t="s">
        <v>883</v>
      </c>
      <c r="H143" s="2" t="s">
        <v>1805</v>
      </c>
      <c r="I143" s="2"/>
      <c r="K143" s="149">
        <v>0</v>
      </c>
      <c r="L143" s="149">
        <v>2548600</v>
      </c>
      <c r="M143" s="149">
        <v>484235</v>
      </c>
      <c r="N143" s="149">
        <v>3032835</v>
      </c>
      <c r="O143">
        <v>0</v>
      </c>
      <c r="P143">
        <v>0</v>
      </c>
      <c r="Q143">
        <v>0</v>
      </c>
      <c r="R143">
        <v>0</v>
      </c>
      <c r="S143">
        <v>0</v>
      </c>
      <c r="T143" t="s">
        <v>77</v>
      </c>
      <c r="U143">
        <v>0</v>
      </c>
      <c r="V143">
        <v>0</v>
      </c>
      <c r="W143">
        <v>0</v>
      </c>
      <c r="X143">
        <v>0</v>
      </c>
      <c r="Y143">
        <v>0</v>
      </c>
      <c r="AC143">
        <v>0</v>
      </c>
      <c r="AE143">
        <v>0</v>
      </c>
      <c r="AF143">
        <v>2</v>
      </c>
      <c r="AG143">
        <v>0</v>
      </c>
      <c r="AH143">
        <v>0</v>
      </c>
      <c r="AI143">
        <v>0</v>
      </c>
      <c r="AM143">
        <v>0</v>
      </c>
      <c r="AR143" t="s">
        <v>1887</v>
      </c>
      <c r="AS143" t="s">
        <v>1680</v>
      </c>
      <c r="AT143">
        <v>2024</v>
      </c>
      <c r="AU143">
        <v>8</v>
      </c>
      <c r="AV143" t="s">
        <v>78</v>
      </c>
      <c r="AX143" t="s">
        <v>1925</v>
      </c>
    </row>
    <row r="144" spans="1:50">
      <c r="A144">
        <v>39</v>
      </c>
      <c r="B144">
        <v>33</v>
      </c>
      <c r="C144" t="s">
        <v>74</v>
      </c>
      <c r="D144" t="s">
        <v>1569</v>
      </c>
      <c r="E144" t="s">
        <v>1570</v>
      </c>
      <c r="F144">
        <v>3226</v>
      </c>
      <c r="G144" s="23" t="s">
        <v>883</v>
      </c>
      <c r="H144" s="2" t="s">
        <v>1806</v>
      </c>
      <c r="I144" s="2"/>
      <c r="K144" s="149">
        <v>0</v>
      </c>
      <c r="L144" s="149">
        <v>158308</v>
      </c>
      <c r="M144" s="149">
        <v>30079</v>
      </c>
      <c r="N144" s="149">
        <v>188387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77</v>
      </c>
      <c r="U144">
        <v>0</v>
      </c>
      <c r="V144">
        <v>0</v>
      </c>
      <c r="W144">
        <v>0</v>
      </c>
      <c r="X144">
        <v>0</v>
      </c>
      <c r="Y144">
        <v>0</v>
      </c>
      <c r="AC144">
        <v>0</v>
      </c>
      <c r="AE144">
        <v>0</v>
      </c>
      <c r="AF144">
        <v>2</v>
      </c>
      <c r="AG144">
        <v>0</v>
      </c>
      <c r="AH144">
        <v>0</v>
      </c>
      <c r="AI144">
        <v>0</v>
      </c>
      <c r="AM144">
        <v>0</v>
      </c>
      <c r="AR144" t="s">
        <v>1887</v>
      </c>
      <c r="AS144" t="s">
        <v>1680</v>
      </c>
      <c r="AT144">
        <v>2024</v>
      </c>
      <c r="AU144">
        <v>8</v>
      </c>
      <c r="AV144" t="s">
        <v>78</v>
      </c>
      <c r="AX144" t="s">
        <v>1926</v>
      </c>
    </row>
    <row r="145" spans="1:50">
      <c r="A145">
        <v>40</v>
      </c>
      <c r="B145">
        <v>33</v>
      </c>
      <c r="C145" t="s">
        <v>74</v>
      </c>
      <c r="D145" t="s">
        <v>1588</v>
      </c>
      <c r="E145" t="s">
        <v>1589</v>
      </c>
      <c r="F145">
        <v>3227</v>
      </c>
      <c r="G145" s="23" t="s">
        <v>883</v>
      </c>
      <c r="H145" s="2" t="s">
        <v>1807</v>
      </c>
      <c r="K145" s="149">
        <v>0</v>
      </c>
      <c r="L145" s="149">
        <v>3455800</v>
      </c>
      <c r="M145" s="149">
        <v>656603</v>
      </c>
      <c r="N145" s="149">
        <v>4112403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77</v>
      </c>
      <c r="U145">
        <v>0</v>
      </c>
      <c r="V145">
        <v>0</v>
      </c>
      <c r="W145">
        <v>0</v>
      </c>
      <c r="X145">
        <v>0</v>
      </c>
      <c r="Y145">
        <v>0</v>
      </c>
      <c r="AC145">
        <v>0</v>
      </c>
      <c r="AE145">
        <v>0</v>
      </c>
      <c r="AF145">
        <v>2</v>
      </c>
      <c r="AG145">
        <v>0</v>
      </c>
      <c r="AH145">
        <v>0</v>
      </c>
      <c r="AI145">
        <v>0</v>
      </c>
      <c r="AM145">
        <v>0</v>
      </c>
      <c r="AR145" t="s">
        <v>1887</v>
      </c>
      <c r="AS145" t="s">
        <v>1680</v>
      </c>
      <c r="AT145">
        <v>2024</v>
      </c>
      <c r="AU145">
        <v>8</v>
      </c>
      <c r="AV145" t="s">
        <v>78</v>
      </c>
      <c r="AX145" t="s">
        <v>1927</v>
      </c>
    </row>
    <row r="146" spans="1:50">
      <c r="A146">
        <v>41</v>
      </c>
      <c r="B146">
        <v>33</v>
      </c>
      <c r="C146" t="s">
        <v>74</v>
      </c>
      <c r="D146" t="s">
        <v>1571</v>
      </c>
      <c r="E146" t="s">
        <v>1572</v>
      </c>
      <c r="F146">
        <v>3228</v>
      </c>
      <c r="G146" s="23" t="s">
        <v>883</v>
      </c>
      <c r="H146" s="2" t="s">
        <v>1808</v>
      </c>
      <c r="I146" t="s">
        <v>1809</v>
      </c>
      <c r="K146" s="149">
        <v>0</v>
      </c>
      <c r="L146" s="149">
        <v>7781322</v>
      </c>
      <c r="M146" s="149">
        <v>1478451</v>
      </c>
      <c r="N146" s="149">
        <v>9259773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77</v>
      </c>
      <c r="U146">
        <v>0</v>
      </c>
      <c r="V146">
        <v>0</v>
      </c>
      <c r="W146">
        <v>0</v>
      </c>
      <c r="X146">
        <v>0</v>
      </c>
      <c r="AC146">
        <v>0</v>
      </c>
      <c r="AE146">
        <v>0</v>
      </c>
      <c r="AF146">
        <v>2</v>
      </c>
      <c r="AG146">
        <v>0</v>
      </c>
      <c r="AH146">
        <v>0</v>
      </c>
      <c r="AI146">
        <v>0</v>
      </c>
      <c r="AM146">
        <v>0</v>
      </c>
      <c r="AR146" t="s">
        <v>1887</v>
      </c>
      <c r="AS146" t="s">
        <v>1680</v>
      </c>
      <c r="AT146">
        <v>2024</v>
      </c>
      <c r="AU146">
        <v>8</v>
      </c>
      <c r="AV146" t="s">
        <v>78</v>
      </c>
      <c r="AX146" t="s">
        <v>1928</v>
      </c>
    </row>
    <row r="147" spans="1:50">
      <c r="A147">
        <v>42</v>
      </c>
      <c r="B147">
        <v>33</v>
      </c>
      <c r="C147" t="s">
        <v>74</v>
      </c>
      <c r="D147" t="s">
        <v>1222</v>
      </c>
      <c r="E147" t="s">
        <v>1223</v>
      </c>
      <c r="F147">
        <v>3229</v>
      </c>
      <c r="G147" s="23" t="s">
        <v>792</v>
      </c>
      <c r="H147" s="2" t="s">
        <v>1810</v>
      </c>
      <c r="I147" s="2"/>
      <c r="J147" t="s">
        <v>1811</v>
      </c>
      <c r="K147" s="149">
        <v>0</v>
      </c>
      <c r="L147" s="149">
        <v>20177478</v>
      </c>
      <c r="M147" s="149">
        <v>3833721</v>
      </c>
      <c r="N147" s="149">
        <v>24011199</v>
      </c>
      <c r="O147">
        <v>0</v>
      </c>
      <c r="P147">
        <v>0</v>
      </c>
      <c r="Q147">
        <v>0</v>
      </c>
      <c r="R147">
        <v>0</v>
      </c>
      <c r="S147">
        <v>0</v>
      </c>
      <c r="T147" t="s">
        <v>77</v>
      </c>
      <c r="U147">
        <v>0</v>
      </c>
      <c r="V147">
        <v>0</v>
      </c>
      <c r="W147">
        <v>0</v>
      </c>
      <c r="X147">
        <v>0</v>
      </c>
      <c r="AC147">
        <v>0</v>
      </c>
      <c r="AE147">
        <v>0</v>
      </c>
      <c r="AF147">
        <v>2</v>
      </c>
      <c r="AG147">
        <v>0</v>
      </c>
      <c r="AH147">
        <v>0</v>
      </c>
      <c r="AI147">
        <v>0</v>
      </c>
      <c r="AM147">
        <v>0</v>
      </c>
      <c r="AR147" t="s">
        <v>1887</v>
      </c>
      <c r="AS147" t="s">
        <v>1680</v>
      </c>
      <c r="AT147">
        <v>2024</v>
      </c>
      <c r="AU147">
        <v>8</v>
      </c>
      <c r="AV147" t="s">
        <v>78</v>
      </c>
      <c r="AX147" t="s">
        <v>1929</v>
      </c>
    </row>
    <row r="148" spans="1:50">
      <c r="A148">
        <v>43</v>
      </c>
      <c r="B148">
        <v>33</v>
      </c>
      <c r="C148" t="s">
        <v>74</v>
      </c>
      <c r="D148" t="s">
        <v>1353</v>
      </c>
      <c r="E148" t="s">
        <v>1354</v>
      </c>
      <c r="F148">
        <v>3230</v>
      </c>
      <c r="G148" s="23" t="s">
        <v>791</v>
      </c>
      <c r="H148" s="2" t="s">
        <v>1812</v>
      </c>
      <c r="I148" s="2" t="s">
        <v>1813</v>
      </c>
      <c r="K148" s="149">
        <v>0</v>
      </c>
      <c r="L148" s="149">
        <v>3118730</v>
      </c>
      <c r="M148" s="149">
        <v>592558</v>
      </c>
      <c r="N148" s="149">
        <v>3711288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77</v>
      </c>
      <c r="U148">
        <v>0</v>
      </c>
      <c r="V148">
        <v>0</v>
      </c>
      <c r="W148">
        <v>0</v>
      </c>
      <c r="X148">
        <v>0</v>
      </c>
      <c r="Y148">
        <v>0</v>
      </c>
      <c r="AC148">
        <v>0</v>
      </c>
      <c r="AE148">
        <v>0</v>
      </c>
      <c r="AF148">
        <v>2</v>
      </c>
      <c r="AG148">
        <v>0</v>
      </c>
      <c r="AH148">
        <v>0</v>
      </c>
      <c r="AI148">
        <v>0</v>
      </c>
      <c r="AM148">
        <v>0</v>
      </c>
      <c r="AR148" t="s">
        <v>1887</v>
      </c>
      <c r="AS148" t="s">
        <v>1680</v>
      </c>
      <c r="AT148">
        <v>2024</v>
      </c>
      <c r="AU148">
        <v>8</v>
      </c>
      <c r="AV148" t="s">
        <v>78</v>
      </c>
      <c r="AX148" t="s">
        <v>1930</v>
      </c>
    </row>
    <row r="149" spans="1:50">
      <c r="A149">
        <v>44</v>
      </c>
      <c r="B149">
        <v>33</v>
      </c>
      <c r="C149" t="s">
        <v>74</v>
      </c>
      <c r="D149" t="s">
        <v>1577</v>
      </c>
      <c r="E149" t="s">
        <v>1578</v>
      </c>
      <c r="F149">
        <v>3231</v>
      </c>
      <c r="G149" s="23" t="s">
        <v>791</v>
      </c>
      <c r="H149" s="2" t="s">
        <v>1814</v>
      </c>
      <c r="K149" s="149">
        <v>0</v>
      </c>
      <c r="L149" s="149">
        <v>207942</v>
      </c>
      <c r="M149" s="149">
        <v>39510</v>
      </c>
      <c r="N149" s="149">
        <v>247452</v>
      </c>
      <c r="O149">
        <v>0</v>
      </c>
      <c r="P149">
        <v>0</v>
      </c>
      <c r="Q149">
        <v>0</v>
      </c>
      <c r="R149">
        <v>0</v>
      </c>
      <c r="S149">
        <v>0</v>
      </c>
      <c r="T149" t="s">
        <v>77</v>
      </c>
      <c r="U149">
        <v>0</v>
      </c>
      <c r="V149">
        <v>0</v>
      </c>
      <c r="W149">
        <v>0</v>
      </c>
      <c r="X149">
        <v>0</v>
      </c>
      <c r="Y149">
        <v>0</v>
      </c>
      <c r="AC149">
        <v>0</v>
      </c>
      <c r="AE149">
        <v>0</v>
      </c>
      <c r="AF149">
        <v>2</v>
      </c>
      <c r="AG149">
        <v>0</v>
      </c>
      <c r="AH149">
        <v>0</v>
      </c>
      <c r="AI149">
        <v>0</v>
      </c>
      <c r="AM149">
        <v>0</v>
      </c>
      <c r="AR149" t="s">
        <v>1887</v>
      </c>
      <c r="AS149" t="s">
        <v>1680</v>
      </c>
      <c r="AT149">
        <v>2024</v>
      </c>
      <c r="AU149">
        <v>8</v>
      </c>
      <c r="AV149" t="s">
        <v>78</v>
      </c>
      <c r="AX149" t="s">
        <v>1931</v>
      </c>
    </row>
    <row r="150" spans="1:50">
      <c r="A150">
        <v>45</v>
      </c>
      <c r="B150">
        <v>33</v>
      </c>
      <c r="C150" t="s">
        <v>74</v>
      </c>
      <c r="D150" t="s">
        <v>1631</v>
      </c>
      <c r="E150" t="s">
        <v>1632</v>
      </c>
      <c r="F150">
        <v>3232</v>
      </c>
      <c r="G150" s="23" t="s">
        <v>791</v>
      </c>
      <c r="H150" s="2" t="s">
        <v>1815</v>
      </c>
      <c r="K150" s="149">
        <v>0</v>
      </c>
      <c r="L150" s="149">
        <v>221635</v>
      </c>
      <c r="M150" s="149">
        <v>42110</v>
      </c>
      <c r="N150" s="149">
        <v>263745</v>
      </c>
      <c r="O150">
        <v>0</v>
      </c>
      <c r="P150">
        <v>0</v>
      </c>
      <c r="Q150">
        <v>0</v>
      </c>
      <c r="R150">
        <v>0</v>
      </c>
      <c r="S150">
        <v>0</v>
      </c>
      <c r="T150" t="s">
        <v>77</v>
      </c>
      <c r="U150">
        <v>0</v>
      </c>
      <c r="V150">
        <v>0</v>
      </c>
      <c r="W150">
        <v>0</v>
      </c>
      <c r="X150">
        <v>0</v>
      </c>
      <c r="Y150">
        <v>0</v>
      </c>
      <c r="AC150">
        <v>0</v>
      </c>
      <c r="AE150">
        <v>0</v>
      </c>
      <c r="AF150">
        <v>2</v>
      </c>
      <c r="AG150">
        <v>0</v>
      </c>
      <c r="AH150">
        <v>0</v>
      </c>
      <c r="AI150">
        <v>0</v>
      </c>
      <c r="AM150">
        <v>0</v>
      </c>
      <c r="AR150" t="s">
        <v>1887</v>
      </c>
      <c r="AS150" t="s">
        <v>1680</v>
      </c>
      <c r="AT150">
        <v>2024</v>
      </c>
      <c r="AU150">
        <v>8</v>
      </c>
      <c r="AV150" t="s">
        <v>78</v>
      </c>
      <c r="AX150" t="s">
        <v>1932</v>
      </c>
    </row>
    <row r="151" spans="1:50">
      <c r="A151">
        <v>46</v>
      </c>
      <c r="B151">
        <v>33</v>
      </c>
      <c r="C151" t="s">
        <v>74</v>
      </c>
      <c r="D151" t="s">
        <v>1567</v>
      </c>
      <c r="E151" t="s">
        <v>1568</v>
      </c>
      <c r="F151">
        <v>3233</v>
      </c>
      <c r="G151" s="23" t="s">
        <v>791</v>
      </c>
      <c r="H151" s="2" t="s">
        <v>1816</v>
      </c>
      <c r="I151" s="2" t="s">
        <v>1817</v>
      </c>
      <c r="K151" s="149">
        <v>0</v>
      </c>
      <c r="L151" s="149">
        <v>1376490</v>
      </c>
      <c r="M151" s="149">
        <v>261533</v>
      </c>
      <c r="N151" s="149">
        <v>1638023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77</v>
      </c>
      <c r="U151">
        <v>0</v>
      </c>
      <c r="V151">
        <v>0</v>
      </c>
      <c r="W151">
        <v>0</v>
      </c>
      <c r="X151">
        <v>0</v>
      </c>
      <c r="Y151">
        <v>0</v>
      </c>
      <c r="AC151">
        <v>0</v>
      </c>
      <c r="AE151">
        <v>0</v>
      </c>
      <c r="AF151">
        <v>2</v>
      </c>
      <c r="AG151">
        <v>0</v>
      </c>
      <c r="AH151">
        <v>0</v>
      </c>
      <c r="AI151">
        <v>0</v>
      </c>
      <c r="AM151">
        <v>0</v>
      </c>
      <c r="AR151" t="s">
        <v>1887</v>
      </c>
      <c r="AS151" t="s">
        <v>1680</v>
      </c>
      <c r="AT151">
        <v>2024</v>
      </c>
      <c r="AU151">
        <v>8</v>
      </c>
      <c r="AV151" t="s">
        <v>78</v>
      </c>
      <c r="AX151" t="s">
        <v>1933</v>
      </c>
    </row>
    <row r="152" spans="1:50">
      <c r="A152">
        <v>47</v>
      </c>
      <c r="B152">
        <v>33</v>
      </c>
      <c r="C152" t="s">
        <v>74</v>
      </c>
      <c r="D152" t="s">
        <v>1785</v>
      </c>
      <c r="E152" t="s">
        <v>1786</v>
      </c>
      <c r="F152">
        <v>3234</v>
      </c>
      <c r="G152" s="23" t="s">
        <v>793</v>
      </c>
      <c r="H152" s="2" t="s">
        <v>1818</v>
      </c>
      <c r="K152" s="149">
        <v>0</v>
      </c>
      <c r="L152" s="149">
        <v>184082</v>
      </c>
      <c r="M152" s="149">
        <v>34975</v>
      </c>
      <c r="N152" s="149">
        <v>219057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77</v>
      </c>
      <c r="U152">
        <v>0</v>
      </c>
      <c r="V152">
        <v>0</v>
      </c>
      <c r="W152">
        <v>0</v>
      </c>
      <c r="X152">
        <v>0</v>
      </c>
      <c r="Y152">
        <v>0</v>
      </c>
      <c r="AC152">
        <v>0</v>
      </c>
      <c r="AE152">
        <v>0</v>
      </c>
      <c r="AF152">
        <v>2</v>
      </c>
      <c r="AG152">
        <v>0</v>
      </c>
      <c r="AH152">
        <v>0</v>
      </c>
      <c r="AI152">
        <v>0</v>
      </c>
      <c r="AM152">
        <v>0</v>
      </c>
      <c r="AR152" t="s">
        <v>1887</v>
      </c>
      <c r="AS152" t="s">
        <v>1680</v>
      </c>
      <c r="AT152">
        <v>2024</v>
      </c>
      <c r="AU152">
        <v>8</v>
      </c>
      <c r="AV152" t="s">
        <v>78</v>
      </c>
      <c r="AX152" t="s">
        <v>1934</v>
      </c>
    </row>
    <row r="153" spans="1:50">
      <c r="A153">
        <v>48</v>
      </c>
      <c r="B153">
        <v>33</v>
      </c>
      <c r="C153" t="s">
        <v>74</v>
      </c>
      <c r="D153" t="s">
        <v>1564</v>
      </c>
      <c r="E153" t="s">
        <v>1565</v>
      </c>
      <c r="F153">
        <v>3235</v>
      </c>
      <c r="G153" s="23" t="s">
        <v>793</v>
      </c>
      <c r="H153" s="2" t="s">
        <v>1819</v>
      </c>
      <c r="K153" s="149">
        <v>0</v>
      </c>
      <c r="L153" s="149">
        <v>832820</v>
      </c>
      <c r="M153" s="149">
        <v>158238</v>
      </c>
      <c r="N153" s="149">
        <v>991058</v>
      </c>
      <c r="O153">
        <v>0</v>
      </c>
      <c r="P153">
        <v>0</v>
      </c>
      <c r="Q153">
        <v>0</v>
      </c>
      <c r="R153">
        <v>0</v>
      </c>
      <c r="S153">
        <v>0</v>
      </c>
      <c r="T153" t="s">
        <v>77</v>
      </c>
      <c r="U153">
        <v>0</v>
      </c>
      <c r="V153">
        <v>0</v>
      </c>
      <c r="W153">
        <v>0</v>
      </c>
      <c r="X153">
        <v>0</v>
      </c>
      <c r="Y153">
        <v>0</v>
      </c>
      <c r="AC153">
        <v>0</v>
      </c>
      <c r="AE153">
        <v>0</v>
      </c>
      <c r="AF153">
        <v>2</v>
      </c>
      <c r="AG153">
        <v>0</v>
      </c>
      <c r="AH153">
        <v>0</v>
      </c>
      <c r="AI153">
        <v>0</v>
      </c>
      <c r="AM153">
        <v>0</v>
      </c>
      <c r="AR153" t="s">
        <v>1887</v>
      </c>
      <c r="AS153" t="s">
        <v>1680</v>
      </c>
      <c r="AT153">
        <v>2024</v>
      </c>
      <c r="AU153">
        <v>8</v>
      </c>
      <c r="AV153" t="s">
        <v>78</v>
      </c>
      <c r="AX153" t="s">
        <v>1935</v>
      </c>
    </row>
    <row r="154" spans="1:50">
      <c r="A154">
        <v>49</v>
      </c>
      <c r="B154">
        <v>33</v>
      </c>
      <c r="C154" t="s">
        <v>74</v>
      </c>
      <c r="D154" t="s">
        <v>1561</v>
      </c>
      <c r="E154" t="s">
        <v>1562</v>
      </c>
      <c r="F154">
        <v>3236</v>
      </c>
      <c r="G154" s="23" t="s">
        <v>793</v>
      </c>
      <c r="H154" s="2" t="s">
        <v>1820</v>
      </c>
      <c r="K154" s="149">
        <v>0</v>
      </c>
      <c r="L154" s="149">
        <v>10528650</v>
      </c>
      <c r="M154" s="149">
        <v>2000444</v>
      </c>
      <c r="N154" s="149">
        <v>12529094</v>
      </c>
      <c r="O154">
        <v>0</v>
      </c>
      <c r="P154">
        <v>0</v>
      </c>
      <c r="Q154">
        <v>0</v>
      </c>
      <c r="R154">
        <v>0</v>
      </c>
      <c r="S154">
        <v>0</v>
      </c>
      <c r="T154" t="s">
        <v>77</v>
      </c>
      <c r="U154">
        <v>0</v>
      </c>
      <c r="V154">
        <v>0</v>
      </c>
      <c r="W154">
        <v>0</v>
      </c>
      <c r="X154">
        <v>0</v>
      </c>
      <c r="Y154">
        <v>0</v>
      </c>
      <c r="AC154">
        <v>0</v>
      </c>
      <c r="AE154">
        <v>0</v>
      </c>
      <c r="AF154">
        <v>2</v>
      </c>
      <c r="AG154">
        <v>0</v>
      </c>
      <c r="AH154">
        <v>0</v>
      </c>
      <c r="AI154">
        <v>0</v>
      </c>
      <c r="AM154">
        <v>0</v>
      </c>
      <c r="AR154" t="s">
        <v>1887</v>
      </c>
      <c r="AS154" t="s">
        <v>1680</v>
      </c>
      <c r="AT154">
        <v>2024</v>
      </c>
      <c r="AU154">
        <v>8</v>
      </c>
      <c r="AV154" t="s">
        <v>78</v>
      </c>
      <c r="AX154" t="s">
        <v>1936</v>
      </c>
    </row>
    <row r="155" spans="1:50">
      <c r="A155">
        <v>50</v>
      </c>
      <c r="B155">
        <v>33</v>
      </c>
      <c r="C155" t="s">
        <v>74</v>
      </c>
      <c r="D155" t="s">
        <v>1600</v>
      </c>
      <c r="E155" t="s">
        <v>1601</v>
      </c>
      <c r="F155">
        <v>3237</v>
      </c>
      <c r="G155" s="23" t="s">
        <v>793</v>
      </c>
      <c r="H155" s="2" t="s">
        <v>1821</v>
      </c>
      <c r="K155" s="149">
        <v>0</v>
      </c>
      <c r="L155" s="149">
        <v>36640</v>
      </c>
      <c r="M155" s="149">
        <v>6962</v>
      </c>
      <c r="N155" s="149">
        <v>43602</v>
      </c>
      <c r="O155">
        <v>0</v>
      </c>
      <c r="P155">
        <v>0</v>
      </c>
      <c r="Q155">
        <v>0</v>
      </c>
      <c r="R155">
        <v>0</v>
      </c>
      <c r="S155">
        <v>0</v>
      </c>
      <c r="T155" t="s">
        <v>77</v>
      </c>
      <c r="U155">
        <v>0</v>
      </c>
      <c r="V155">
        <v>0</v>
      </c>
      <c r="W155">
        <v>0</v>
      </c>
      <c r="X155">
        <v>0</v>
      </c>
      <c r="Y155">
        <v>0</v>
      </c>
      <c r="AC155">
        <v>0</v>
      </c>
      <c r="AE155">
        <v>0</v>
      </c>
      <c r="AF155">
        <v>2</v>
      </c>
      <c r="AG155">
        <v>0</v>
      </c>
      <c r="AH155">
        <v>0</v>
      </c>
      <c r="AI155">
        <v>0</v>
      </c>
      <c r="AM155">
        <v>0</v>
      </c>
      <c r="AR155" t="s">
        <v>1887</v>
      </c>
      <c r="AS155" t="s">
        <v>1680</v>
      </c>
      <c r="AT155">
        <v>2024</v>
      </c>
      <c r="AU155">
        <v>8</v>
      </c>
      <c r="AV155" t="s">
        <v>78</v>
      </c>
      <c r="AX155" t="s">
        <v>1937</v>
      </c>
    </row>
    <row r="156" spans="1:50">
      <c r="A156">
        <v>51</v>
      </c>
      <c r="B156">
        <v>33</v>
      </c>
      <c r="C156" t="s">
        <v>74</v>
      </c>
      <c r="D156" t="s">
        <v>1600</v>
      </c>
      <c r="E156" t="s">
        <v>1601</v>
      </c>
      <c r="F156">
        <v>3238</v>
      </c>
      <c r="G156" s="23" t="s">
        <v>793</v>
      </c>
      <c r="H156" s="2" t="s">
        <v>1822</v>
      </c>
      <c r="K156" s="149">
        <v>0</v>
      </c>
      <c r="L156" s="149">
        <v>24255</v>
      </c>
      <c r="M156" s="149">
        <v>4608</v>
      </c>
      <c r="N156" s="149">
        <v>28863</v>
      </c>
      <c r="O156">
        <v>0</v>
      </c>
      <c r="P156">
        <v>0</v>
      </c>
      <c r="Q156">
        <v>0</v>
      </c>
      <c r="R156">
        <v>0</v>
      </c>
      <c r="S156">
        <v>0</v>
      </c>
      <c r="T156" t="s">
        <v>77</v>
      </c>
      <c r="U156">
        <v>0</v>
      </c>
      <c r="V156">
        <v>0</v>
      </c>
      <c r="W156">
        <v>0</v>
      </c>
      <c r="X156">
        <v>0</v>
      </c>
      <c r="Y156">
        <v>0</v>
      </c>
      <c r="AC156">
        <v>0</v>
      </c>
      <c r="AE156">
        <v>0</v>
      </c>
      <c r="AF156">
        <v>2</v>
      </c>
      <c r="AG156">
        <v>0</v>
      </c>
      <c r="AH156">
        <v>0</v>
      </c>
      <c r="AI156">
        <v>0</v>
      </c>
      <c r="AM156">
        <v>0</v>
      </c>
      <c r="AR156" t="s">
        <v>1887</v>
      </c>
      <c r="AS156" t="s">
        <v>1680</v>
      </c>
      <c r="AT156">
        <v>2024</v>
      </c>
      <c r="AU156">
        <v>8</v>
      </c>
      <c r="AV156" t="s">
        <v>78</v>
      </c>
      <c r="AX156" t="s">
        <v>1938</v>
      </c>
    </row>
    <row r="157" spans="1:50">
      <c r="A157">
        <v>52</v>
      </c>
      <c r="B157">
        <v>33</v>
      </c>
      <c r="C157" t="s">
        <v>74</v>
      </c>
      <c r="D157" t="s">
        <v>1573</v>
      </c>
      <c r="E157" t="s">
        <v>1574</v>
      </c>
      <c r="F157">
        <v>3239</v>
      </c>
      <c r="G157" s="23" t="s">
        <v>793</v>
      </c>
      <c r="H157" s="2" t="s">
        <v>1823</v>
      </c>
      <c r="I157" t="s">
        <v>1824</v>
      </c>
      <c r="K157" s="149">
        <v>0</v>
      </c>
      <c r="L157" s="149">
        <v>260806</v>
      </c>
      <c r="M157" s="149">
        <v>49553</v>
      </c>
      <c r="N157" s="149">
        <v>310359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77</v>
      </c>
      <c r="U157">
        <v>0</v>
      </c>
      <c r="V157">
        <v>0</v>
      </c>
      <c r="W157">
        <v>0</v>
      </c>
      <c r="X157">
        <v>0</v>
      </c>
      <c r="Y157">
        <v>0</v>
      </c>
      <c r="AC157">
        <v>0</v>
      </c>
      <c r="AE157">
        <v>0</v>
      </c>
      <c r="AF157">
        <v>2</v>
      </c>
      <c r="AG157">
        <v>0</v>
      </c>
      <c r="AH157">
        <v>0</v>
      </c>
      <c r="AI157">
        <v>0</v>
      </c>
      <c r="AM157">
        <v>0</v>
      </c>
      <c r="AR157" t="s">
        <v>1887</v>
      </c>
      <c r="AS157" t="s">
        <v>1680</v>
      </c>
      <c r="AT157">
        <v>2024</v>
      </c>
      <c r="AU157">
        <v>8</v>
      </c>
      <c r="AV157" t="s">
        <v>78</v>
      </c>
      <c r="AX157" t="s">
        <v>1939</v>
      </c>
    </row>
    <row r="158" spans="1:50">
      <c r="A158">
        <v>53</v>
      </c>
      <c r="B158">
        <v>33</v>
      </c>
      <c r="C158" t="s">
        <v>74</v>
      </c>
      <c r="D158" t="s">
        <v>1222</v>
      </c>
      <c r="E158" t="s">
        <v>1223</v>
      </c>
      <c r="F158">
        <v>3240</v>
      </c>
      <c r="G158" s="23" t="s">
        <v>794</v>
      </c>
      <c r="H158" s="2" t="s">
        <v>1825</v>
      </c>
      <c r="J158" t="s">
        <v>1826</v>
      </c>
      <c r="K158" s="149">
        <v>0</v>
      </c>
      <c r="L158" s="149">
        <v>44931565</v>
      </c>
      <c r="M158" s="149">
        <v>8536997</v>
      </c>
      <c r="N158" s="149">
        <v>53468562</v>
      </c>
      <c r="O158">
        <v>0</v>
      </c>
      <c r="P158">
        <v>0</v>
      </c>
      <c r="Q158">
        <v>0</v>
      </c>
      <c r="R158">
        <v>0</v>
      </c>
      <c r="S158">
        <v>0</v>
      </c>
      <c r="T158" t="s">
        <v>77</v>
      </c>
      <c r="U158">
        <v>0</v>
      </c>
      <c r="V158">
        <v>0</v>
      </c>
      <c r="W158">
        <v>0</v>
      </c>
      <c r="X158">
        <v>0</v>
      </c>
      <c r="AC158">
        <v>0</v>
      </c>
      <c r="AE158">
        <v>0</v>
      </c>
      <c r="AF158">
        <v>2</v>
      </c>
      <c r="AG158">
        <v>0</v>
      </c>
      <c r="AH158">
        <v>0</v>
      </c>
      <c r="AI158">
        <v>0</v>
      </c>
      <c r="AM158">
        <v>0</v>
      </c>
      <c r="AR158" t="s">
        <v>1887</v>
      </c>
      <c r="AS158" t="s">
        <v>1680</v>
      </c>
      <c r="AT158">
        <v>2024</v>
      </c>
      <c r="AU158">
        <v>8</v>
      </c>
      <c r="AV158" t="s">
        <v>78</v>
      </c>
      <c r="AX158" t="s">
        <v>1940</v>
      </c>
    </row>
    <row r="159" spans="1:50">
      <c r="A159">
        <v>54</v>
      </c>
      <c r="B159">
        <v>33</v>
      </c>
      <c r="C159" t="s">
        <v>74</v>
      </c>
      <c r="D159" t="s">
        <v>1222</v>
      </c>
      <c r="E159" t="s">
        <v>1223</v>
      </c>
      <c r="F159">
        <v>3241</v>
      </c>
      <c r="G159" s="23" t="s">
        <v>792</v>
      </c>
      <c r="H159" s="2" t="s">
        <v>1827</v>
      </c>
      <c r="I159" s="2"/>
      <c r="K159" s="149">
        <v>0</v>
      </c>
      <c r="L159" s="149">
        <v>28082913</v>
      </c>
      <c r="M159" s="149">
        <v>5335753</v>
      </c>
      <c r="N159" s="149">
        <v>33418666</v>
      </c>
      <c r="O159">
        <v>0</v>
      </c>
      <c r="P159">
        <v>0</v>
      </c>
      <c r="Q159">
        <v>0</v>
      </c>
      <c r="R159">
        <v>0</v>
      </c>
      <c r="S159">
        <v>0</v>
      </c>
      <c r="T159" t="s">
        <v>77</v>
      </c>
      <c r="U159">
        <v>0</v>
      </c>
      <c r="V159">
        <v>0</v>
      </c>
      <c r="W159">
        <v>0</v>
      </c>
      <c r="X159">
        <v>0</v>
      </c>
      <c r="AC159">
        <v>0</v>
      </c>
      <c r="AE159">
        <v>0</v>
      </c>
      <c r="AF159">
        <v>2</v>
      </c>
      <c r="AG159">
        <v>0</v>
      </c>
      <c r="AH159">
        <v>0</v>
      </c>
      <c r="AI159">
        <v>0</v>
      </c>
      <c r="AM159">
        <v>0</v>
      </c>
      <c r="AR159" t="s">
        <v>1887</v>
      </c>
      <c r="AS159" t="s">
        <v>1680</v>
      </c>
      <c r="AT159">
        <v>2024</v>
      </c>
      <c r="AU159">
        <v>8</v>
      </c>
      <c r="AV159" t="s">
        <v>78</v>
      </c>
      <c r="AX159" t="s">
        <v>1941</v>
      </c>
    </row>
    <row r="160" spans="1:50">
      <c r="A160">
        <v>55</v>
      </c>
      <c r="B160">
        <v>33</v>
      </c>
      <c r="C160" t="s">
        <v>74</v>
      </c>
      <c r="D160" t="s">
        <v>1222</v>
      </c>
      <c r="E160" t="s">
        <v>1223</v>
      </c>
      <c r="F160">
        <v>3242</v>
      </c>
      <c r="G160" s="23" t="s">
        <v>792</v>
      </c>
      <c r="H160" s="2" t="s">
        <v>1828</v>
      </c>
      <c r="K160" s="149">
        <v>0</v>
      </c>
      <c r="L160" s="149">
        <v>5628400</v>
      </c>
      <c r="M160" s="149">
        <v>1069396</v>
      </c>
      <c r="N160" s="149">
        <v>6697796</v>
      </c>
      <c r="O160">
        <v>0</v>
      </c>
      <c r="P160">
        <v>0</v>
      </c>
      <c r="Q160">
        <v>0</v>
      </c>
      <c r="R160">
        <v>0</v>
      </c>
      <c r="S160">
        <v>0</v>
      </c>
      <c r="T160" t="s">
        <v>77</v>
      </c>
      <c r="U160">
        <v>0</v>
      </c>
      <c r="V160">
        <v>0</v>
      </c>
      <c r="W160">
        <v>0</v>
      </c>
      <c r="X160">
        <v>0</v>
      </c>
      <c r="AC160">
        <v>0</v>
      </c>
      <c r="AE160">
        <v>0</v>
      </c>
      <c r="AF160">
        <v>2</v>
      </c>
      <c r="AG160">
        <v>0</v>
      </c>
      <c r="AH160">
        <v>0</v>
      </c>
      <c r="AI160">
        <v>0</v>
      </c>
      <c r="AM160">
        <v>0</v>
      </c>
      <c r="AR160" t="s">
        <v>1887</v>
      </c>
      <c r="AS160" t="s">
        <v>1680</v>
      </c>
      <c r="AT160">
        <v>2024</v>
      </c>
      <c r="AU160">
        <v>8</v>
      </c>
      <c r="AV160" t="s">
        <v>78</v>
      </c>
      <c r="AX160" t="s">
        <v>1942</v>
      </c>
    </row>
    <row r="161" spans="1:50">
      <c r="A161">
        <v>56</v>
      </c>
      <c r="B161">
        <v>33</v>
      </c>
      <c r="C161" t="s">
        <v>74</v>
      </c>
      <c r="D161" t="s">
        <v>1353</v>
      </c>
      <c r="E161" t="s">
        <v>1354</v>
      </c>
      <c r="F161">
        <v>3243</v>
      </c>
      <c r="G161" s="23" t="s">
        <v>794</v>
      </c>
      <c r="H161" s="2" t="s">
        <v>1829</v>
      </c>
      <c r="I161" t="s">
        <v>1830</v>
      </c>
      <c r="K161" s="149">
        <v>0</v>
      </c>
      <c r="L161" s="149">
        <v>2692448</v>
      </c>
      <c r="M161" s="149">
        <v>511564</v>
      </c>
      <c r="N161" s="149">
        <v>3204012</v>
      </c>
      <c r="O161">
        <v>0</v>
      </c>
      <c r="P161">
        <v>0</v>
      </c>
      <c r="Q161">
        <v>0</v>
      </c>
      <c r="R161">
        <v>0</v>
      </c>
      <c r="S161">
        <v>0</v>
      </c>
      <c r="T161" t="s">
        <v>77</v>
      </c>
      <c r="U161">
        <v>0</v>
      </c>
      <c r="V161">
        <v>0</v>
      </c>
      <c r="W161">
        <v>0</v>
      </c>
      <c r="X161">
        <v>0</v>
      </c>
      <c r="Y161">
        <v>0</v>
      </c>
      <c r="AC161">
        <v>0</v>
      </c>
      <c r="AE161">
        <v>0</v>
      </c>
      <c r="AF161">
        <v>2</v>
      </c>
      <c r="AG161">
        <v>0</v>
      </c>
      <c r="AH161">
        <v>0</v>
      </c>
      <c r="AI161">
        <v>0</v>
      </c>
      <c r="AM161">
        <v>0</v>
      </c>
      <c r="AR161" t="s">
        <v>1887</v>
      </c>
      <c r="AS161" t="s">
        <v>1680</v>
      </c>
      <c r="AT161">
        <v>2024</v>
      </c>
      <c r="AU161">
        <v>8</v>
      </c>
      <c r="AV161" t="s">
        <v>78</v>
      </c>
      <c r="AX161" t="s">
        <v>1943</v>
      </c>
    </row>
    <row r="162" spans="1:50">
      <c r="A162">
        <v>57</v>
      </c>
      <c r="B162">
        <v>33</v>
      </c>
      <c r="C162" t="s">
        <v>74</v>
      </c>
      <c r="D162" t="s">
        <v>1581</v>
      </c>
      <c r="E162" t="s">
        <v>1582</v>
      </c>
      <c r="F162">
        <v>3244</v>
      </c>
      <c r="G162" s="23" t="s">
        <v>794</v>
      </c>
      <c r="H162" s="2" t="s">
        <v>1831</v>
      </c>
      <c r="I162" t="s">
        <v>1832</v>
      </c>
      <c r="K162" s="149">
        <v>0</v>
      </c>
      <c r="L162" s="149">
        <v>1478340</v>
      </c>
      <c r="M162" s="149">
        <v>280885</v>
      </c>
      <c r="N162" s="149">
        <v>1759225</v>
      </c>
      <c r="O162">
        <v>0</v>
      </c>
      <c r="P162">
        <v>0</v>
      </c>
      <c r="Q162">
        <v>0</v>
      </c>
      <c r="R162">
        <v>0</v>
      </c>
      <c r="S162">
        <v>0</v>
      </c>
      <c r="T162" t="s">
        <v>77</v>
      </c>
      <c r="U162">
        <v>0</v>
      </c>
      <c r="V162">
        <v>0</v>
      </c>
      <c r="W162">
        <v>0</v>
      </c>
      <c r="X162">
        <v>0</v>
      </c>
      <c r="Y162">
        <v>0</v>
      </c>
      <c r="AC162">
        <v>0</v>
      </c>
      <c r="AE162">
        <v>0</v>
      </c>
      <c r="AF162">
        <v>2</v>
      </c>
      <c r="AG162">
        <v>0</v>
      </c>
      <c r="AH162">
        <v>0</v>
      </c>
      <c r="AI162">
        <v>0</v>
      </c>
      <c r="AM162">
        <v>0</v>
      </c>
      <c r="AR162" t="s">
        <v>1887</v>
      </c>
      <c r="AS162" t="s">
        <v>1680</v>
      </c>
      <c r="AT162">
        <v>2024</v>
      </c>
      <c r="AU162">
        <v>8</v>
      </c>
      <c r="AV162" t="s">
        <v>78</v>
      </c>
      <c r="AX162" t="s">
        <v>1944</v>
      </c>
    </row>
    <row r="163" spans="1:50">
      <c r="A163">
        <v>58</v>
      </c>
      <c r="B163">
        <v>33</v>
      </c>
      <c r="C163" t="s">
        <v>74</v>
      </c>
      <c r="D163" t="s">
        <v>1579</v>
      </c>
      <c r="E163" t="s">
        <v>1580</v>
      </c>
      <c r="F163">
        <v>3245</v>
      </c>
      <c r="G163" s="23" t="s">
        <v>795</v>
      </c>
      <c r="H163" s="2" t="s">
        <v>1833</v>
      </c>
      <c r="I163" t="s">
        <v>1834</v>
      </c>
      <c r="K163" s="149">
        <v>0</v>
      </c>
      <c r="L163" s="149">
        <v>9145060</v>
      </c>
      <c r="M163" s="149">
        <v>1737561</v>
      </c>
      <c r="N163" s="149">
        <v>10882621</v>
      </c>
      <c r="O163">
        <v>0</v>
      </c>
      <c r="P163">
        <v>0</v>
      </c>
      <c r="Q163">
        <v>0</v>
      </c>
      <c r="R163">
        <v>0</v>
      </c>
      <c r="S163">
        <v>0</v>
      </c>
      <c r="T163" t="s">
        <v>77</v>
      </c>
      <c r="U163">
        <v>0</v>
      </c>
      <c r="V163">
        <v>0</v>
      </c>
      <c r="W163">
        <v>0</v>
      </c>
      <c r="X163">
        <v>0</v>
      </c>
      <c r="Y163">
        <v>0</v>
      </c>
      <c r="AC163">
        <v>0</v>
      </c>
      <c r="AE163">
        <v>0</v>
      </c>
      <c r="AF163">
        <v>2</v>
      </c>
      <c r="AG163">
        <v>0</v>
      </c>
      <c r="AH163">
        <v>0</v>
      </c>
      <c r="AI163">
        <v>0</v>
      </c>
      <c r="AM163">
        <v>0</v>
      </c>
      <c r="AR163" t="s">
        <v>1887</v>
      </c>
      <c r="AS163" t="s">
        <v>1680</v>
      </c>
      <c r="AT163">
        <v>2024</v>
      </c>
      <c r="AU163">
        <v>8</v>
      </c>
      <c r="AV163" t="s">
        <v>78</v>
      </c>
      <c r="AX163" t="s">
        <v>1945</v>
      </c>
    </row>
    <row r="164" spans="1:50">
      <c r="A164">
        <v>59</v>
      </c>
      <c r="B164">
        <v>33</v>
      </c>
      <c r="C164" t="s">
        <v>74</v>
      </c>
      <c r="D164" t="s">
        <v>1579</v>
      </c>
      <c r="E164" t="s">
        <v>1580</v>
      </c>
      <c r="F164">
        <v>3246</v>
      </c>
      <c r="G164" s="23" t="s">
        <v>795</v>
      </c>
      <c r="H164" s="2" t="s">
        <v>1835</v>
      </c>
      <c r="I164" s="2" t="s">
        <v>1834</v>
      </c>
      <c r="K164" s="149">
        <v>0</v>
      </c>
      <c r="L164" s="149">
        <v>97352</v>
      </c>
      <c r="M164" s="149">
        <v>18497</v>
      </c>
      <c r="N164" s="149">
        <v>115849</v>
      </c>
      <c r="O164">
        <v>0</v>
      </c>
      <c r="P164">
        <v>0</v>
      </c>
      <c r="Q164">
        <v>0</v>
      </c>
      <c r="R164">
        <v>0</v>
      </c>
      <c r="S164">
        <v>0</v>
      </c>
      <c r="T164" t="s">
        <v>77</v>
      </c>
      <c r="U164">
        <v>0</v>
      </c>
      <c r="V164">
        <v>0</v>
      </c>
      <c r="W164">
        <v>0</v>
      </c>
      <c r="X164">
        <v>0</v>
      </c>
      <c r="Y164">
        <v>0</v>
      </c>
      <c r="AC164">
        <v>0</v>
      </c>
      <c r="AE164">
        <v>0</v>
      </c>
      <c r="AF164">
        <v>2</v>
      </c>
      <c r="AG164">
        <v>0</v>
      </c>
      <c r="AH164">
        <v>0</v>
      </c>
      <c r="AI164">
        <v>0</v>
      </c>
      <c r="AM164">
        <v>0</v>
      </c>
      <c r="AR164" t="s">
        <v>1887</v>
      </c>
      <c r="AS164" t="s">
        <v>1680</v>
      </c>
      <c r="AT164">
        <v>2024</v>
      </c>
      <c r="AU164">
        <v>8</v>
      </c>
      <c r="AV164" t="s">
        <v>78</v>
      </c>
      <c r="AX164" t="s">
        <v>1946</v>
      </c>
    </row>
    <row r="165" spans="1:50">
      <c r="A165">
        <v>60</v>
      </c>
      <c r="B165">
        <v>33</v>
      </c>
      <c r="C165" t="s">
        <v>74</v>
      </c>
      <c r="D165" t="s">
        <v>1571</v>
      </c>
      <c r="E165" t="s">
        <v>1572</v>
      </c>
      <c r="F165">
        <v>3247</v>
      </c>
      <c r="G165" s="23" t="s">
        <v>3798</v>
      </c>
      <c r="H165" s="2" t="s">
        <v>1836</v>
      </c>
      <c r="J165" t="s">
        <v>1837</v>
      </c>
      <c r="K165" s="149">
        <v>0</v>
      </c>
      <c r="L165" s="149">
        <v>15144595</v>
      </c>
      <c r="M165" s="149">
        <v>2877473</v>
      </c>
      <c r="N165" s="149">
        <v>18022068</v>
      </c>
      <c r="O165">
        <v>0</v>
      </c>
      <c r="P165">
        <v>0</v>
      </c>
      <c r="Q165">
        <v>0</v>
      </c>
      <c r="R165">
        <v>0</v>
      </c>
      <c r="S165">
        <v>0</v>
      </c>
      <c r="T165" t="s">
        <v>77</v>
      </c>
      <c r="U165">
        <v>0</v>
      </c>
      <c r="V165">
        <v>0</v>
      </c>
      <c r="W165">
        <v>0</v>
      </c>
      <c r="X165">
        <v>0</v>
      </c>
      <c r="AC165">
        <v>0</v>
      </c>
      <c r="AE165">
        <v>0</v>
      </c>
      <c r="AF165">
        <v>2</v>
      </c>
      <c r="AG165">
        <v>0</v>
      </c>
      <c r="AH165">
        <v>0</v>
      </c>
      <c r="AI165">
        <v>0</v>
      </c>
      <c r="AM165">
        <v>0</v>
      </c>
      <c r="AR165" t="s">
        <v>1887</v>
      </c>
      <c r="AS165" t="s">
        <v>1680</v>
      </c>
      <c r="AT165">
        <v>2024</v>
      </c>
      <c r="AU165">
        <v>8</v>
      </c>
      <c r="AV165" t="s">
        <v>78</v>
      </c>
      <c r="AX165" t="s">
        <v>1947</v>
      </c>
    </row>
    <row r="166" spans="1:50">
      <c r="A166">
        <v>61</v>
      </c>
      <c r="B166">
        <v>33</v>
      </c>
      <c r="C166" t="s">
        <v>74</v>
      </c>
      <c r="D166" t="s">
        <v>1555</v>
      </c>
      <c r="E166" t="s">
        <v>1556</v>
      </c>
      <c r="F166">
        <v>3248</v>
      </c>
      <c r="G166" s="23" t="s">
        <v>796</v>
      </c>
      <c r="H166" s="2" t="s">
        <v>1838</v>
      </c>
      <c r="I166" t="s">
        <v>1839</v>
      </c>
      <c r="K166" s="149">
        <v>0</v>
      </c>
      <c r="L166" s="149">
        <v>2123940</v>
      </c>
      <c r="M166" s="149">
        <v>403548</v>
      </c>
      <c r="N166" s="149">
        <v>2527488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77</v>
      </c>
      <c r="U166">
        <v>0</v>
      </c>
      <c r="V166">
        <v>0</v>
      </c>
      <c r="W166">
        <v>0</v>
      </c>
      <c r="X166">
        <v>0</v>
      </c>
      <c r="AC166">
        <v>0</v>
      </c>
      <c r="AE166">
        <v>0</v>
      </c>
      <c r="AF166">
        <v>2</v>
      </c>
      <c r="AG166">
        <v>0</v>
      </c>
      <c r="AH166">
        <v>0</v>
      </c>
      <c r="AI166">
        <v>0</v>
      </c>
      <c r="AM166">
        <v>0</v>
      </c>
      <c r="AR166" t="s">
        <v>1887</v>
      </c>
      <c r="AS166" t="s">
        <v>1680</v>
      </c>
      <c r="AT166">
        <v>2024</v>
      </c>
      <c r="AU166">
        <v>8</v>
      </c>
      <c r="AV166" t="s">
        <v>78</v>
      </c>
      <c r="AX166" t="s">
        <v>1948</v>
      </c>
    </row>
    <row r="167" spans="1:50">
      <c r="A167">
        <v>62</v>
      </c>
      <c r="B167">
        <v>33</v>
      </c>
      <c r="C167" t="s">
        <v>74</v>
      </c>
      <c r="D167" t="s">
        <v>1571</v>
      </c>
      <c r="E167" t="s">
        <v>1572</v>
      </c>
      <c r="F167">
        <v>3249</v>
      </c>
      <c r="G167" s="23" t="s">
        <v>3798</v>
      </c>
      <c r="H167" s="2" t="s">
        <v>1840</v>
      </c>
      <c r="I167" t="s">
        <v>1841</v>
      </c>
      <c r="K167" s="149">
        <v>0</v>
      </c>
      <c r="L167" s="149">
        <v>14309395</v>
      </c>
      <c r="M167" s="149">
        <v>2718785</v>
      </c>
      <c r="N167" s="149">
        <v>17028180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77</v>
      </c>
      <c r="U167">
        <v>0</v>
      </c>
      <c r="V167">
        <v>0</v>
      </c>
      <c r="W167">
        <v>0</v>
      </c>
      <c r="X167">
        <v>0</v>
      </c>
      <c r="AC167">
        <v>0</v>
      </c>
      <c r="AE167">
        <v>0</v>
      </c>
      <c r="AF167">
        <v>2</v>
      </c>
      <c r="AG167">
        <v>0</v>
      </c>
      <c r="AH167">
        <v>0</v>
      </c>
      <c r="AI167">
        <v>0</v>
      </c>
      <c r="AM167">
        <v>0</v>
      </c>
      <c r="AR167" t="s">
        <v>1887</v>
      </c>
      <c r="AS167" t="s">
        <v>1680</v>
      </c>
      <c r="AT167">
        <v>2024</v>
      </c>
      <c r="AU167">
        <v>8</v>
      </c>
      <c r="AV167" t="s">
        <v>78</v>
      </c>
      <c r="AX167" t="s">
        <v>1949</v>
      </c>
    </row>
    <row r="168" spans="1:50">
      <c r="A168">
        <v>63</v>
      </c>
      <c r="B168">
        <v>33</v>
      </c>
      <c r="C168" t="s">
        <v>74</v>
      </c>
      <c r="D168" t="s">
        <v>1561</v>
      </c>
      <c r="E168" t="s">
        <v>1562</v>
      </c>
      <c r="F168">
        <v>3250</v>
      </c>
      <c r="G168" s="23" t="s">
        <v>796</v>
      </c>
      <c r="H168" s="2" t="s">
        <v>1842</v>
      </c>
      <c r="I168" t="s">
        <v>1843</v>
      </c>
      <c r="K168" s="149">
        <v>0</v>
      </c>
      <c r="L168" s="149">
        <v>5957100</v>
      </c>
      <c r="M168" s="149">
        <v>1131849</v>
      </c>
      <c r="N168" s="149">
        <v>7088949</v>
      </c>
      <c r="O168">
        <v>0</v>
      </c>
      <c r="P168">
        <v>0</v>
      </c>
      <c r="Q168">
        <v>0</v>
      </c>
      <c r="R168">
        <v>0</v>
      </c>
      <c r="S168">
        <v>0</v>
      </c>
      <c r="T168" t="s">
        <v>77</v>
      </c>
      <c r="U168">
        <v>0</v>
      </c>
      <c r="V168">
        <v>0</v>
      </c>
      <c r="W168">
        <v>0</v>
      </c>
      <c r="X168">
        <v>0</v>
      </c>
      <c r="Y168">
        <v>0</v>
      </c>
      <c r="AC168">
        <v>0</v>
      </c>
      <c r="AE168">
        <v>0</v>
      </c>
      <c r="AF168">
        <v>2</v>
      </c>
      <c r="AG168">
        <v>0</v>
      </c>
      <c r="AH168">
        <v>0</v>
      </c>
      <c r="AI168">
        <v>0</v>
      </c>
      <c r="AM168">
        <v>0</v>
      </c>
      <c r="AR168" t="s">
        <v>1887</v>
      </c>
      <c r="AS168" t="s">
        <v>1680</v>
      </c>
      <c r="AT168">
        <v>2024</v>
      </c>
      <c r="AU168">
        <v>8</v>
      </c>
      <c r="AV168" t="s">
        <v>78</v>
      </c>
      <c r="AX168" t="s">
        <v>1950</v>
      </c>
    </row>
    <row r="169" spans="1:50">
      <c r="A169">
        <v>64</v>
      </c>
      <c r="B169">
        <v>33</v>
      </c>
      <c r="C169" t="s">
        <v>74</v>
      </c>
      <c r="D169" t="s">
        <v>1222</v>
      </c>
      <c r="E169" t="s">
        <v>1223</v>
      </c>
      <c r="F169">
        <v>3251</v>
      </c>
      <c r="G169" s="23" t="s">
        <v>797</v>
      </c>
      <c r="H169" s="2" t="s">
        <v>1844</v>
      </c>
      <c r="K169" s="149">
        <v>0</v>
      </c>
      <c r="L169" s="149">
        <v>12920800</v>
      </c>
      <c r="M169" s="149">
        <v>2454952</v>
      </c>
      <c r="N169" s="149">
        <v>15375752</v>
      </c>
      <c r="O169">
        <v>0</v>
      </c>
      <c r="P169">
        <v>0</v>
      </c>
      <c r="Q169">
        <v>0</v>
      </c>
      <c r="R169">
        <v>0</v>
      </c>
      <c r="S169">
        <v>0</v>
      </c>
      <c r="T169" t="s">
        <v>77</v>
      </c>
      <c r="U169">
        <v>0</v>
      </c>
      <c r="V169">
        <v>0</v>
      </c>
      <c r="W169">
        <v>0</v>
      </c>
      <c r="X169">
        <v>0</v>
      </c>
      <c r="AC169">
        <v>0</v>
      </c>
      <c r="AE169">
        <v>0</v>
      </c>
      <c r="AF169">
        <v>2</v>
      </c>
      <c r="AG169">
        <v>0</v>
      </c>
      <c r="AH169">
        <v>0</v>
      </c>
      <c r="AI169">
        <v>0</v>
      </c>
      <c r="AM169">
        <v>0</v>
      </c>
      <c r="AR169" t="s">
        <v>1887</v>
      </c>
      <c r="AS169" t="s">
        <v>1680</v>
      </c>
      <c r="AT169">
        <v>2024</v>
      </c>
      <c r="AU169">
        <v>8</v>
      </c>
      <c r="AV169" t="s">
        <v>78</v>
      </c>
      <c r="AX169" t="s">
        <v>1951</v>
      </c>
    </row>
    <row r="170" spans="1:50">
      <c r="A170">
        <v>65</v>
      </c>
      <c r="B170">
        <v>33</v>
      </c>
      <c r="C170" t="s">
        <v>74</v>
      </c>
      <c r="D170" t="s">
        <v>1222</v>
      </c>
      <c r="E170" t="s">
        <v>1223</v>
      </c>
      <c r="F170">
        <v>3252</v>
      </c>
      <c r="G170" s="23" t="s">
        <v>797</v>
      </c>
      <c r="H170" s="2" t="s">
        <v>1845</v>
      </c>
      <c r="K170" s="149">
        <v>0</v>
      </c>
      <c r="L170" s="149">
        <v>5052850</v>
      </c>
      <c r="M170" s="149">
        <v>960041</v>
      </c>
      <c r="N170" s="149">
        <v>6012891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77</v>
      </c>
      <c r="U170">
        <v>0</v>
      </c>
      <c r="V170">
        <v>0</v>
      </c>
      <c r="W170">
        <v>0</v>
      </c>
      <c r="X170">
        <v>0</v>
      </c>
      <c r="AC170">
        <v>0</v>
      </c>
      <c r="AE170">
        <v>0</v>
      </c>
      <c r="AF170">
        <v>2</v>
      </c>
      <c r="AG170">
        <v>0</v>
      </c>
      <c r="AH170">
        <v>0</v>
      </c>
      <c r="AI170">
        <v>0</v>
      </c>
      <c r="AM170">
        <v>0</v>
      </c>
      <c r="AR170" t="s">
        <v>1887</v>
      </c>
      <c r="AS170" t="s">
        <v>1680</v>
      </c>
      <c r="AT170">
        <v>2024</v>
      </c>
      <c r="AU170">
        <v>8</v>
      </c>
      <c r="AV170" t="s">
        <v>78</v>
      </c>
      <c r="AX170" t="s">
        <v>1952</v>
      </c>
    </row>
    <row r="171" spans="1:50">
      <c r="A171">
        <v>66</v>
      </c>
      <c r="B171">
        <v>33</v>
      </c>
      <c r="C171" t="s">
        <v>74</v>
      </c>
      <c r="D171" t="s">
        <v>1222</v>
      </c>
      <c r="E171" t="s">
        <v>1223</v>
      </c>
      <c r="F171">
        <v>3253</v>
      </c>
      <c r="G171" s="23" t="s">
        <v>795</v>
      </c>
      <c r="H171" s="2" t="s">
        <v>1846</v>
      </c>
      <c r="K171" s="149">
        <v>0</v>
      </c>
      <c r="L171" s="149">
        <v>20144148</v>
      </c>
      <c r="M171" s="149">
        <v>3827388</v>
      </c>
      <c r="N171" s="149">
        <v>23971536</v>
      </c>
      <c r="O171">
        <v>0</v>
      </c>
      <c r="P171">
        <v>0</v>
      </c>
      <c r="Q171">
        <v>0</v>
      </c>
      <c r="R171">
        <v>0</v>
      </c>
      <c r="S171">
        <v>0</v>
      </c>
      <c r="T171" t="s">
        <v>77</v>
      </c>
      <c r="U171">
        <v>0</v>
      </c>
      <c r="V171">
        <v>0</v>
      </c>
      <c r="W171">
        <v>0</v>
      </c>
      <c r="X171">
        <v>0</v>
      </c>
      <c r="AC171">
        <v>0</v>
      </c>
      <c r="AE171">
        <v>0</v>
      </c>
      <c r="AF171">
        <v>2</v>
      </c>
      <c r="AG171">
        <v>0</v>
      </c>
      <c r="AH171">
        <v>0</v>
      </c>
      <c r="AI171">
        <v>0</v>
      </c>
      <c r="AM171">
        <v>0</v>
      </c>
      <c r="AR171" t="s">
        <v>1887</v>
      </c>
      <c r="AS171" t="s">
        <v>1680</v>
      </c>
      <c r="AT171">
        <v>2024</v>
      </c>
      <c r="AU171">
        <v>8</v>
      </c>
      <c r="AV171" t="s">
        <v>78</v>
      </c>
      <c r="AX171" t="s">
        <v>1953</v>
      </c>
    </row>
    <row r="172" spans="1:50">
      <c r="A172">
        <v>67</v>
      </c>
      <c r="B172">
        <v>33</v>
      </c>
      <c r="C172" t="s">
        <v>74</v>
      </c>
      <c r="D172" t="s">
        <v>1558</v>
      </c>
      <c r="E172" t="s">
        <v>1559</v>
      </c>
      <c r="F172">
        <v>3254</v>
      </c>
      <c r="G172" s="23" t="s">
        <v>796</v>
      </c>
      <c r="H172" s="2" t="s">
        <v>1847</v>
      </c>
      <c r="I172" t="s">
        <v>1848</v>
      </c>
      <c r="K172" s="149">
        <v>0</v>
      </c>
      <c r="L172" s="149">
        <v>170400</v>
      </c>
      <c r="M172" s="149">
        <v>32376</v>
      </c>
      <c r="N172" s="149">
        <v>202776</v>
      </c>
      <c r="O172">
        <v>0</v>
      </c>
      <c r="P172">
        <v>0</v>
      </c>
      <c r="Q172">
        <v>0</v>
      </c>
      <c r="R172">
        <v>0</v>
      </c>
      <c r="S172">
        <v>0</v>
      </c>
      <c r="T172" t="s">
        <v>77</v>
      </c>
      <c r="U172">
        <v>0</v>
      </c>
      <c r="V172">
        <v>0</v>
      </c>
      <c r="W172">
        <v>0</v>
      </c>
      <c r="X172">
        <v>0</v>
      </c>
      <c r="Y172">
        <v>0</v>
      </c>
      <c r="AC172">
        <v>0</v>
      </c>
      <c r="AE172">
        <v>0</v>
      </c>
      <c r="AF172">
        <v>2</v>
      </c>
      <c r="AG172">
        <v>0</v>
      </c>
      <c r="AH172">
        <v>0</v>
      </c>
      <c r="AI172">
        <v>0</v>
      </c>
      <c r="AM172">
        <v>0</v>
      </c>
      <c r="AR172" t="s">
        <v>1887</v>
      </c>
      <c r="AS172" t="s">
        <v>1680</v>
      </c>
      <c r="AT172">
        <v>2024</v>
      </c>
      <c r="AU172">
        <v>8</v>
      </c>
      <c r="AV172" t="s">
        <v>78</v>
      </c>
      <c r="AX172" t="s">
        <v>1954</v>
      </c>
    </row>
    <row r="173" spans="1:50">
      <c r="A173">
        <v>68</v>
      </c>
      <c r="B173">
        <v>33</v>
      </c>
      <c r="C173" t="s">
        <v>74</v>
      </c>
      <c r="D173" t="s">
        <v>1569</v>
      </c>
      <c r="E173" t="s">
        <v>1570</v>
      </c>
      <c r="F173">
        <v>3255</v>
      </c>
      <c r="G173" s="23" t="s">
        <v>796</v>
      </c>
      <c r="H173" s="2" t="s">
        <v>1849</v>
      </c>
      <c r="I173" t="s">
        <v>1850</v>
      </c>
      <c r="K173" s="149">
        <v>0</v>
      </c>
      <c r="L173" s="149">
        <v>135480</v>
      </c>
      <c r="M173" s="149">
        <v>25742</v>
      </c>
      <c r="N173" s="149">
        <v>161222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77</v>
      </c>
      <c r="U173">
        <v>0</v>
      </c>
      <c r="V173">
        <v>0</v>
      </c>
      <c r="W173">
        <v>0</v>
      </c>
      <c r="X173">
        <v>0</v>
      </c>
      <c r="Y173">
        <v>0</v>
      </c>
      <c r="AC173">
        <v>0</v>
      </c>
      <c r="AE173">
        <v>0</v>
      </c>
      <c r="AF173">
        <v>2</v>
      </c>
      <c r="AG173">
        <v>0</v>
      </c>
      <c r="AH173">
        <v>0</v>
      </c>
      <c r="AI173">
        <v>0</v>
      </c>
      <c r="AM173">
        <v>0</v>
      </c>
      <c r="AR173" t="s">
        <v>1887</v>
      </c>
      <c r="AS173" t="s">
        <v>1680</v>
      </c>
      <c r="AT173">
        <v>2024</v>
      </c>
      <c r="AU173">
        <v>8</v>
      </c>
      <c r="AV173" t="s">
        <v>78</v>
      </c>
      <c r="AX173" t="s">
        <v>1955</v>
      </c>
    </row>
    <row r="174" spans="1:50">
      <c r="A174">
        <v>69</v>
      </c>
      <c r="B174">
        <v>33</v>
      </c>
      <c r="C174" t="s">
        <v>74</v>
      </c>
      <c r="D174" t="s">
        <v>1222</v>
      </c>
      <c r="E174" t="s">
        <v>1223</v>
      </c>
      <c r="F174">
        <v>3256</v>
      </c>
      <c r="G174" s="23" t="s">
        <v>799</v>
      </c>
      <c r="H174" s="2" t="s">
        <v>1851</v>
      </c>
      <c r="J174" t="s">
        <v>1852</v>
      </c>
      <c r="K174" s="149">
        <v>0</v>
      </c>
      <c r="L174" s="149">
        <v>8604195</v>
      </c>
      <c r="M174" s="149">
        <v>1634798</v>
      </c>
      <c r="N174" s="149">
        <v>10238993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77</v>
      </c>
      <c r="U174">
        <v>0</v>
      </c>
      <c r="V174">
        <v>0</v>
      </c>
      <c r="W174">
        <v>0</v>
      </c>
      <c r="X174">
        <v>0</v>
      </c>
      <c r="AC174">
        <v>0</v>
      </c>
      <c r="AE174">
        <v>0</v>
      </c>
      <c r="AF174">
        <v>2</v>
      </c>
      <c r="AG174">
        <v>0</v>
      </c>
      <c r="AH174">
        <v>0</v>
      </c>
      <c r="AI174">
        <v>0</v>
      </c>
      <c r="AM174">
        <v>0</v>
      </c>
      <c r="AR174" t="s">
        <v>1887</v>
      </c>
      <c r="AS174" t="s">
        <v>1680</v>
      </c>
      <c r="AT174">
        <v>2024</v>
      </c>
      <c r="AU174">
        <v>8</v>
      </c>
      <c r="AV174" t="s">
        <v>78</v>
      </c>
      <c r="AX174" t="s">
        <v>1956</v>
      </c>
    </row>
    <row r="175" spans="1:50">
      <c r="A175">
        <v>70</v>
      </c>
      <c r="B175">
        <v>33</v>
      </c>
      <c r="C175" t="s">
        <v>74</v>
      </c>
      <c r="D175" t="s">
        <v>1561</v>
      </c>
      <c r="E175" t="s">
        <v>1562</v>
      </c>
      <c r="F175">
        <v>3257</v>
      </c>
      <c r="G175" s="23" t="s">
        <v>797</v>
      </c>
      <c r="H175" s="2" t="s">
        <v>1853</v>
      </c>
      <c r="I175" t="s">
        <v>1854</v>
      </c>
      <c r="K175" s="149">
        <v>0</v>
      </c>
      <c r="L175" s="149">
        <v>10528650</v>
      </c>
      <c r="M175" s="149">
        <v>2000444</v>
      </c>
      <c r="N175" s="149">
        <v>12529094</v>
      </c>
      <c r="O175">
        <v>0</v>
      </c>
      <c r="P175">
        <v>0</v>
      </c>
      <c r="Q175">
        <v>0</v>
      </c>
      <c r="R175">
        <v>0</v>
      </c>
      <c r="S175">
        <v>0</v>
      </c>
      <c r="T175" t="s">
        <v>77</v>
      </c>
      <c r="U175">
        <v>0</v>
      </c>
      <c r="V175">
        <v>0</v>
      </c>
      <c r="W175">
        <v>0</v>
      </c>
      <c r="X175">
        <v>0</v>
      </c>
      <c r="Y175">
        <v>0</v>
      </c>
      <c r="AC175">
        <v>0</v>
      </c>
      <c r="AE175">
        <v>0</v>
      </c>
      <c r="AF175">
        <v>2</v>
      </c>
      <c r="AG175">
        <v>0</v>
      </c>
      <c r="AH175">
        <v>0</v>
      </c>
      <c r="AI175">
        <v>0</v>
      </c>
      <c r="AM175">
        <v>0</v>
      </c>
      <c r="AR175" t="s">
        <v>1887</v>
      </c>
      <c r="AS175" t="s">
        <v>1680</v>
      </c>
      <c r="AT175">
        <v>2024</v>
      </c>
      <c r="AU175">
        <v>8</v>
      </c>
      <c r="AV175" t="s">
        <v>78</v>
      </c>
      <c r="AX175" t="s">
        <v>1957</v>
      </c>
    </row>
    <row r="176" spans="1:50">
      <c r="A176">
        <v>71</v>
      </c>
      <c r="B176">
        <v>33</v>
      </c>
      <c r="C176" t="s">
        <v>74</v>
      </c>
      <c r="D176" t="s">
        <v>1590</v>
      </c>
      <c r="E176" t="s">
        <v>1591</v>
      </c>
      <c r="F176">
        <v>3258</v>
      </c>
      <c r="G176" s="23" t="s">
        <v>797</v>
      </c>
      <c r="H176" s="2" t="s">
        <v>1855</v>
      </c>
      <c r="I176" t="s">
        <v>1856</v>
      </c>
      <c r="K176" s="149">
        <v>0</v>
      </c>
      <c r="L176" s="149">
        <v>184734</v>
      </c>
      <c r="M176" s="149">
        <v>35098</v>
      </c>
      <c r="N176" s="149">
        <v>219832</v>
      </c>
      <c r="O176">
        <v>0</v>
      </c>
      <c r="P176">
        <v>0</v>
      </c>
      <c r="Q176">
        <v>0</v>
      </c>
      <c r="R176">
        <v>0</v>
      </c>
      <c r="S176">
        <v>0</v>
      </c>
      <c r="T176" t="s">
        <v>77</v>
      </c>
      <c r="U176">
        <v>0</v>
      </c>
      <c r="V176">
        <v>0</v>
      </c>
      <c r="W176">
        <v>0</v>
      </c>
      <c r="X176">
        <v>0</v>
      </c>
      <c r="Y176">
        <v>0</v>
      </c>
      <c r="AC176">
        <v>0</v>
      </c>
      <c r="AE176">
        <v>0</v>
      </c>
      <c r="AF176">
        <v>2</v>
      </c>
      <c r="AG176">
        <v>0</v>
      </c>
      <c r="AH176">
        <v>0</v>
      </c>
      <c r="AI176">
        <v>0</v>
      </c>
      <c r="AM176">
        <v>0</v>
      </c>
      <c r="AR176" t="s">
        <v>1887</v>
      </c>
      <c r="AS176" t="s">
        <v>1680</v>
      </c>
      <c r="AT176">
        <v>2024</v>
      </c>
      <c r="AU176">
        <v>8</v>
      </c>
      <c r="AV176" t="s">
        <v>78</v>
      </c>
      <c r="AX176" t="s">
        <v>1958</v>
      </c>
    </row>
    <row r="177" spans="1:50">
      <c r="A177">
        <v>72</v>
      </c>
      <c r="B177">
        <v>33</v>
      </c>
      <c r="C177" t="s">
        <v>74</v>
      </c>
      <c r="D177" t="s">
        <v>1592</v>
      </c>
      <c r="E177" t="s">
        <v>1593</v>
      </c>
      <c r="F177">
        <v>3259</v>
      </c>
      <c r="G177" s="23" t="s">
        <v>797</v>
      </c>
      <c r="H177" s="2" t="s">
        <v>1857</v>
      </c>
      <c r="I177" t="s">
        <v>1858</v>
      </c>
      <c r="K177" s="149">
        <v>0</v>
      </c>
      <c r="L177" s="149">
        <v>290900</v>
      </c>
      <c r="M177" s="149">
        <v>55271</v>
      </c>
      <c r="N177" s="149">
        <v>346171</v>
      </c>
      <c r="O177">
        <v>0</v>
      </c>
      <c r="P177">
        <v>0</v>
      </c>
      <c r="Q177">
        <v>0</v>
      </c>
      <c r="R177">
        <v>0</v>
      </c>
      <c r="S177">
        <v>0</v>
      </c>
      <c r="T177" t="s">
        <v>77</v>
      </c>
      <c r="U177">
        <v>0</v>
      </c>
      <c r="V177">
        <v>0</v>
      </c>
      <c r="W177">
        <v>0</v>
      </c>
      <c r="X177">
        <v>0</v>
      </c>
      <c r="Y177">
        <v>0</v>
      </c>
      <c r="AC177">
        <v>0</v>
      </c>
      <c r="AE177">
        <v>0</v>
      </c>
      <c r="AF177">
        <v>2</v>
      </c>
      <c r="AG177">
        <v>0</v>
      </c>
      <c r="AH177">
        <v>0</v>
      </c>
      <c r="AI177">
        <v>0</v>
      </c>
      <c r="AM177">
        <v>0</v>
      </c>
      <c r="AR177" t="s">
        <v>1887</v>
      </c>
      <c r="AS177" t="s">
        <v>1680</v>
      </c>
      <c r="AT177">
        <v>2024</v>
      </c>
      <c r="AU177">
        <v>8</v>
      </c>
      <c r="AV177" t="s">
        <v>78</v>
      </c>
      <c r="AX177" t="s">
        <v>1959</v>
      </c>
    </row>
    <row r="178" spans="1:50">
      <c r="A178">
        <v>73</v>
      </c>
      <c r="B178">
        <v>33</v>
      </c>
      <c r="C178" t="s">
        <v>74</v>
      </c>
      <c r="D178" t="s">
        <v>1592</v>
      </c>
      <c r="E178" t="s">
        <v>1593</v>
      </c>
      <c r="F178">
        <v>3260</v>
      </c>
      <c r="G178" s="23" t="s">
        <v>797</v>
      </c>
      <c r="H178" s="2" t="s">
        <v>1859</v>
      </c>
      <c r="I178" t="s">
        <v>1858</v>
      </c>
      <c r="K178" s="149">
        <v>0</v>
      </c>
      <c r="L178" s="149">
        <v>304562</v>
      </c>
      <c r="M178" s="149">
        <v>57867</v>
      </c>
      <c r="N178" s="149">
        <v>362429</v>
      </c>
      <c r="O178">
        <v>0</v>
      </c>
      <c r="P178">
        <v>0</v>
      </c>
      <c r="Q178">
        <v>0</v>
      </c>
      <c r="R178">
        <v>0</v>
      </c>
      <c r="S178">
        <v>0</v>
      </c>
      <c r="T178" t="s">
        <v>77</v>
      </c>
      <c r="U178">
        <v>0</v>
      </c>
      <c r="V178">
        <v>0</v>
      </c>
      <c r="W178">
        <v>0</v>
      </c>
      <c r="X178">
        <v>0</v>
      </c>
      <c r="Y178">
        <v>0</v>
      </c>
      <c r="AC178">
        <v>0</v>
      </c>
      <c r="AE178">
        <v>0</v>
      </c>
      <c r="AF178">
        <v>2</v>
      </c>
      <c r="AG178">
        <v>0</v>
      </c>
      <c r="AH178">
        <v>0</v>
      </c>
      <c r="AI178">
        <v>0</v>
      </c>
      <c r="AM178">
        <v>0</v>
      </c>
      <c r="AR178" t="s">
        <v>1887</v>
      </c>
      <c r="AS178" t="s">
        <v>1680</v>
      </c>
      <c r="AT178">
        <v>2024</v>
      </c>
      <c r="AU178">
        <v>8</v>
      </c>
      <c r="AV178" t="s">
        <v>78</v>
      </c>
      <c r="AX178" t="s">
        <v>1960</v>
      </c>
    </row>
    <row r="179" spans="1:50">
      <c r="A179">
        <v>74</v>
      </c>
      <c r="B179">
        <v>33</v>
      </c>
      <c r="C179" t="s">
        <v>74</v>
      </c>
      <c r="D179" t="s">
        <v>1571</v>
      </c>
      <c r="E179" t="s">
        <v>1572</v>
      </c>
      <c r="F179">
        <v>3261</v>
      </c>
      <c r="G179" s="23" t="s">
        <v>797</v>
      </c>
      <c r="H179" s="2" t="s">
        <v>1860</v>
      </c>
      <c r="I179" t="s">
        <v>1861</v>
      </c>
      <c r="K179" s="149">
        <v>0</v>
      </c>
      <c r="L179" s="149">
        <v>9676800</v>
      </c>
      <c r="M179" s="149">
        <v>1838592</v>
      </c>
      <c r="N179" s="149">
        <v>11515392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77</v>
      </c>
      <c r="U179">
        <v>0</v>
      </c>
      <c r="V179">
        <v>0</v>
      </c>
      <c r="W179">
        <v>0</v>
      </c>
      <c r="X179">
        <v>0</v>
      </c>
      <c r="AC179">
        <v>0</v>
      </c>
      <c r="AE179">
        <v>0</v>
      </c>
      <c r="AF179">
        <v>2</v>
      </c>
      <c r="AG179">
        <v>0</v>
      </c>
      <c r="AH179">
        <v>0</v>
      </c>
      <c r="AI179">
        <v>0</v>
      </c>
      <c r="AM179">
        <v>0</v>
      </c>
      <c r="AR179" t="s">
        <v>1887</v>
      </c>
      <c r="AS179" t="s">
        <v>1680</v>
      </c>
      <c r="AT179">
        <v>2024</v>
      </c>
      <c r="AU179">
        <v>8</v>
      </c>
      <c r="AV179" t="s">
        <v>78</v>
      </c>
      <c r="AX179" t="s">
        <v>1961</v>
      </c>
    </row>
    <row r="180" spans="1:50">
      <c r="A180">
        <v>75</v>
      </c>
      <c r="B180">
        <v>33</v>
      </c>
      <c r="C180" t="s">
        <v>74</v>
      </c>
      <c r="D180" t="s">
        <v>1577</v>
      </c>
      <c r="E180" t="s">
        <v>1578</v>
      </c>
      <c r="F180">
        <v>3262</v>
      </c>
      <c r="G180" s="23" t="s">
        <v>797</v>
      </c>
      <c r="H180" s="2" t="s">
        <v>1862</v>
      </c>
      <c r="K180" s="149">
        <v>0</v>
      </c>
      <c r="L180" s="149">
        <v>193110</v>
      </c>
      <c r="M180" s="149">
        <v>36692</v>
      </c>
      <c r="N180" s="149">
        <v>229802</v>
      </c>
      <c r="O180">
        <v>0</v>
      </c>
      <c r="P180">
        <v>0</v>
      </c>
      <c r="Q180">
        <v>0</v>
      </c>
      <c r="R180">
        <v>0</v>
      </c>
      <c r="S180">
        <v>0</v>
      </c>
      <c r="T180" t="s">
        <v>77</v>
      </c>
      <c r="U180">
        <v>0</v>
      </c>
      <c r="V180">
        <v>0</v>
      </c>
      <c r="W180">
        <v>0</v>
      </c>
      <c r="X180">
        <v>0</v>
      </c>
      <c r="Y180">
        <v>0</v>
      </c>
      <c r="AC180">
        <v>0</v>
      </c>
      <c r="AE180">
        <v>0</v>
      </c>
      <c r="AF180">
        <v>2</v>
      </c>
      <c r="AG180">
        <v>0</v>
      </c>
      <c r="AH180">
        <v>0</v>
      </c>
      <c r="AI180">
        <v>0</v>
      </c>
      <c r="AM180">
        <v>0</v>
      </c>
      <c r="AR180" t="s">
        <v>1887</v>
      </c>
      <c r="AS180" t="s">
        <v>1680</v>
      </c>
      <c r="AT180">
        <v>2024</v>
      </c>
      <c r="AU180">
        <v>8</v>
      </c>
      <c r="AV180" t="s">
        <v>78</v>
      </c>
      <c r="AX180" t="s">
        <v>1962</v>
      </c>
    </row>
    <row r="181" spans="1:50">
      <c r="A181">
        <v>76</v>
      </c>
      <c r="B181">
        <v>33</v>
      </c>
      <c r="C181" t="s">
        <v>74</v>
      </c>
      <c r="D181" t="s">
        <v>1583</v>
      </c>
      <c r="E181" t="s">
        <v>1584</v>
      </c>
      <c r="F181">
        <v>3263</v>
      </c>
      <c r="G181" s="23" t="s">
        <v>797</v>
      </c>
      <c r="H181" s="2" t="s">
        <v>1863</v>
      </c>
      <c r="K181" s="149">
        <v>0</v>
      </c>
      <c r="L181" s="149">
        <v>391496</v>
      </c>
      <c r="M181" s="149">
        <v>74385</v>
      </c>
      <c r="N181" s="149">
        <v>465881</v>
      </c>
      <c r="O181">
        <v>0</v>
      </c>
      <c r="P181">
        <v>0</v>
      </c>
      <c r="Q181">
        <v>0</v>
      </c>
      <c r="R181">
        <v>0</v>
      </c>
      <c r="S181">
        <v>0</v>
      </c>
      <c r="T181" t="s">
        <v>77</v>
      </c>
      <c r="U181">
        <v>0</v>
      </c>
      <c r="V181">
        <v>0</v>
      </c>
      <c r="W181">
        <v>0</v>
      </c>
      <c r="X181">
        <v>0</v>
      </c>
      <c r="Y181">
        <v>0</v>
      </c>
      <c r="AC181">
        <v>0</v>
      </c>
      <c r="AE181">
        <v>0</v>
      </c>
      <c r="AF181">
        <v>2</v>
      </c>
      <c r="AG181">
        <v>0</v>
      </c>
      <c r="AH181">
        <v>0</v>
      </c>
      <c r="AI181">
        <v>0</v>
      </c>
      <c r="AM181">
        <v>0</v>
      </c>
      <c r="AR181" t="s">
        <v>1887</v>
      </c>
      <c r="AS181" t="s">
        <v>1680</v>
      </c>
      <c r="AT181">
        <v>2024</v>
      </c>
      <c r="AU181">
        <v>8</v>
      </c>
      <c r="AV181" t="s">
        <v>78</v>
      </c>
      <c r="AX181" t="s">
        <v>1963</v>
      </c>
    </row>
    <row r="182" spans="1:50">
      <c r="A182">
        <v>77</v>
      </c>
      <c r="B182">
        <v>33</v>
      </c>
      <c r="C182" t="s">
        <v>74</v>
      </c>
      <c r="D182" t="s">
        <v>1353</v>
      </c>
      <c r="E182" t="s">
        <v>1354</v>
      </c>
      <c r="F182">
        <v>3264</v>
      </c>
      <c r="G182" s="23" t="s">
        <v>798</v>
      </c>
      <c r="H182" s="2" t="s">
        <v>1864</v>
      </c>
      <c r="I182" t="s">
        <v>1865</v>
      </c>
      <c r="K182" s="149">
        <v>0</v>
      </c>
      <c r="L182" s="149">
        <v>4186282</v>
      </c>
      <c r="M182" s="149">
        <v>795395</v>
      </c>
      <c r="N182" s="149">
        <v>4981677</v>
      </c>
      <c r="O182">
        <v>0</v>
      </c>
      <c r="P182">
        <v>0</v>
      </c>
      <c r="Q182">
        <v>0</v>
      </c>
      <c r="R182">
        <v>0</v>
      </c>
      <c r="S182">
        <v>0</v>
      </c>
      <c r="T182" t="s">
        <v>77</v>
      </c>
      <c r="U182">
        <v>0</v>
      </c>
      <c r="V182">
        <v>0</v>
      </c>
      <c r="W182">
        <v>0</v>
      </c>
      <c r="X182">
        <v>0</v>
      </c>
      <c r="Y182">
        <v>0</v>
      </c>
      <c r="AC182">
        <v>0</v>
      </c>
      <c r="AE182">
        <v>0</v>
      </c>
      <c r="AF182">
        <v>2</v>
      </c>
      <c r="AG182">
        <v>0</v>
      </c>
      <c r="AH182">
        <v>0</v>
      </c>
      <c r="AI182">
        <v>0</v>
      </c>
      <c r="AM182">
        <v>0</v>
      </c>
      <c r="AR182" t="s">
        <v>1887</v>
      </c>
      <c r="AS182" t="s">
        <v>1680</v>
      </c>
      <c r="AT182">
        <v>2024</v>
      </c>
      <c r="AU182">
        <v>8</v>
      </c>
      <c r="AV182" t="s">
        <v>78</v>
      </c>
      <c r="AX182" t="s">
        <v>1964</v>
      </c>
    </row>
    <row r="183" spans="1:50">
      <c r="A183">
        <v>78</v>
      </c>
      <c r="B183">
        <v>33</v>
      </c>
      <c r="C183" t="s">
        <v>74</v>
      </c>
      <c r="D183" t="s">
        <v>1353</v>
      </c>
      <c r="E183" t="s">
        <v>1354</v>
      </c>
      <c r="F183">
        <v>3265</v>
      </c>
      <c r="G183" s="23" t="s">
        <v>798</v>
      </c>
      <c r="H183" s="2" t="s">
        <v>1866</v>
      </c>
      <c r="I183" t="s">
        <v>1867</v>
      </c>
      <c r="K183" s="149">
        <v>0</v>
      </c>
      <c r="L183" s="149">
        <v>158400</v>
      </c>
      <c r="M183" s="149">
        <v>30096</v>
      </c>
      <c r="N183" s="149">
        <v>188496</v>
      </c>
      <c r="O183">
        <v>0</v>
      </c>
      <c r="P183">
        <v>0</v>
      </c>
      <c r="Q183">
        <v>0</v>
      </c>
      <c r="R183">
        <v>0</v>
      </c>
      <c r="S183">
        <v>0</v>
      </c>
      <c r="T183" t="s">
        <v>77</v>
      </c>
      <c r="U183">
        <v>0</v>
      </c>
      <c r="V183">
        <v>0</v>
      </c>
      <c r="W183">
        <v>0</v>
      </c>
      <c r="X183">
        <v>0</v>
      </c>
      <c r="Y183">
        <v>0</v>
      </c>
      <c r="AC183">
        <v>0</v>
      </c>
      <c r="AE183">
        <v>0</v>
      </c>
      <c r="AF183">
        <v>2</v>
      </c>
      <c r="AG183">
        <v>0</v>
      </c>
      <c r="AH183">
        <v>0</v>
      </c>
      <c r="AI183">
        <v>0</v>
      </c>
      <c r="AM183">
        <v>0</v>
      </c>
      <c r="AR183" t="s">
        <v>1887</v>
      </c>
      <c r="AS183" t="s">
        <v>1680</v>
      </c>
      <c r="AT183">
        <v>2024</v>
      </c>
      <c r="AU183">
        <v>8</v>
      </c>
      <c r="AV183" t="s">
        <v>78</v>
      </c>
      <c r="AX183" t="s">
        <v>1965</v>
      </c>
    </row>
    <row r="184" spans="1:50">
      <c r="A184">
        <v>79</v>
      </c>
      <c r="B184">
        <v>33</v>
      </c>
      <c r="C184" t="s">
        <v>74</v>
      </c>
      <c r="D184" t="s">
        <v>1588</v>
      </c>
      <c r="E184" t="s">
        <v>1589</v>
      </c>
      <c r="F184">
        <v>3266</v>
      </c>
      <c r="G184" s="23" t="s">
        <v>798</v>
      </c>
      <c r="H184" s="2" t="s">
        <v>1868</v>
      </c>
      <c r="I184" s="2" t="s">
        <v>1869</v>
      </c>
      <c r="K184" s="149">
        <v>0</v>
      </c>
      <c r="L184" s="149">
        <v>1724660</v>
      </c>
      <c r="M184" s="149">
        <v>327686</v>
      </c>
      <c r="N184" s="149">
        <v>2052346</v>
      </c>
      <c r="O184">
        <v>0</v>
      </c>
      <c r="P184">
        <v>0</v>
      </c>
      <c r="Q184">
        <v>0</v>
      </c>
      <c r="R184">
        <v>0</v>
      </c>
      <c r="S184">
        <v>0</v>
      </c>
      <c r="T184" t="s">
        <v>77</v>
      </c>
      <c r="U184">
        <v>0</v>
      </c>
      <c r="V184">
        <v>0</v>
      </c>
      <c r="W184">
        <v>0</v>
      </c>
      <c r="X184">
        <v>0</v>
      </c>
      <c r="Y184">
        <v>0</v>
      </c>
      <c r="AC184">
        <v>0</v>
      </c>
      <c r="AE184">
        <v>0</v>
      </c>
      <c r="AF184">
        <v>2</v>
      </c>
      <c r="AG184">
        <v>0</v>
      </c>
      <c r="AH184">
        <v>0</v>
      </c>
      <c r="AI184">
        <v>0</v>
      </c>
      <c r="AM184">
        <v>0</v>
      </c>
      <c r="AR184" t="s">
        <v>1887</v>
      </c>
      <c r="AS184" t="s">
        <v>1680</v>
      </c>
      <c r="AT184">
        <v>2024</v>
      </c>
      <c r="AU184">
        <v>8</v>
      </c>
      <c r="AV184" t="s">
        <v>78</v>
      </c>
      <c r="AX184" t="s">
        <v>1966</v>
      </c>
    </row>
    <row r="185" spans="1:50">
      <c r="A185">
        <v>80</v>
      </c>
      <c r="B185">
        <v>33</v>
      </c>
      <c r="C185" t="s">
        <v>74</v>
      </c>
      <c r="D185" t="s">
        <v>1222</v>
      </c>
      <c r="E185" t="s">
        <v>1223</v>
      </c>
      <c r="F185">
        <v>3267</v>
      </c>
      <c r="G185" s="23" t="s">
        <v>798</v>
      </c>
      <c r="H185" s="2" t="s">
        <v>1870</v>
      </c>
      <c r="K185" s="149">
        <v>0</v>
      </c>
      <c r="L185" s="149">
        <v>43758965</v>
      </c>
      <c r="M185" s="149">
        <v>8314203</v>
      </c>
      <c r="N185" s="149">
        <v>52073168</v>
      </c>
      <c r="O185">
        <v>0</v>
      </c>
      <c r="P185">
        <v>0</v>
      </c>
      <c r="Q185">
        <v>0</v>
      </c>
      <c r="R185">
        <v>0</v>
      </c>
      <c r="S185">
        <v>0</v>
      </c>
      <c r="T185" t="s">
        <v>77</v>
      </c>
      <c r="U185">
        <v>0</v>
      </c>
      <c r="V185">
        <v>0</v>
      </c>
      <c r="W185">
        <v>0</v>
      </c>
      <c r="X185">
        <v>0</v>
      </c>
      <c r="AC185">
        <v>0</v>
      </c>
      <c r="AE185">
        <v>0</v>
      </c>
      <c r="AF185">
        <v>2</v>
      </c>
      <c r="AG185">
        <v>0</v>
      </c>
      <c r="AH185">
        <v>0</v>
      </c>
      <c r="AI185">
        <v>0</v>
      </c>
      <c r="AM185">
        <v>0</v>
      </c>
      <c r="AR185" t="s">
        <v>1887</v>
      </c>
      <c r="AS185" t="s">
        <v>1680</v>
      </c>
      <c r="AT185">
        <v>2024</v>
      </c>
      <c r="AU185">
        <v>8</v>
      </c>
      <c r="AV185" t="s">
        <v>78</v>
      </c>
      <c r="AX185" t="s">
        <v>1967</v>
      </c>
    </row>
    <row r="186" spans="1:50">
      <c r="A186">
        <v>81</v>
      </c>
      <c r="B186">
        <v>33</v>
      </c>
      <c r="C186" t="s">
        <v>74</v>
      </c>
      <c r="D186" t="s">
        <v>1222</v>
      </c>
      <c r="E186" t="s">
        <v>1223</v>
      </c>
      <c r="F186">
        <v>3268</v>
      </c>
      <c r="G186" s="23" t="s">
        <v>799</v>
      </c>
      <c r="H186" s="2" t="s">
        <v>1871</v>
      </c>
      <c r="K186" s="149">
        <v>0</v>
      </c>
      <c r="L186" s="149">
        <v>1439550</v>
      </c>
      <c r="M186" s="149">
        <v>273515</v>
      </c>
      <c r="N186" s="149">
        <v>1713065</v>
      </c>
      <c r="O186">
        <v>0</v>
      </c>
      <c r="P186">
        <v>0</v>
      </c>
      <c r="Q186">
        <v>0</v>
      </c>
      <c r="R186">
        <v>0</v>
      </c>
      <c r="S186">
        <v>0</v>
      </c>
      <c r="T186" t="s">
        <v>77</v>
      </c>
      <c r="U186">
        <v>0</v>
      </c>
      <c r="V186">
        <v>0</v>
      </c>
      <c r="W186">
        <v>0</v>
      </c>
      <c r="X186">
        <v>0</v>
      </c>
      <c r="AC186">
        <v>0</v>
      </c>
      <c r="AE186">
        <v>0</v>
      </c>
      <c r="AF186">
        <v>2</v>
      </c>
      <c r="AG186">
        <v>0</v>
      </c>
      <c r="AH186">
        <v>0</v>
      </c>
      <c r="AI186">
        <v>0</v>
      </c>
      <c r="AM186">
        <v>0</v>
      </c>
      <c r="AR186" t="s">
        <v>1887</v>
      </c>
      <c r="AS186" t="s">
        <v>1680</v>
      </c>
      <c r="AT186">
        <v>2024</v>
      </c>
      <c r="AU186">
        <v>8</v>
      </c>
      <c r="AV186" t="s">
        <v>78</v>
      </c>
      <c r="AX186" t="s">
        <v>1968</v>
      </c>
    </row>
    <row r="187" spans="1:50">
      <c r="A187">
        <v>82</v>
      </c>
      <c r="B187">
        <v>33</v>
      </c>
      <c r="C187" t="s">
        <v>74</v>
      </c>
      <c r="D187" t="s">
        <v>1571</v>
      </c>
      <c r="E187" t="s">
        <v>1572</v>
      </c>
      <c r="F187">
        <v>3269</v>
      </c>
      <c r="G187" s="23" t="s">
        <v>799</v>
      </c>
      <c r="H187" s="2" t="s">
        <v>1872</v>
      </c>
      <c r="J187" t="s">
        <v>1873</v>
      </c>
      <c r="K187" s="149">
        <v>0</v>
      </c>
      <c r="L187" s="149">
        <v>2419200</v>
      </c>
      <c r="M187" s="149">
        <v>459648</v>
      </c>
      <c r="N187" s="149">
        <v>2878848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77</v>
      </c>
      <c r="U187">
        <v>0</v>
      </c>
      <c r="V187">
        <v>0</v>
      </c>
      <c r="W187">
        <v>0</v>
      </c>
      <c r="X187">
        <v>0</v>
      </c>
      <c r="AC187">
        <v>0</v>
      </c>
      <c r="AE187">
        <v>0</v>
      </c>
      <c r="AF187">
        <v>2</v>
      </c>
      <c r="AG187">
        <v>0</v>
      </c>
      <c r="AH187">
        <v>0</v>
      </c>
      <c r="AI187">
        <v>0</v>
      </c>
      <c r="AM187">
        <v>0</v>
      </c>
      <c r="AR187" t="s">
        <v>1887</v>
      </c>
      <c r="AS187" t="s">
        <v>1680</v>
      </c>
      <c r="AT187">
        <v>2024</v>
      </c>
      <c r="AU187">
        <v>8</v>
      </c>
      <c r="AV187" t="s">
        <v>78</v>
      </c>
      <c r="AX187" t="s">
        <v>1969</v>
      </c>
    </row>
    <row r="188" spans="1:50">
      <c r="A188">
        <v>83</v>
      </c>
      <c r="B188">
        <v>33</v>
      </c>
      <c r="C188" t="s">
        <v>74</v>
      </c>
      <c r="D188" t="s">
        <v>1571</v>
      </c>
      <c r="E188" t="s">
        <v>1572</v>
      </c>
      <c r="F188">
        <v>3270</v>
      </c>
      <c r="G188" s="23" t="s">
        <v>799</v>
      </c>
      <c r="H188" s="2" t="s">
        <v>1874</v>
      </c>
      <c r="I188" s="2" t="s">
        <v>1875</v>
      </c>
      <c r="K188" s="149">
        <v>0</v>
      </c>
      <c r="L188" s="149">
        <v>2419200</v>
      </c>
      <c r="M188" s="149">
        <v>459648</v>
      </c>
      <c r="N188" s="149">
        <v>2878848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77</v>
      </c>
      <c r="U188">
        <v>0</v>
      </c>
      <c r="V188">
        <v>0</v>
      </c>
      <c r="W188">
        <v>0</v>
      </c>
      <c r="X188">
        <v>0</v>
      </c>
      <c r="AC188">
        <v>0</v>
      </c>
      <c r="AE188">
        <v>0</v>
      </c>
      <c r="AF188">
        <v>2</v>
      </c>
      <c r="AG188">
        <v>0</v>
      </c>
      <c r="AH188">
        <v>0</v>
      </c>
      <c r="AI188">
        <v>0</v>
      </c>
      <c r="AM188">
        <v>0</v>
      </c>
      <c r="AR188" t="s">
        <v>1887</v>
      </c>
      <c r="AS188" t="s">
        <v>1680</v>
      </c>
      <c r="AT188">
        <v>2024</v>
      </c>
      <c r="AU188">
        <v>8</v>
      </c>
      <c r="AV188" t="s">
        <v>78</v>
      </c>
      <c r="AX188" t="s">
        <v>1970</v>
      </c>
    </row>
    <row r="189" spans="1:50">
      <c r="A189">
        <v>84</v>
      </c>
      <c r="B189">
        <v>61</v>
      </c>
      <c r="C189" t="s">
        <v>74</v>
      </c>
      <c r="D189" t="s">
        <v>1222</v>
      </c>
      <c r="E189" t="s">
        <v>1223</v>
      </c>
      <c r="F189">
        <v>701</v>
      </c>
      <c r="G189" s="23">
        <v>45513</v>
      </c>
      <c r="H189" s="2">
        <v>45543.452824074076</v>
      </c>
      <c r="I189" s="2"/>
      <c r="K189" s="149">
        <v>0</v>
      </c>
      <c r="L189" s="149">
        <v>-24328800</v>
      </c>
      <c r="M189" s="149">
        <v>-4622472</v>
      </c>
      <c r="N189" s="149">
        <v>-28951272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77</v>
      </c>
      <c r="U189">
        <v>0</v>
      </c>
      <c r="V189">
        <v>0</v>
      </c>
      <c r="W189">
        <v>0</v>
      </c>
      <c r="X189">
        <v>0</v>
      </c>
      <c r="Y189">
        <v>33</v>
      </c>
      <c r="Z189">
        <v>3151</v>
      </c>
      <c r="AC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M189">
        <v>0</v>
      </c>
      <c r="AR189" t="s">
        <v>1887</v>
      </c>
      <c r="AS189" t="s">
        <v>1680</v>
      </c>
      <c r="AT189">
        <v>2024</v>
      </c>
      <c r="AU189">
        <v>8</v>
      </c>
      <c r="AV189" t="s">
        <v>318</v>
      </c>
      <c r="AX189" t="s">
        <v>1971</v>
      </c>
    </row>
    <row r="190" spans="1:50">
      <c r="A190">
        <v>85</v>
      </c>
      <c r="B190">
        <v>61</v>
      </c>
      <c r="C190" t="s">
        <v>74</v>
      </c>
      <c r="D190" t="s">
        <v>1222</v>
      </c>
      <c r="E190" t="s">
        <v>1223</v>
      </c>
      <c r="F190">
        <v>702</v>
      </c>
      <c r="G190" s="23">
        <v>45513</v>
      </c>
      <c r="H190" s="2">
        <v>45543.462835648148</v>
      </c>
      <c r="K190" s="149">
        <v>0</v>
      </c>
      <c r="L190" s="149">
        <v>-16211852</v>
      </c>
      <c r="M190" s="149">
        <v>-3080252</v>
      </c>
      <c r="N190" s="149">
        <v>-19292104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77</v>
      </c>
      <c r="U190">
        <v>0</v>
      </c>
      <c r="V190">
        <v>0</v>
      </c>
      <c r="W190">
        <v>0</v>
      </c>
      <c r="X190">
        <v>0</v>
      </c>
      <c r="Y190">
        <v>33</v>
      </c>
      <c r="Z190">
        <v>3184</v>
      </c>
      <c r="AC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M190">
        <v>0</v>
      </c>
      <c r="AR190" t="s">
        <v>1887</v>
      </c>
      <c r="AS190" t="s">
        <v>1680</v>
      </c>
      <c r="AT190">
        <v>2024</v>
      </c>
      <c r="AU190">
        <v>8</v>
      </c>
      <c r="AV190" t="s">
        <v>318</v>
      </c>
      <c r="AX190" t="s">
        <v>1972</v>
      </c>
    </row>
    <row r="191" spans="1:50">
      <c r="A191">
        <v>86</v>
      </c>
      <c r="B191">
        <v>61</v>
      </c>
      <c r="C191" t="s">
        <v>74</v>
      </c>
      <c r="D191" t="s">
        <v>1571</v>
      </c>
      <c r="E191" t="s">
        <v>1572</v>
      </c>
      <c r="F191">
        <v>703</v>
      </c>
      <c r="G191" s="23">
        <v>45516</v>
      </c>
      <c r="H191" s="2">
        <v>45634.609224537038</v>
      </c>
      <c r="I191" s="2"/>
      <c r="J191" s="2">
        <v>45634.917858796296</v>
      </c>
      <c r="K191" s="149">
        <v>0</v>
      </c>
      <c r="L191" s="149">
        <v>-7499415</v>
      </c>
      <c r="M191" s="149">
        <v>-1424889</v>
      </c>
      <c r="N191" s="149">
        <v>-8924304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77</v>
      </c>
      <c r="U191">
        <v>0</v>
      </c>
      <c r="V191">
        <v>0</v>
      </c>
      <c r="W191">
        <v>0</v>
      </c>
      <c r="X191">
        <v>0</v>
      </c>
      <c r="Y191">
        <v>33</v>
      </c>
      <c r="Z191">
        <v>3208</v>
      </c>
      <c r="AC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M191">
        <v>0</v>
      </c>
      <c r="AR191" t="s">
        <v>1887</v>
      </c>
      <c r="AS191" t="s">
        <v>1680</v>
      </c>
      <c r="AT191">
        <v>2024</v>
      </c>
      <c r="AU191">
        <v>8</v>
      </c>
      <c r="AV191" t="s">
        <v>318</v>
      </c>
      <c r="AX191" t="s">
        <v>1973</v>
      </c>
    </row>
    <row r="192" spans="1:50">
      <c r="A192">
        <v>87</v>
      </c>
      <c r="B192">
        <v>61</v>
      </c>
      <c r="C192" t="s">
        <v>74</v>
      </c>
      <c r="D192" t="s">
        <v>1588</v>
      </c>
      <c r="E192" t="s">
        <v>1589</v>
      </c>
      <c r="F192">
        <v>704</v>
      </c>
      <c r="G192" s="23" t="s">
        <v>883</v>
      </c>
      <c r="H192" s="2" t="s">
        <v>1876</v>
      </c>
      <c r="K192" s="149">
        <v>0</v>
      </c>
      <c r="L192" s="149">
        <v>-2548600</v>
      </c>
      <c r="M192" s="149">
        <v>-484235</v>
      </c>
      <c r="N192" s="149">
        <v>-3032835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77</v>
      </c>
      <c r="U192">
        <v>0</v>
      </c>
      <c r="V192">
        <v>0</v>
      </c>
      <c r="W192">
        <v>0</v>
      </c>
      <c r="X192">
        <v>0</v>
      </c>
      <c r="Y192">
        <v>33</v>
      </c>
      <c r="Z192">
        <v>3225</v>
      </c>
      <c r="AC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M192">
        <v>0</v>
      </c>
      <c r="AR192" t="s">
        <v>1887</v>
      </c>
      <c r="AS192" t="s">
        <v>1680</v>
      </c>
      <c r="AT192">
        <v>2024</v>
      </c>
      <c r="AU192">
        <v>8</v>
      </c>
      <c r="AV192" t="s">
        <v>318</v>
      </c>
      <c r="AX192" t="s">
        <v>1974</v>
      </c>
    </row>
    <row r="193" spans="1:50">
      <c r="A193">
        <v>88</v>
      </c>
      <c r="B193">
        <v>61</v>
      </c>
      <c r="C193" t="s">
        <v>74</v>
      </c>
      <c r="D193" t="s">
        <v>1573</v>
      </c>
      <c r="E193" t="s">
        <v>1574</v>
      </c>
      <c r="F193">
        <v>705</v>
      </c>
      <c r="G193" s="23" t="s">
        <v>789</v>
      </c>
      <c r="H193" s="2" t="s">
        <v>1877</v>
      </c>
      <c r="K193" s="149">
        <v>0</v>
      </c>
      <c r="L193" s="149">
        <v>-34911</v>
      </c>
      <c r="M193" s="149">
        <v>-6633</v>
      </c>
      <c r="N193" s="149">
        <v>-41544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77</v>
      </c>
      <c r="U193">
        <v>0</v>
      </c>
      <c r="V193">
        <v>0</v>
      </c>
      <c r="W193">
        <v>0</v>
      </c>
      <c r="X193">
        <v>0</v>
      </c>
      <c r="Y193">
        <v>33</v>
      </c>
      <c r="Z193">
        <v>3218</v>
      </c>
      <c r="AC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M193">
        <v>0</v>
      </c>
      <c r="AR193" t="s">
        <v>1887</v>
      </c>
      <c r="AS193" t="s">
        <v>1680</v>
      </c>
      <c r="AT193">
        <v>2024</v>
      </c>
      <c r="AU193">
        <v>8</v>
      </c>
      <c r="AV193" t="s">
        <v>318</v>
      </c>
      <c r="AX193" t="s">
        <v>1975</v>
      </c>
    </row>
    <row r="194" spans="1:50">
      <c r="A194">
        <v>89</v>
      </c>
      <c r="B194">
        <v>61</v>
      </c>
      <c r="C194" t="s">
        <v>74</v>
      </c>
      <c r="D194" t="s">
        <v>1222</v>
      </c>
      <c r="E194" t="s">
        <v>1223</v>
      </c>
      <c r="F194">
        <v>706</v>
      </c>
      <c r="G194" s="23" t="s">
        <v>792</v>
      </c>
      <c r="H194" s="2" t="s">
        <v>1878</v>
      </c>
      <c r="K194" s="149">
        <v>0</v>
      </c>
      <c r="L194" s="149">
        <v>-28082913</v>
      </c>
      <c r="M194" s="149">
        <v>-5335753</v>
      </c>
      <c r="N194" s="149">
        <v>-33418666</v>
      </c>
      <c r="O194">
        <v>0</v>
      </c>
      <c r="P194">
        <v>0</v>
      </c>
      <c r="Q194">
        <v>0</v>
      </c>
      <c r="R194">
        <v>0</v>
      </c>
      <c r="S194">
        <v>0</v>
      </c>
      <c r="T194" t="s">
        <v>77</v>
      </c>
      <c r="U194">
        <v>0</v>
      </c>
      <c r="V194">
        <v>0</v>
      </c>
      <c r="W194">
        <v>0</v>
      </c>
      <c r="X194">
        <v>0</v>
      </c>
      <c r="Y194">
        <v>33</v>
      </c>
      <c r="Z194">
        <v>3215</v>
      </c>
      <c r="AC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M194">
        <v>0</v>
      </c>
      <c r="AR194" t="s">
        <v>1887</v>
      </c>
      <c r="AS194" t="s">
        <v>1680</v>
      </c>
      <c r="AT194">
        <v>2024</v>
      </c>
      <c r="AU194">
        <v>8</v>
      </c>
      <c r="AV194" t="s">
        <v>318</v>
      </c>
      <c r="AX194" t="s">
        <v>1976</v>
      </c>
    </row>
    <row r="195" spans="1:50">
      <c r="A195">
        <v>90</v>
      </c>
      <c r="B195">
        <v>61</v>
      </c>
      <c r="C195" t="s">
        <v>74</v>
      </c>
      <c r="D195" t="s">
        <v>1222</v>
      </c>
      <c r="E195" t="s">
        <v>1223</v>
      </c>
      <c r="F195">
        <v>707</v>
      </c>
      <c r="G195" s="23" t="s">
        <v>792</v>
      </c>
      <c r="H195" s="2" t="s">
        <v>1879</v>
      </c>
      <c r="I195" s="2"/>
      <c r="K195" s="149">
        <v>0</v>
      </c>
      <c r="L195" s="149">
        <v>-5628400</v>
      </c>
      <c r="M195" s="149">
        <v>-1069396</v>
      </c>
      <c r="N195" s="149">
        <v>-6697796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77</v>
      </c>
      <c r="U195">
        <v>0</v>
      </c>
      <c r="V195">
        <v>0</v>
      </c>
      <c r="W195">
        <v>0</v>
      </c>
      <c r="X195">
        <v>0</v>
      </c>
      <c r="Y195">
        <v>33</v>
      </c>
      <c r="Z195">
        <v>3216</v>
      </c>
      <c r="AC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M195">
        <v>0</v>
      </c>
      <c r="AR195" t="s">
        <v>1887</v>
      </c>
      <c r="AS195" t="s">
        <v>1680</v>
      </c>
      <c r="AT195">
        <v>2024</v>
      </c>
      <c r="AU195">
        <v>8</v>
      </c>
      <c r="AV195" t="s">
        <v>318</v>
      </c>
      <c r="AX195" t="s">
        <v>1977</v>
      </c>
    </row>
    <row r="196" spans="1:50">
      <c r="A196">
        <v>91</v>
      </c>
      <c r="B196">
        <v>61</v>
      </c>
      <c r="C196" t="s">
        <v>74</v>
      </c>
      <c r="D196" t="s">
        <v>1571</v>
      </c>
      <c r="E196" t="s">
        <v>1572</v>
      </c>
      <c r="F196">
        <v>708</v>
      </c>
      <c r="G196" s="23" t="s">
        <v>3798</v>
      </c>
      <c r="H196" s="2" t="s">
        <v>1880</v>
      </c>
      <c r="J196" t="s">
        <v>1837</v>
      </c>
      <c r="K196" s="149">
        <v>0</v>
      </c>
      <c r="L196" s="149">
        <v>-15144595</v>
      </c>
      <c r="M196" s="149">
        <v>-2877473</v>
      </c>
      <c r="N196" s="149">
        <v>-18022068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77</v>
      </c>
      <c r="U196">
        <v>0</v>
      </c>
      <c r="V196">
        <v>0</v>
      </c>
      <c r="W196">
        <v>0</v>
      </c>
      <c r="X196">
        <v>0</v>
      </c>
      <c r="Y196">
        <v>33</v>
      </c>
      <c r="Z196">
        <v>3247</v>
      </c>
      <c r="AC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M196">
        <v>0</v>
      </c>
      <c r="AR196" t="s">
        <v>1887</v>
      </c>
      <c r="AS196" t="s">
        <v>1680</v>
      </c>
      <c r="AT196">
        <v>2024</v>
      </c>
      <c r="AU196">
        <v>8</v>
      </c>
      <c r="AV196" t="s">
        <v>318</v>
      </c>
      <c r="AX196" t="s">
        <v>1978</v>
      </c>
    </row>
    <row r="197" spans="1:50">
      <c r="A197">
        <v>92</v>
      </c>
      <c r="B197">
        <v>61</v>
      </c>
      <c r="C197" t="s">
        <v>74</v>
      </c>
      <c r="D197" t="s">
        <v>1222</v>
      </c>
      <c r="E197" t="s">
        <v>1223</v>
      </c>
      <c r="F197">
        <v>709</v>
      </c>
      <c r="G197" s="23" t="s">
        <v>795</v>
      </c>
      <c r="H197" s="2" t="s">
        <v>1881</v>
      </c>
      <c r="I197" s="2"/>
      <c r="K197" s="149">
        <v>0</v>
      </c>
      <c r="L197" s="149">
        <v>-20177478</v>
      </c>
      <c r="M197" s="149">
        <v>-3833721</v>
      </c>
      <c r="N197" s="149">
        <v>-24011199</v>
      </c>
      <c r="O197">
        <v>0</v>
      </c>
      <c r="P197">
        <v>0</v>
      </c>
      <c r="Q197">
        <v>0</v>
      </c>
      <c r="R197">
        <v>0</v>
      </c>
      <c r="S197">
        <v>0</v>
      </c>
      <c r="T197" t="s">
        <v>77</v>
      </c>
      <c r="U197">
        <v>0</v>
      </c>
      <c r="V197">
        <v>0</v>
      </c>
      <c r="W197">
        <v>0</v>
      </c>
      <c r="X197">
        <v>0</v>
      </c>
      <c r="Y197">
        <v>33</v>
      </c>
      <c r="Z197">
        <v>3229</v>
      </c>
      <c r="AC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M197">
        <v>0</v>
      </c>
      <c r="AR197" t="s">
        <v>1887</v>
      </c>
      <c r="AS197" t="s">
        <v>1680</v>
      </c>
      <c r="AT197">
        <v>2024</v>
      </c>
      <c r="AU197">
        <v>8</v>
      </c>
      <c r="AV197" t="s">
        <v>318</v>
      </c>
      <c r="AX197" t="s">
        <v>1979</v>
      </c>
    </row>
    <row r="198" spans="1:50">
      <c r="A198">
        <v>93</v>
      </c>
      <c r="B198">
        <v>61</v>
      </c>
      <c r="C198" t="s">
        <v>74</v>
      </c>
      <c r="D198" t="s">
        <v>1588</v>
      </c>
      <c r="E198" t="s">
        <v>1589</v>
      </c>
      <c r="F198">
        <v>710</v>
      </c>
      <c r="G198" s="23" t="s">
        <v>795</v>
      </c>
      <c r="H198" s="2" t="s">
        <v>1882</v>
      </c>
      <c r="I198" s="2"/>
      <c r="K198" s="149">
        <v>0</v>
      </c>
      <c r="L198" s="149">
        <v>-71756</v>
      </c>
      <c r="M198" s="149">
        <v>-13634</v>
      </c>
      <c r="N198" s="149">
        <v>-85390</v>
      </c>
      <c r="O198">
        <v>0</v>
      </c>
      <c r="P198">
        <v>0</v>
      </c>
      <c r="Q198">
        <v>0</v>
      </c>
      <c r="R198">
        <v>0</v>
      </c>
      <c r="S198">
        <v>0</v>
      </c>
      <c r="T198" t="s">
        <v>77</v>
      </c>
      <c r="U198">
        <v>0</v>
      </c>
      <c r="V198">
        <v>0</v>
      </c>
      <c r="W198">
        <v>0</v>
      </c>
      <c r="X198">
        <v>0</v>
      </c>
      <c r="Y198">
        <v>33</v>
      </c>
      <c r="Z198">
        <v>3227</v>
      </c>
      <c r="AC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M198">
        <v>0</v>
      </c>
      <c r="AR198" t="s">
        <v>1887</v>
      </c>
      <c r="AS198" t="s">
        <v>1680</v>
      </c>
      <c r="AT198">
        <v>2024</v>
      </c>
      <c r="AU198">
        <v>8</v>
      </c>
      <c r="AV198" t="s">
        <v>318</v>
      </c>
      <c r="AX198" t="s">
        <v>1980</v>
      </c>
    </row>
    <row r="199" spans="1:50">
      <c r="A199">
        <v>94</v>
      </c>
      <c r="B199">
        <v>61</v>
      </c>
      <c r="C199" t="s">
        <v>74</v>
      </c>
      <c r="D199" t="s">
        <v>1588</v>
      </c>
      <c r="E199" t="s">
        <v>1589</v>
      </c>
      <c r="F199">
        <v>711</v>
      </c>
      <c r="G199" s="23" t="s">
        <v>795</v>
      </c>
      <c r="H199" s="2" t="s">
        <v>1883</v>
      </c>
      <c r="I199" s="2"/>
      <c r="K199" s="149">
        <v>0</v>
      </c>
      <c r="L199" s="149">
        <v>-235200</v>
      </c>
      <c r="M199" s="149">
        <v>-44688</v>
      </c>
      <c r="N199" s="149">
        <v>-279888</v>
      </c>
      <c r="O199">
        <v>0</v>
      </c>
      <c r="P199">
        <v>0</v>
      </c>
      <c r="Q199">
        <v>0</v>
      </c>
      <c r="R199">
        <v>0</v>
      </c>
      <c r="S199">
        <v>0</v>
      </c>
      <c r="T199" t="s">
        <v>77</v>
      </c>
      <c r="U199">
        <v>0</v>
      </c>
      <c r="V199">
        <v>0</v>
      </c>
      <c r="W199">
        <v>0</v>
      </c>
      <c r="X199">
        <v>0</v>
      </c>
      <c r="Y199">
        <v>33</v>
      </c>
      <c r="Z199">
        <v>3227</v>
      </c>
      <c r="AC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M199">
        <v>0</v>
      </c>
      <c r="AR199" t="s">
        <v>1887</v>
      </c>
      <c r="AS199" t="s">
        <v>1680</v>
      </c>
      <c r="AT199">
        <v>2024</v>
      </c>
      <c r="AU199">
        <v>8</v>
      </c>
      <c r="AV199" t="s">
        <v>318</v>
      </c>
      <c r="AX199" t="s">
        <v>1981</v>
      </c>
    </row>
    <row r="200" spans="1:50">
      <c r="A200">
        <v>95</v>
      </c>
      <c r="B200">
        <v>61</v>
      </c>
      <c r="C200" t="s">
        <v>74</v>
      </c>
      <c r="D200" t="s">
        <v>1592</v>
      </c>
      <c r="E200" t="s">
        <v>1593</v>
      </c>
      <c r="F200">
        <v>712</v>
      </c>
      <c r="G200" s="23" t="s">
        <v>797</v>
      </c>
      <c r="H200" s="2" t="s">
        <v>1884</v>
      </c>
      <c r="I200" t="s">
        <v>1858</v>
      </c>
      <c r="K200" s="149">
        <v>0</v>
      </c>
      <c r="L200" s="149">
        <v>-290900</v>
      </c>
      <c r="M200" s="149">
        <v>-55271</v>
      </c>
      <c r="N200" s="149">
        <v>-346171</v>
      </c>
      <c r="O200">
        <v>0</v>
      </c>
      <c r="P200">
        <v>0</v>
      </c>
      <c r="Q200">
        <v>0</v>
      </c>
      <c r="R200">
        <v>0</v>
      </c>
      <c r="S200">
        <v>0</v>
      </c>
      <c r="T200" t="s">
        <v>77</v>
      </c>
      <c r="U200">
        <v>0</v>
      </c>
      <c r="V200">
        <v>0</v>
      </c>
      <c r="W200">
        <v>0</v>
      </c>
      <c r="X200">
        <v>0</v>
      </c>
      <c r="Y200">
        <v>33</v>
      </c>
      <c r="Z200">
        <v>3259</v>
      </c>
      <c r="AC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M200">
        <v>0</v>
      </c>
      <c r="AR200" t="s">
        <v>1887</v>
      </c>
      <c r="AS200" t="s">
        <v>1680</v>
      </c>
      <c r="AT200">
        <v>2024</v>
      </c>
      <c r="AU200">
        <v>8</v>
      </c>
      <c r="AV200" t="s">
        <v>318</v>
      </c>
      <c r="AX200" t="s">
        <v>1982</v>
      </c>
    </row>
    <row r="201" spans="1:50">
      <c r="A201">
        <v>96</v>
      </c>
      <c r="B201">
        <v>61</v>
      </c>
      <c r="C201" t="s">
        <v>74</v>
      </c>
      <c r="D201" t="s">
        <v>1222</v>
      </c>
      <c r="E201" t="s">
        <v>1223</v>
      </c>
      <c r="F201">
        <v>713</v>
      </c>
      <c r="G201" s="23" t="s">
        <v>798</v>
      </c>
      <c r="H201" s="2" t="s">
        <v>1885</v>
      </c>
      <c r="K201" s="149">
        <v>0</v>
      </c>
      <c r="L201" s="149">
        <v>-44931565</v>
      </c>
      <c r="M201" s="149">
        <v>-8536997</v>
      </c>
      <c r="N201" s="149">
        <v>-53468562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77</v>
      </c>
      <c r="U201">
        <v>0</v>
      </c>
      <c r="V201">
        <v>0</v>
      </c>
      <c r="W201">
        <v>0</v>
      </c>
      <c r="X201">
        <v>0</v>
      </c>
      <c r="Y201">
        <v>33</v>
      </c>
      <c r="Z201">
        <v>3240</v>
      </c>
      <c r="AC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M201">
        <v>0</v>
      </c>
      <c r="AR201" t="s">
        <v>1887</v>
      </c>
      <c r="AS201" t="s">
        <v>1680</v>
      </c>
      <c r="AT201">
        <v>2024</v>
      </c>
      <c r="AU201">
        <v>8</v>
      </c>
      <c r="AV201" t="s">
        <v>318</v>
      </c>
      <c r="AX201" t="s">
        <v>1983</v>
      </c>
    </row>
    <row r="202" spans="1:50">
      <c r="A202">
        <v>97</v>
      </c>
      <c r="B202">
        <v>61</v>
      </c>
      <c r="C202" t="s">
        <v>74</v>
      </c>
      <c r="D202" t="s">
        <v>1571</v>
      </c>
      <c r="E202" t="s">
        <v>1572</v>
      </c>
      <c r="F202">
        <v>714</v>
      </c>
      <c r="G202" s="23" t="s">
        <v>799</v>
      </c>
      <c r="H202" s="2" t="s">
        <v>1886</v>
      </c>
      <c r="I202" s="2"/>
      <c r="J202" t="s">
        <v>1873</v>
      </c>
      <c r="K202" s="149">
        <v>0</v>
      </c>
      <c r="L202" s="149">
        <v>-2419200</v>
      </c>
      <c r="M202" s="149">
        <v>-459648</v>
      </c>
      <c r="N202" s="149">
        <v>-2878848</v>
      </c>
      <c r="O202">
        <v>0</v>
      </c>
      <c r="P202">
        <v>0</v>
      </c>
      <c r="Q202">
        <v>0</v>
      </c>
      <c r="R202">
        <v>0</v>
      </c>
      <c r="S202">
        <v>0</v>
      </c>
      <c r="T202" t="s">
        <v>77</v>
      </c>
      <c r="U202">
        <v>0</v>
      </c>
      <c r="V202">
        <v>0</v>
      </c>
      <c r="W202">
        <v>0</v>
      </c>
      <c r="X202">
        <v>0</v>
      </c>
      <c r="Y202">
        <v>33</v>
      </c>
      <c r="Z202">
        <v>3269</v>
      </c>
      <c r="AC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M202">
        <v>0</v>
      </c>
      <c r="AR202" t="s">
        <v>1887</v>
      </c>
      <c r="AS202" t="s">
        <v>1680</v>
      </c>
      <c r="AT202">
        <v>2024</v>
      </c>
      <c r="AU202">
        <v>8</v>
      </c>
      <c r="AV202" t="s">
        <v>318</v>
      </c>
      <c r="AX202" t="s">
        <v>1984</v>
      </c>
    </row>
    <row r="203" spans="1:50">
      <c r="A203">
        <v>1</v>
      </c>
      <c r="B203">
        <v>33</v>
      </c>
      <c r="C203" t="s">
        <v>74</v>
      </c>
      <c r="D203" t="s">
        <v>1564</v>
      </c>
      <c r="E203" t="s">
        <v>1565</v>
      </c>
      <c r="F203">
        <v>3271</v>
      </c>
      <c r="G203" s="23">
        <v>45538</v>
      </c>
      <c r="H203" s="2" t="s">
        <v>1985</v>
      </c>
      <c r="I203" s="2"/>
      <c r="K203" s="149">
        <v>0</v>
      </c>
      <c r="L203" s="149">
        <v>843419</v>
      </c>
      <c r="M203" s="149">
        <v>160251</v>
      </c>
      <c r="N203" s="149">
        <v>1003670</v>
      </c>
      <c r="O203">
        <v>0</v>
      </c>
      <c r="P203">
        <v>0</v>
      </c>
      <c r="Q203">
        <v>0</v>
      </c>
      <c r="R203">
        <v>0</v>
      </c>
      <c r="S203">
        <v>0</v>
      </c>
      <c r="T203" t="s">
        <v>77</v>
      </c>
      <c r="U203">
        <v>0</v>
      </c>
      <c r="V203">
        <v>0</v>
      </c>
      <c r="W203">
        <v>0</v>
      </c>
      <c r="X203">
        <v>0</v>
      </c>
      <c r="Y203">
        <v>0</v>
      </c>
      <c r="AC203">
        <v>0</v>
      </c>
      <c r="AE203">
        <v>0</v>
      </c>
      <c r="AF203">
        <v>2</v>
      </c>
      <c r="AG203">
        <v>0</v>
      </c>
      <c r="AH203">
        <v>0</v>
      </c>
      <c r="AI203">
        <v>0</v>
      </c>
      <c r="AM203">
        <v>0</v>
      </c>
      <c r="AR203" t="s">
        <v>2049</v>
      </c>
      <c r="AS203" t="s">
        <v>1680</v>
      </c>
      <c r="AT203">
        <v>2024</v>
      </c>
      <c r="AU203">
        <v>9</v>
      </c>
      <c r="AV203" t="s">
        <v>78</v>
      </c>
      <c r="AX203" t="s">
        <v>2050</v>
      </c>
    </row>
    <row r="204" spans="1:50">
      <c r="A204">
        <v>2</v>
      </c>
      <c r="B204">
        <v>33</v>
      </c>
      <c r="C204" t="s">
        <v>74</v>
      </c>
      <c r="D204" t="s">
        <v>1222</v>
      </c>
      <c r="E204" t="s">
        <v>1223</v>
      </c>
      <c r="F204">
        <v>3272</v>
      </c>
      <c r="G204" s="23">
        <v>45539</v>
      </c>
      <c r="H204" s="2" t="s">
        <v>1986</v>
      </c>
      <c r="K204" s="149">
        <v>0</v>
      </c>
      <c r="L204" s="149">
        <v>20145600</v>
      </c>
      <c r="M204" s="149">
        <v>3827664</v>
      </c>
      <c r="N204" s="149">
        <v>23973264</v>
      </c>
      <c r="O204">
        <v>0</v>
      </c>
      <c r="P204">
        <v>0</v>
      </c>
      <c r="Q204">
        <v>0</v>
      </c>
      <c r="R204">
        <v>0</v>
      </c>
      <c r="S204">
        <v>0</v>
      </c>
      <c r="T204" t="s">
        <v>77</v>
      </c>
      <c r="U204">
        <v>0</v>
      </c>
      <c r="V204">
        <v>0</v>
      </c>
      <c r="W204">
        <v>0</v>
      </c>
      <c r="X204">
        <v>0</v>
      </c>
      <c r="AC204">
        <v>0</v>
      </c>
      <c r="AE204">
        <v>0</v>
      </c>
      <c r="AF204">
        <v>2</v>
      </c>
      <c r="AG204">
        <v>0</v>
      </c>
      <c r="AH204">
        <v>0</v>
      </c>
      <c r="AI204">
        <v>0</v>
      </c>
      <c r="AM204">
        <v>0</v>
      </c>
      <c r="AR204" t="s">
        <v>2049</v>
      </c>
      <c r="AS204" t="s">
        <v>1680</v>
      </c>
      <c r="AT204">
        <v>2024</v>
      </c>
      <c r="AU204">
        <v>9</v>
      </c>
      <c r="AV204" t="s">
        <v>78</v>
      </c>
      <c r="AX204" t="s">
        <v>2051</v>
      </c>
    </row>
    <row r="205" spans="1:50">
      <c r="A205">
        <v>3</v>
      </c>
      <c r="B205">
        <v>33</v>
      </c>
      <c r="C205" t="s">
        <v>74</v>
      </c>
      <c r="D205" t="s">
        <v>1222</v>
      </c>
      <c r="E205" t="s">
        <v>1223</v>
      </c>
      <c r="F205">
        <v>3273</v>
      </c>
      <c r="G205" s="23">
        <v>45539</v>
      </c>
      <c r="H205" s="2" t="s">
        <v>1987</v>
      </c>
      <c r="K205" s="149">
        <v>0</v>
      </c>
      <c r="L205" s="149">
        <v>3998500</v>
      </c>
      <c r="M205" s="149">
        <v>759715</v>
      </c>
      <c r="N205" s="149">
        <v>4758215</v>
      </c>
      <c r="O205">
        <v>0</v>
      </c>
      <c r="P205">
        <v>0</v>
      </c>
      <c r="Q205">
        <v>0</v>
      </c>
      <c r="R205">
        <v>0</v>
      </c>
      <c r="S205">
        <v>0</v>
      </c>
      <c r="T205" t="s">
        <v>77</v>
      </c>
      <c r="U205">
        <v>0</v>
      </c>
      <c r="V205">
        <v>0</v>
      </c>
      <c r="W205">
        <v>0</v>
      </c>
      <c r="X205">
        <v>0</v>
      </c>
      <c r="AC205">
        <v>0</v>
      </c>
      <c r="AE205">
        <v>0</v>
      </c>
      <c r="AF205">
        <v>2</v>
      </c>
      <c r="AG205">
        <v>0</v>
      </c>
      <c r="AH205">
        <v>0</v>
      </c>
      <c r="AI205">
        <v>0</v>
      </c>
      <c r="AM205">
        <v>0</v>
      </c>
      <c r="AR205" t="s">
        <v>2049</v>
      </c>
      <c r="AS205" t="s">
        <v>1680</v>
      </c>
      <c r="AT205">
        <v>2024</v>
      </c>
      <c r="AU205">
        <v>9</v>
      </c>
      <c r="AV205" t="s">
        <v>78</v>
      </c>
      <c r="AX205" t="s">
        <v>2052</v>
      </c>
    </row>
    <row r="206" spans="1:50">
      <c r="A206">
        <v>4</v>
      </c>
      <c r="B206">
        <v>33</v>
      </c>
      <c r="C206" t="s">
        <v>74</v>
      </c>
      <c r="D206" t="s">
        <v>1561</v>
      </c>
      <c r="E206" t="s">
        <v>1562</v>
      </c>
      <c r="F206">
        <v>3274</v>
      </c>
      <c r="G206" s="23">
        <v>45538</v>
      </c>
      <c r="H206" s="2">
        <v>45331.4221412037</v>
      </c>
      <c r="K206" s="149">
        <v>0</v>
      </c>
      <c r="L206" s="149">
        <v>11914200</v>
      </c>
      <c r="M206" s="149">
        <v>2263698</v>
      </c>
      <c r="N206" s="149">
        <v>14177898</v>
      </c>
      <c r="O206">
        <v>0</v>
      </c>
      <c r="P206">
        <v>0</v>
      </c>
      <c r="Q206">
        <v>0</v>
      </c>
      <c r="R206">
        <v>0</v>
      </c>
      <c r="S206">
        <v>0</v>
      </c>
      <c r="T206" t="s">
        <v>77</v>
      </c>
      <c r="U206">
        <v>0</v>
      </c>
      <c r="V206">
        <v>0</v>
      </c>
      <c r="W206">
        <v>0</v>
      </c>
      <c r="X206">
        <v>0</v>
      </c>
      <c r="Y206">
        <v>0</v>
      </c>
      <c r="AC206">
        <v>0</v>
      </c>
      <c r="AE206">
        <v>0</v>
      </c>
      <c r="AF206">
        <v>2</v>
      </c>
      <c r="AG206">
        <v>0</v>
      </c>
      <c r="AH206">
        <v>0</v>
      </c>
      <c r="AI206">
        <v>0</v>
      </c>
      <c r="AM206">
        <v>0</v>
      </c>
      <c r="AR206" t="s">
        <v>2049</v>
      </c>
      <c r="AS206" t="s">
        <v>1680</v>
      </c>
      <c r="AT206">
        <v>2024</v>
      </c>
      <c r="AU206">
        <v>9</v>
      </c>
      <c r="AV206" t="s">
        <v>78</v>
      </c>
      <c r="AX206" t="s">
        <v>2053</v>
      </c>
    </row>
    <row r="207" spans="1:50">
      <c r="A207">
        <v>5</v>
      </c>
      <c r="B207">
        <v>33</v>
      </c>
      <c r="C207" t="s">
        <v>74</v>
      </c>
      <c r="D207" t="s">
        <v>1581</v>
      </c>
      <c r="E207" t="s">
        <v>1582</v>
      </c>
      <c r="F207">
        <v>3275</v>
      </c>
      <c r="G207" s="23">
        <v>45538</v>
      </c>
      <c r="H207" s="2">
        <v>45331.449120370373</v>
      </c>
      <c r="I207" s="2"/>
      <c r="K207" s="149">
        <v>0</v>
      </c>
      <c r="L207" s="149">
        <v>1114560</v>
      </c>
      <c r="M207" s="149">
        <v>211767</v>
      </c>
      <c r="N207" s="149">
        <v>1326327</v>
      </c>
      <c r="O207">
        <v>0</v>
      </c>
      <c r="P207">
        <v>0</v>
      </c>
      <c r="Q207">
        <v>0</v>
      </c>
      <c r="R207">
        <v>0</v>
      </c>
      <c r="S207">
        <v>0</v>
      </c>
      <c r="T207" t="s">
        <v>77</v>
      </c>
      <c r="U207">
        <v>0</v>
      </c>
      <c r="V207">
        <v>0</v>
      </c>
      <c r="W207">
        <v>0</v>
      </c>
      <c r="X207">
        <v>0</v>
      </c>
      <c r="Y207">
        <v>0</v>
      </c>
      <c r="AC207">
        <v>0</v>
      </c>
      <c r="AE207">
        <v>0</v>
      </c>
      <c r="AF207">
        <v>2</v>
      </c>
      <c r="AG207">
        <v>0</v>
      </c>
      <c r="AH207">
        <v>0</v>
      </c>
      <c r="AI207">
        <v>0</v>
      </c>
      <c r="AM207">
        <v>0</v>
      </c>
      <c r="AR207" t="s">
        <v>2049</v>
      </c>
      <c r="AS207" t="s">
        <v>1680</v>
      </c>
      <c r="AT207">
        <v>2024</v>
      </c>
      <c r="AU207">
        <v>9</v>
      </c>
      <c r="AV207" t="s">
        <v>78</v>
      </c>
      <c r="AX207" t="s">
        <v>2054</v>
      </c>
    </row>
    <row r="208" spans="1:50">
      <c r="A208">
        <v>6</v>
      </c>
      <c r="B208">
        <v>33</v>
      </c>
      <c r="C208" t="s">
        <v>74</v>
      </c>
      <c r="D208" t="s">
        <v>1222</v>
      </c>
      <c r="E208" t="s">
        <v>1223</v>
      </c>
      <c r="F208">
        <v>3276</v>
      </c>
      <c r="G208" s="23">
        <v>45541</v>
      </c>
      <c r="H208" s="2">
        <v>45360.594988425924</v>
      </c>
      <c r="J208" s="2">
        <v>45544.7340625</v>
      </c>
      <c r="K208" s="149">
        <v>0</v>
      </c>
      <c r="L208" s="149">
        <v>1766460</v>
      </c>
      <c r="M208" s="149">
        <v>335627</v>
      </c>
      <c r="N208" s="149">
        <v>2102087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77</v>
      </c>
      <c r="U208">
        <v>0</v>
      </c>
      <c r="V208">
        <v>0</v>
      </c>
      <c r="W208">
        <v>0</v>
      </c>
      <c r="X208">
        <v>0</v>
      </c>
      <c r="AC208">
        <v>0</v>
      </c>
      <c r="AE208">
        <v>0</v>
      </c>
      <c r="AF208">
        <v>2</v>
      </c>
      <c r="AG208">
        <v>0</v>
      </c>
      <c r="AH208">
        <v>0</v>
      </c>
      <c r="AI208">
        <v>0</v>
      </c>
      <c r="AM208">
        <v>0</v>
      </c>
      <c r="AR208" t="s">
        <v>2049</v>
      </c>
      <c r="AS208" t="s">
        <v>1680</v>
      </c>
      <c r="AT208">
        <v>2024</v>
      </c>
      <c r="AU208">
        <v>9</v>
      </c>
      <c r="AV208" t="s">
        <v>78</v>
      </c>
      <c r="AX208" t="s">
        <v>2055</v>
      </c>
    </row>
    <row r="209" spans="1:50">
      <c r="A209">
        <v>7</v>
      </c>
      <c r="B209">
        <v>33</v>
      </c>
      <c r="C209" t="s">
        <v>74</v>
      </c>
      <c r="D209" t="s">
        <v>1988</v>
      </c>
      <c r="E209" t="s">
        <v>1989</v>
      </c>
      <c r="F209">
        <v>3277</v>
      </c>
      <c r="G209" s="23">
        <v>45540</v>
      </c>
      <c r="H209" s="2">
        <v>45360.602418981478</v>
      </c>
      <c r="I209" s="2">
        <v>45544.658796296295</v>
      </c>
      <c r="K209" s="149">
        <v>0</v>
      </c>
      <c r="L209" s="149">
        <v>1864460</v>
      </c>
      <c r="M209" s="149">
        <v>354247</v>
      </c>
      <c r="N209" s="149">
        <v>2218707</v>
      </c>
      <c r="O209">
        <v>0</v>
      </c>
      <c r="P209">
        <v>0</v>
      </c>
      <c r="Q209">
        <v>0</v>
      </c>
      <c r="R209">
        <v>0</v>
      </c>
      <c r="S209">
        <v>0</v>
      </c>
      <c r="T209" t="s">
        <v>77</v>
      </c>
      <c r="U209">
        <v>0</v>
      </c>
      <c r="V209">
        <v>0</v>
      </c>
      <c r="W209">
        <v>0</v>
      </c>
      <c r="X209">
        <v>0</v>
      </c>
      <c r="AC209">
        <v>0</v>
      </c>
      <c r="AE209">
        <v>0</v>
      </c>
      <c r="AF209">
        <v>2</v>
      </c>
      <c r="AG209">
        <v>0</v>
      </c>
      <c r="AH209">
        <v>0</v>
      </c>
      <c r="AI209">
        <v>0</v>
      </c>
      <c r="AM209">
        <v>0</v>
      </c>
      <c r="AR209" t="s">
        <v>2049</v>
      </c>
      <c r="AS209" t="s">
        <v>1680</v>
      </c>
      <c r="AT209">
        <v>2024</v>
      </c>
      <c r="AU209">
        <v>9</v>
      </c>
      <c r="AV209" t="s">
        <v>78</v>
      </c>
      <c r="AX209" t="s">
        <v>2056</v>
      </c>
    </row>
    <row r="210" spans="1:50">
      <c r="A210">
        <v>8</v>
      </c>
      <c r="B210">
        <v>33</v>
      </c>
      <c r="C210" t="s">
        <v>74</v>
      </c>
      <c r="D210" t="s">
        <v>1353</v>
      </c>
      <c r="E210" t="s">
        <v>1354</v>
      </c>
      <c r="F210">
        <v>3278</v>
      </c>
      <c r="G210" s="23">
        <v>45540</v>
      </c>
      <c r="H210" s="2">
        <v>45391.430706018517</v>
      </c>
      <c r="I210" s="2">
        <v>45421.4999537037</v>
      </c>
      <c r="K210" s="149">
        <v>0</v>
      </c>
      <c r="L210" s="149">
        <v>4601014</v>
      </c>
      <c r="M210" s="149">
        <v>874194</v>
      </c>
      <c r="N210" s="149">
        <v>5475208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77</v>
      </c>
      <c r="U210">
        <v>0</v>
      </c>
      <c r="V210">
        <v>0</v>
      </c>
      <c r="W210">
        <v>0</v>
      </c>
      <c r="X210">
        <v>0</v>
      </c>
      <c r="Y210">
        <v>0</v>
      </c>
      <c r="AC210">
        <v>0</v>
      </c>
      <c r="AE210">
        <v>0</v>
      </c>
      <c r="AF210">
        <v>2</v>
      </c>
      <c r="AG210">
        <v>0</v>
      </c>
      <c r="AH210">
        <v>0</v>
      </c>
      <c r="AI210">
        <v>0</v>
      </c>
      <c r="AM210">
        <v>0</v>
      </c>
      <c r="AR210" t="s">
        <v>2049</v>
      </c>
      <c r="AS210" t="s">
        <v>1680</v>
      </c>
      <c r="AT210">
        <v>2024</v>
      </c>
      <c r="AU210">
        <v>9</v>
      </c>
      <c r="AV210" t="s">
        <v>78</v>
      </c>
      <c r="AX210" t="s">
        <v>2057</v>
      </c>
    </row>
    <row r="211" spans="1:50">
      <c r="A211">
        <v>9</v>
      </c>
      <c r="B211">
        <v>33</v>
      </c>
      <c r="C211" t="s">
        <v>74</v>
      </c>
      <c r="D211" t="s">
        <v>1594</v>
      </c>
      <c r="E211" t="s">
        <v>1595</v>
      </c>
      <c r="F211">
        <v>3279</v>
      </c>
      <c r="G211" s="23">
        <v>45540</v>
      </c>
      <c r="H211" s="2">
        <v>45391.445717592593</v>
      </c>
      <c r="K211" s="149">
        <v>0</v>
      </c>
      <c r="L211" s="149">
        <v>223366</v>
      </c>
      <c r="M211" s="149">
        <v>42439</v>
      </c>
      <c r="N211" s="149">
        <v>265805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77</v>
      </c>
      <c r="U211">
        <v>0</v>
      </c>
      <c r="V211">
        <v>0</v>
      </c>
      <c r="W211">
        <v>0</v>
      </c>
      <c r="X211">
        <v>0</v>
      </c>
      <c r="Y211">
        <v>0</v>
      </c>
      <c r="AC211">
        <v>0</v>
      </c>
      <c r="AE211">
        <v>0</v>
      </c>
      <c r="AF211">
        <v>2</v>
      </c>
      <c r="AG211">
        <v>0</v>
      </c>
      <c r="AH211">
        <v>0</v>
      </c>
      <c r="AI211">
        <v>0</v>
      </c>
      <c r="AM211">
        <v>0</v>
      </c>
      <c r="AR211" t="s">
        <v>2049</v>
      </c>
      <c r="AS211" t="s">
        <v>1680</v>
      </c>
      <c r="AT211">
        <v>2024</v>
      </c>
      <c r="AU211">
        <v>9</v>
      </c>
      <c r="AV211" t="s">
        <v>78</v>
      </c>
      <c r="AX211" t="s">
        <v>2058</v>
      </c>
    </row>
    <row r="212" spans="1:50">
      <c r="A212">
        <v>10</v>
      </c>
      <c r="B212">
        <v>33</v>
      </c>
      <c r="C212" t="s">
        <v>74</v>
      </c>
      <c r="D212" t="s">
        <v>1558</v>
      </c>
      <c r="E212" t="s">
        <v>1559</v>
      </c>
      <c r="F212">
        <v>3280</v>
      </c>
      <c r="G212" s="23">
        <v>45540</v>
      </c>
      <c r="H212" s="2">
        <v>45391.478668981479</v>
      </c>
      <c r="I212" s="2">
        <v>45605.412615740737</v>
      </c>
      <c r="K212" s="149">
        <v>0</v>
      </c>
      <c r="L212" s="149">
        <v>170400</v>
      </c>
      <c r="M212" s="149">
        <v>32376</v>
      </c>
      <c r="N212" s="149">
        <v>202776</v>
      </c>
      <c r="O212">
        <v>0</v>
      </c>
      <c r="P212">
        <v>0</v>
      </c>
      <c r="Q212">
        <v>0</v>
      </c>
      <c r="R212">
        <v>0</v>
      </c>
      <c r="S212">
        <v>0</v>
      </c>
      <c r="T212" t="s">
        <v>77</v>
      </c>
      <c r="U212">
        <v>0</v>
      </c>
      <c r="V212">
        <v>0</v>
      </c>
      <c r="W212">
        <v>0</v>
      </c>
      <c r="X212">
        <v>0</v>
      </c>
      <c r="Y212">
        <v>0</v>
      </c>
      <c r="AC212">
        <v>0</v>
      </c>
      <c r="AE212">
        <v>0</v>
      </c>
      <c r="AF212">
        <v>2</v>
      </c>
      <c r="AG212">
        <v>0</v>
      </c>
      <c r="AH212">
        <v>0</v>
      </c>
      <c r="AI212">
        <v>0</v>
      </c>
      <c r="AM212">
        <v>0</v>
      </c>
      <c r="AR212" t="s">
        <v>2049</v>
      </c>
      <c r="AS212" t="s">
        <v>1680</v>
      </c>
      <c r="AT212">
        <v>2024</v>
      </c>
      <c r="AU212">
        <v>9</v>
      </c>
      <c r="AV212" t="s">
        <v>78</v>
      </c>
      <c r="AX212" t="s">
        <v>2059</v>
      </c>
    </row>
    <row r="213" spans="1:50">
      <c r="A213">
        <v>11</v>
      </c>
      <c r="B213">
        <v>33</v>
      </c>
      <c r="C213" t="s">
        <v>74</v>
      </c>
      <c r="D213" t="s">
        <v>1571</v>
      </c>
      <c r="E213" t="s">
        <v>1572</v>
      </c>
      <c r="F213">
        <v>3281</v>
      </c>
      <c r="G213" s="23">
        <v>45542</v>
      </c>
      <c r="H213" s="2">
        <v>45421.458148148151</v>
      </c>
      <c r="J213" s="2">
        <v>45452.836863425924</v>
      </c>
      <c r="K213" s="149">
        <v>0</v>
      </c>
      <c r="L213" s="149">
        <v>12744260</v>
      </c>
      <c r="M213" s="149">
        <v>2421408</v>
      </c>
      <c r="N213" s="149">
        <v>15165668</v>
      </c>
      <c r="O213">
        <v>0</v>
      </c>
      <c r="P213">
        <v>0</v>
      </c>
      <c r="Q213">
        <v>0</v>
      </c>
      <c r="R213">
        <v>0</v>
      </c>
      <c r="S213">
        <v>0</v>
      </c>
      <c r="T213" t="s">
        <v>77</v>
      </c>
      <c r="U213">
        <v>0</v>
      </c>
      <c r="V213">
        <v>0</v>
      </c>
      <c r="W213">
        <v>0</v>
      </c>
      <c r="X213">
        <v>0</v>
      </c>
      <c r="AC213">
        <v>0</v>
      </c>
      <c r="AE213">
        <v>0</v>
      </c>
      <c r="AF213">
        <v>2</v>
      </c>
      <c r="AG213">
        <v>0</v>
      </c>
      <c r="AH213">
        <v>0</v>
      </c>
      <c r="AI213">
        <v>0</v>
      </c>
      <c r="AM213">
        <v>0</v>
      </c>
      <c r="AR213" t="s">
        <v>2049</v>
      </c>
      <c r="AS213" t="s">
        <v>1680</v>
      </c>
      <c r="AT213">
        <v>2024</v>
      </c>
      <c r="AU213">
        <v>9</v>
      </c>
      <c r="AV213" t="s">
        <v>78</v>
      </c>
      <c r="AX213" t="s">
        <v>2060</v>
      </c>
    </row>
    <row r="214" spans="1:50">
      <c r="A214">
        <v>12</v>
      </c>
      <c r="B214">
        <v>33</v>
      </c>
      <c r="C214" t="s">
        <v>74</v>
      </c>
      <c r="D214" t="s">
        <v>1573</v>
      </c>
      <c r="E214" t="s">
        <v>1574</v>
      </c>
      <c r="F214">
        <v>3282</v>
      </c>
      <c r="G214" s="23">
        <v>45540</v>
      </c>
      <c r="H214" s="2">
        <v>45421.479837962965</v>
      </c>
      <c r="K214" s="149">
        <v>0</v>
      </c>
      <c r="L214" s="149">
        <v>223366</v>
      </c>
      <c r="M214" s="149">
        <v>42439</v>
      </c>
      <c r="N214" s="149">
        <v>265805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77</v>
      </c>
      <c r="U214">
        <v>0</v>
      </c>
      <c r="V214">
        <v>0</v>
      </c>
      <c r="W214">
        <v>0</v>
      </c>
      <c r="X214">
        <v>0</v>
      </c>
      <c r="Y214">
        <v>0</v>
      </c>
      <c r="AC214">
        <v>0</v>
      </c>
      <c r="AE214">
        <v>0</v>
      </c>
      <c r="AF214">
        <v>2</v>
      </c>
      <c r="AG214">
        <v>0</v>
      </c>
      <c r="AH214">
        <v>0</v>
      </c>
      <c r="AI214">
        <v>0</v>
      </c>
      <c r="AM214">
        <v>0</v>
      </c>
      <c r="AR214" t="s">
        <v>2049</v>
      </c>
      <c r="AS214" t="s">
        <v>1680</v>
      </c>
      <c r="AT214">
        <v>2024</v>
      </c>
      <c r="AU214">
        <v>9</v>
      </c>
      <c r="AV214" t="s">
        <v>78</v>
      </c>
      <c r="AX214" t="s">
        <v>2061</v>
      </c>
    </row>
    <row r="215" spans="1:50">
      <c r="A215">
        <v>13</v>
      </c>
      <c r="B215">
        <v>33</v>
      </c>
      <c r="C215" t="s">
        <v>74</v>
      </c>
      <c r="D215" t="s">
        <v>1222</v>
      </c>
      <c r="E215" t="s">
        <v>1223</v>
      </c>
      <c r="F215">
        <v>3283</v>
      </c>
      <c r="G215" s="23">
        <v>45545</v>
      </c>
      <c r="H215" s="2">
        <v>45421.737754629627</v>
      </c>
      <c r="I215" s="2">
        <v>45605.617662037039</v>
      </c>
      <c r="K215" s="149">
        <v>0</v>
      </c>
      <c r="L215" s="149">
        <v>8464200</v>
      </c>
      <c r="M215" s="149">
        <v>1608198</v>
      </c>
      <c r="N215" s="149">
        <v>10072398</v>
      </c>
      <c r="O215">
        <v>0</v>
      </c>
      <c r="P215">
        <v>0</v>
      </c>
      <c r="Q215">
        <v>0</v>
      </c>
      <c r="R215">
        <v>0</v>
      </c>
      <c r="S215">
        <v>0</v>
      </c>
      <c r="T215" t="s">
        <v>77</v>
      </c>
      <c r="U215">
        <v>0</v>
      </c>
      <c r="V215">
        <v>0</v>
      </c>
      <c r="W215">
        <v>0</v>
      </c>
      <c r="X215">
        <v>0</v>
      </c>
      <c r="AC215">
        <v>0</v>
      </c>
      <c r="AE215">
        <v>0</v>
      </c>
      <c r="AF215">
        <v>2</v>
      </c>
      <c r="AG215">
        <v>0</v>
      </c>
      <c r="AH215">
        <v>0</v>
      </c>
      <c r="AI215">
        <v>0</v>
      </c>
      <c r="AM215">
        <v>0</v>
      </c>
      <c r="AR215" t="s">
        <v>2049</v>
      </c>
      <c r="AS215" t="s">
        <v>1680</v>
      </c>
      <c r="AT215">
        <v>2024</v>
      </c>
      <c r="AU215">
        <v>9</v>
      </c>
      <c r="AV215" t="s">
        <v>78</v>
      </c>
      <c r="AX215" t="s">
        <v>2062</v>
      </c>
    </row>
    <row r="216" spans="1:50">
      <c r="A216">
        <v>14</v>
      </c>
      <c r="B216">
        <v>33</v>
      </c>
      <c r="C216" t="s">
        <v>74</v>
      </c>
      <c r="D216" t="s">
        <v>1571</v>
      </c>
      <c r="E216" t="s">
        <v>1572</v>
      </c>
      <c r="F216">
        <v>3284</v>
      </c>
      <c r="G216" s="23">
        <v>45542</v>
      </c>
      <c r="H216" s="2">
        <v>45452.507094907407</v>
      </c>
      <c r="I216" s="2">
        <v>45482.848067129627</v>
      </c>
      <c r="K216" s="149">
        <v>0</v>
      </c>
      <c r="L216" s="149">
        <v>12205700</v>
      </c>
      <c r="M216" s="149">
        <v>2319082</v>
      </c>
      <c r="N216" s="149">
        <v>14524782</v>
      </c>
      <c r="O216">
        <v>0</v>
      </c>
      <c r="P216">
        <v>0</v>
      </c>
      <c r="Q216">
        <v>0</v>
      </c>
      <c r="R216">
        <v>0</v>
      </c>
      <c r="S216">
        <v>0</v>
      </c>
      <c r="T216" t="s">
        <v>77</v>
      </c>
      <c r="U216">
        <v>0</v>
      </c>
      <c r="V216">
        <v>0</v>
      </c>
      <c r="W216">
        <v>0</v>
      </c>
      <c r="X216">
        <v>0</v>
      </c>
      <c r="AC216">
        <v>0</v>
      </c>
      <c r="AE216">
        <v>0</v>
      </c>
      <c r="AF216">
        <v>2</v>
      </c>
      <c r="AG216">
        <v>0</v>
      </c>
      <c r="AH216">
        <v>0</v>
      </c>
      <c r="AI216">
        <v>0</v>
      </c>
      <c r="AM216">
        <v>0</v>
      </c>
      <c r="AR216" t="s">
        <v>2049</v>
      </c>
      <c r="AS216" t="s">
        <v>1680</v>
      </c>
      <c r="AT216">
        <v>2024</v>
      </c>
      <c r="AU216">
        <v>9</v>
      </c>
      <c r="AV216" t="s">
        <v>78</v>
      </c>
      <c r="AX216" t="s">
        <v>2063</v>
      </c>
    </row>
    <row r="217" spans="1:50">
      <c r="A217">
        <v>15</v>
      </c>
      <c r="B217">
        <v>33</v>
      </c>
      <c r="C217" t="s">
        <v>74</v>
      </c>
      <c r="D217" t="s">
        <v>1581</v>
      </c>
      <c r="E217" t="s">
        <v>1582</v>
      </c>
      <c r="F217">
        <v>3285</v>
      </c>
      <c r="G217" s="23">
        <v>45545</v>
      </c>
      <c r="H217" s="2">
        <v>45544.42628472222</v>
      </c>
      <c r="I217" t="s">
        <v>1990</v>
      </c>
      <c r="K217" s="149">
        <v>0</v>
      </c>
      <c r="L217" s="149">
        <v>1048625</v>
      </c>
      <c r="M217" s="149">
        <v>199239</v>
      </c>
      <c r="N217" s="149">
        <v>1247864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77</v>
      </c>
      <c r="U217">
        <v>0</v>
      </c>
      <c r="V217">
        <v>0</v>
      </c>
      <c r="W217">
        <v>0</v>
      </c>
      <c r="X217">
        <v>0</v>
      </c>
      <c r="Y217">
        <v>0</v>
      </c>
      <c r="AC217">
        <v>0</v>
      </c>
      <c r="AE217">
        <v>0</v>
      </c>
      <c r="AF217">
        <v>2</v>
      </c>
      <c r="AG217">
        <v>0</v>
      </c>
      <c r="AH217">
        <v>0</v>
      </c>
      <c r="AI217">
        <v>0</v>
      </c>
      <c r="AM217">
        <v>0</v>
      </c>
      <c r="AR217" t="s">
        <v>2049</v>
      </c>
      <c r="AS217" t="s">
        <v>1680</v>
      </c>
      <c r="AT217">
        <v>2024</v>
      </c>
      <c r="AU217">
        <v>9</v>
      </c>
      <c r="AV217" t="s">
        <v>78</v>
      </c>
      <c r="AX217" t="s">
        <v>2064</v>
      </c>
    </row>
    <row r="218" spans="1:50">
      <c r="A218">
        <v>16</v>
      </c>
      <c r="B218">
        <v>33</v>
      </c>
      <c r="C218" t="s">
        <v>74</v>
      </c>
      <c r="D218" t="s">
        <v>1222</v>
      </c>
      <c r="E218" t="s">
        <v>1223</v>
      </c>
      <c r="F218">
        <v>3286</v>
      </c>
      <c r="G218" s="23">
        <v>45546</v>
      </c>
      <c r="H218" s="2">
        <v>45544.455787037034</v>
      </c>
      <c r="I218" s="2">
        <v>45635.419166666667</v>
      </c>
      <c r="K218" s="149">
        <v>0</v>
      </c>
      <c r="L218" s="149">
        <v>4190885</v>
      </c>
      <c r="M218" s="149">
        <v>796267</v>
      </c>
      <c r="N218" s="149">
        <v>4987152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77</v>
      </c>
      <c r="U218">
        <v>0</v>
      </c>
      <c r="V218">
        <v>0</v>
      </c>
      <c r="W218">
        <v>0</v>
      </c>
      <c r="X218">
        <v>0</v>
      </c>
      <c r="AC218">
        <v>0</v>
      </c>
      <c r="AE218">
        <v>0</v>
      </c>
      <c r="AF218">
        <v>2</v>
      </c>
      <c r="AG218">
        <v>0</v>
      </c>
      <c r="AH218">
        <v>0</v>
      </c>
      <c r="AI218">
        <v>0</v>
      </c>
      <c r="AM218">
        <v>0</v>
      </c>
      <c r="AR218" t="s">
        <v>2049</v>
      </c>
      <c r="AS218" t="s">
        <v>1680</v>
      </c>
      <c r="AT218">
        <v>2024</v>
      </c>
      <c r="AU218">
        <v>9</v>
      </c>
      <c r="AV218" t="s">
        <v>78</v>
      </c>
      <c r="AX218" t="s">
        <v>2065</v>
      </c>
    </row>
    <row r="219" spans="1:50">
      <c r="A219">
        <v>17</v>
      </c>
      <c r="B219">
        <v>33</v>
      </c>
      <c r="C219" t="s">
        <v>74</v>
      </c>
      <c r="D219" t="s">
        <v>1222</v>
      </c>
      <c r="E219" t="s">
        <v>1223</v>
      </c>
      <c r="F219">
        <v>3287</v>
      </c>
      <c r="G219" s="23">
        <v>45544</v>
      </c>
      <c r="H219" s="2">
        <v>45544.540578703702</v>
      </c>
      <c r="I219" s="2"/>
      <c r="J219" t="s">
        <v>1991</v>
      </c>
      <c r="K219" s="149">
        <v>0</v>
      </c>
      <c r="L219" s="149">
        <v>10043745</v>
      </c>
      <c r="M219" s="149">
        <v>1908313</v>
      </c>
      <c r="N219" s="149">
        <v>11952058</v>
      </c>
      <c r="O219">
        <v>0</v>
      </c>
      <c r="P219">
        <v>0</v>
      </c>
      <c r="Q219">
        <v>0</v>
      </c>
      <c r="R219">
        <v>0</v>
      </c>
      <c r="S219">
        <v>0</v>
      </c>
      <c r="T219" t="s">
        <v>77</v>
      </c>
      <c r="U219">
        <v>0</v>
      </c>
      <c r="V219">
        <v>0</v>
      </c>
      <c r="W219">
        <v>0</v>
      </c>
      <c r="X219">
        <v>0</v>
      </c>
      <c r="AC219">
        <v>0</v>
      </c>
      <c r="AE219">
        <v>0</v>
      </c>
      <c r="AF219">
        <v>2</v>
      </c>
      <c r="AG219">
        <v>0</v>
      </c>
      <c r="AH219">
        <v>0</v>
      </c>
      <c r="AI219">
        <v>0</v>
      </c>
      <c r="AM219">
        <v>0</v>
      </c>
      <c r="AR219" t="s">
        <v>2049</v>
      </c>
      <c r="AS219" t="s">
        <v>1680</v>
      </c>
      <c r="AT219">
        <v>2024</v>
      </c>
      <c r="AU219">
        <v>9</v>
      </c>
      <c r="AV219" t="s">
        <v>78</v>
      </c>
      <c r="AX219" t="s">
        <v>2066</v>
      </c>
    </row>
    <row r="220" spans="1:50">
      <c r="A220">
        <v>18</v>
      </c>
      <c r="B220">
        <v>33</v>
      </c>
      <c r="C220" t="s">
        <v>74</v>
      </c>
      <c r="D220" t="s">
        <v>1600</v>
      </c>
      <c r="E220" t="s">
        <v>1601</v>
      </c>
      <c r="F220">
        <v>3288</v>
      </c>
      <c r="G220" s="23">
        <v>45545</v>
      </c>
      <c r="H220" s="2">
        <v>45574.398854166669</v>
      </c>
      <c r="K220" s="149">
        <v>0</v>
      </c>
      <c r="L220" s="149">
        <v>10500</v>
      </c>
      <c r="M220" s="149">
        <v>1995</v>
      </c>
      <c r="N220" s="149">
        <v>12495</v>
      </c>
      <c r="O220">
        <v>0</v>
      </c>
      <c r="P220">
        <v>0</v>
      </c>
      <c r="Q220">
        <v>0</v>
      </c>
      <c r="R220">
        <v>0</v>
      </c>
      <c r="S220">
        <v>0</v>
      </c>
      <c r="T220" t="s">
        <v>77</v>
      </c>
      <c r="U220">
        <v>0</v>
      </c>
      <c r="V220">
        <v>0</v>
      </c>
      <c r="W220">
        <v>0</v>
      </c>
      <c r="X220">
        <v>0</v>
      </c>
      <c r="Y220">
        <v>0</v>
      </c>
      <c r="AC220">
        <v>0</v>
      </c>
      <c r="AE220">
        <v>0</v>
      </c>
      <c r="AF220">
        <v>2</v>
      </c>
      <c r="AG220">
        <v>0</v>
      </c>
      <c r="AH220">
        <v>0</v>
      </c>
      <c r="AI220">
        <v>0</v>
      </c>
      <c r="AM220">
        <v>0</v>
      </c>
      <c r="AR220" t="s">
        <v>2049</v>
      </c>
      <c r="AS220" t="s">
        <v>1680</v>
      </c>
      <c r="AT220">
        <v>2024</v>
      </c>
      <c r="AU220">
        <v>9</v>
      </c>
      <c r="AV220" t="s">
        <v>78</v>
      </c>
      <c r="AX220" t="s">
        <v>2067</v>
      </c>
    </row>
    <row r="221" spans="1:50">
      <c r="A221">
        <v>19</v>
      </c>
      <c r="B221">
        <v>33</v>
      </c>
      <c r="C221" t="s">
        <v>74</v>
      </c>
      <c r="D221" t="s">
        <v>1988</v>
      </c>
      <c r="E221" t="s">
        <v>1989</v>
      </c>
      <c r="F221">
        <v>3289</v>
      </c>
      <c r="G221" s="23">
        <v>45547</v>
      </c>
      <c r="H221" s="2">
        <v>45574.465486111112</v>
      </c>
      <c r="I221" t="s">
        <v>1992</v>
      </c>
      <c r="K221" s="149">
        <v>0</v>
      </c>
      <c r="L221" s="149">
        <v>2010720</v>
      </c>
      <c r="M221" s="149">
        <v>382037</v>
      </c>
      <c r="N221" s="149">
        <v>2392757</v>
      </c>
      <c r="O221">
        <v>0</v>
      </c>
      <c r="P221">
        <v>0</v>
      </c>
      <c r="Q221">
        <v>0</v>
      </c>
      <c r="R221">
        <v>0</v>
      </c>
      <c r="S221">
        <v>0</v>
      </c>
      <c r="T221" t="s">
        <v>77</v>
      </c>
      <c r="U221">
        <v>0</v>
      </c>
      <c r="V221">
        <v>0</v>
      </c>
      <c r="W221">
        <v>0</v>
      </c>
      <c r="X221">
        <v>0</v>
      </c>
      <c r="AC221">
        <v>0</v>
      </c>
      <c r="AE221">
        <v>0</v>
      </c>
      <c r="AF221">
        <v>2</v>
      </c>
      <c r="AG221">
        <v>0</v>
      </c>
      <c r="AH221">
        <v>0</v>
      </c>
      <c r="AI221">
        <v>0</v>
      </c>
      <c r="AM221">
        <v>0</v>
      </c>
      <c r="AR221" t="s">
        <v>2049</v>
      </c>
      <c r="AS221" t="s">
        <v>1680</v>
      </c>
      <c r="AT221">
        <v>2024</v>
      </c>
      <c r="AU221">
        <v>9</v>
      </c>
      <c r="AV221" t="s">
        <v>78</v>
      </c>
      <c r="AX221" t="s">
        <v>2068</v>
      </c>
    </row>
    <row r="222" spans="1:50">
      <c r="A222">
        <v>20</v>
      </c>
      <c r="B222">
        <v>33</v>
      </c>
      <c r="C222" t="s">
        <v>74</v>
      </c>
      <c r="D222" t="s">
        <v>1561</v>
      </c>
      <c r="E222" t="s">
        <v>1562</v>
      </c>
      <c r="F222">
        <v>3290</v>
      </c>
      <c r="G222" s="23">
        <v>45547</v>
      </c>
      <c r="H222" s="2">
        <v>45574.489247685182</v>
      </c>
      <c r="I222" s="2"/>
      <c r="K222" s="149">
        <v>0</v>
      </c>
      <c r="L222" s="149">
        <v>16485750</v>
      </c>
      <c r="M222" s="149">
        <v>3132293</v>
      </c>
      <c r="N222" s="149">
        <v>19618043</v>
      </c>
      <c r="O222">
        <v>0</v>
      </c>
      <c r="P222">
        <v>0</v>
      </c>
      <c r="Q222">
        <v>0</v>
      </c>
      <c r="R222">
        <v>0</v>
      </c>
      <c r="S222">
        <v>0</v>
      </c>
      <c r="T222" t="s">
        <v>77</v>
      </c>
      <c r="U222">
        <v>0</v>
      </c>
      <c r="V222">
        <v>0</v>
      </c>
      <c r="W222">
        <v>0</v>
      </c>
      <c r="X222">
        <v>0</v>
      </c>
      <c r="Y222">
        <v>0</v>
      </c>
      <c r="AC222">
        <v>0</v>
      </c>
      <c r="AE222">
        <v>0</v>
      </c>
      <c r="AF222">
        <v>2</v>
      </c>
      <c r="AG222">
        <v>0</v>
      </c>
      <c r="AH222">
        <v>0</v>
      </c>
      <c r="AI222">
        <v>0</v>
      </c>
      <c r="AM222">
        <v>0</v>
      </c>
      <c r="AR222" t="s">
        <v>2049</v>
      </c>
      <c r="AS222" t="s">
        <v>1680</v>
      </c>
      <c r="AT222">
        <v>2024</v>
      </c>
      <c r="AU222">
        <v>9</v>
      </c>
      <c r="AV222" t="s">
        <v>78</v>
      </c>
      <c r="AX222" t="s">
        <v>2069</v>
      </c>
    </row>
    <row r="223" spans="1:50">
      <c r="A223">
        <v>21</v>
      </c>
      <c r="B223">
        <v>33</v>
      </c>
      <c r="C223" t="s">
        <v>74</v>
      </c>
      <c r="D223" t="s">
        <v>1577</v>
      </c>
      <c r="E223" t="s">
        <v>1578</v>
      </c>
      <c r="F223">
        <v>3291</v>
      </c>
      <c r="G223" s="23">
        <v>45547</v>
      </c>
      <c r="H223" s="2">
        <v>45574.711793981478</v>
      </c>
      <c r="K223" s="149">
        <v>0</v>
      </c>
      <c r="L223" s="149">
        <v>172756</v>
      </c>
      <c r="M223" s="149">
        <v>32824</v>
      </c>
      <c r="N223" s="149">
        <v>205580</v>
      </c>
      <c r="O223">
        <v>0</v>
      </c>
      <c r="P223">
        <v>0</v>
      </c>
      <c r="Q223">
        <v>0</v>
      </c>
      <c r="R223">
        <v>0</v>
      </c>
      <c r="S223">
        <v>0</v>
      </c>
      <c r="T223" t="s">
        <v>77</v>
      </c>
      <c r="U223">
        <v>0</v>
      </c>
      <c r="V223">
        <v>0</v>
      </c>
      <c r="W223">
        <v>0</v>
      </c>
      <c r="X223">
        <v>0</v>
      </c>
      <c r="Y223">
        <v>0</v>
      </c>
      <c r="AC223">
        <v>0</v>
      </c>
      <c r="AE223">
        <v>0</v>
      </c>
      <c r="AF223">
        <v>2</v>
      </c>
      <c r="AG223">
        <v>0</v>
      </c>
      <c r="AH223">
        <v>0</v>
      </c>
      <c r="AI223">
        <v>0</v>
      </c>
      <c r="AM223">
        <v>0</v>
      </c>
      <c r="AR223" t="s">
        <v>2049</v>
      </c>
      <c r="AS223" t="s">
        <v>1680</v>
      </c>
      <c r="AT223">
        <v>2024</v>
      </c>
      <c r="AU223">
        <v>9</v>
      </c>
      <c r="AV223" t="s">
        <v>78</v>
      </c>
      <c r="AX223" t="s">
        <v>2070</v>
      </c>
    </row>
    <row r="224" spans="1:50">
      <c r="A224">
        <v>22</v>
      </c>
      <c r="B224">
        <v>33</v>
      </c>
      <c r="C224" t="s">
        <v>74</v>
      </c>
      <c r="D224" t="s">
        <v>1590</v>
      </c>
      <c r="E224" t="s">
        <v>1591</v>
      </c>
      <c r="F224">
        <v>3292</v>
      </c>
      <c r="G224" s="23">
        <v>45547</v>
      </c>
      <c r="H224" s="2">
        <v>45574.733449074076</v>
      </c>
      <c r="K224" s="149">
        <v>0</v>
      </c>
      <c r="L224" s="149">
        <v>235730</v>
      </c>
      <c r="M224" s="149">
        <v>44788</v>
      </c>
      <c r="N224" s="149">
        <v>280518</v>
      </c>
      <c r="O224">
        <v>0</v>
      </c>
      <c r="P224">
        <v>0</v>
      </c>
      <c r="Q224">
        <v>0</v>
      </c>
      <c r="R224">
        <v>0</v>
      </c>
      <c r="S224">
        <v>0</v>
      </c>
      <c r="T224" t="s">
        <v>77</v>
      </c>
      <c r="U224">
        <v>0</v>
      </c>
      <c r="V224">
        <v>0</v>
      </c>
      <c r="W224">
        <v>0</v>
      </c>
      <c r="X224">
        <v>0</v>
      </c>
      <c r="Y224">
        <v>0</v>
      </c>
      <c r="AC224">
        <v>0</v>
      </c>
      <c r="AE224">
        <v>0</v>
      </c>
      <c r="AF224">
        <v>2</v>
      </c>
      <c r="AG224">
        <v>0</v>
      </c>
      <c r="AH224">
        <v>0</v>
      </c>
      <c r="AI224">
        <v>0</v>
      </c>
      <c r="AM224">
        <v>0</v>
      </c>
      <c r="AR224" t="s">
        <v>2049</v>
      </c>
      <c r="AS224" t="s">
        <v>1680</v>
      </c>
      <c r="AT224">
        <v>2024</v>
      </c>
      <c r="AU224">
        <v>9</v>
      </c>
      <c r="AV224" t="s">
        <v>78</v>
      </c>
      <c r="AX224" t="s">
        <v>2071</v>
      </c>
    </row>
    <row r="225" spans="1:50">
      <c r="A225">
        <v>23</v>
      </c>
      <c r="B225">
        <v>33</v>
      </c>
      <c r="C225" t="s">
        <v>74</v>
      </c>
      <c r="D225" t="s">
        <v>1592</v>
      </c>
      <c r="E225" t="s">
        <v>1593</v>
      </c>
      <c r="F225">
        <v>3293</v>
      </c>
      <c r="G225" s="23">
        <v>45547</v>
      </c>
      <c r="H225" s="2">
        <v>45574.745439814818</v>
      </c>
      <c r="K225" s="149">
        <v>0</v>
      </c>
      <c r="L225" s="149">
        <v>269460</v>
      </c>
      <c r="M225" s="149">
        <v>51197</v>
      </c>
      <c r="N225" s="149">
        <v>320657</v>
      </c>
      <c r="O225">
        <v>0</v>
      </c>
      <c r="P225">
        <v>0</v>
      </c>
      <c r="Q225">
        <v>0</v>
      </c>
      <c r="R225">
        <v>0</v>
      </c>
      <c r="S225">
        <v>0</v>
      </c>
      <c r="T225" t="s">
        <v>77</v>
      </c>
      <c r="U225">
        <v>0</v>
      </c>
      <c r="V225">
        <v>0</v>
      </c>
      <c r="W225">
        <v>0</v>
      </c>
      <c r="X225">
        <v>0</v>
      </c>
      <c r="Y225">
        <v>0</v>
      </c>
      <c r="AC225">
        <v>0</v>
      </c>
      <c r="AE225">
        <v>0</v>
      </c>
      <c r="AF225">
        <v>2</v>
      </c>
      <c r="AG225">
        <v>0</v>
      </c>
      <c r="AH225">
        <v>0</v>
      </c>
      <c r="AI225">
        <v>0</v>
      </c>
      <c r="AM225">
        <v>0</v>
      </c>
      <c r="AR225" t="s">
        <v>2049</v>
      </c>
      <c r="AS225" t="s">
        <v>1680</v>
      </c>
      <c r="AT225">
        <v>2024</v>
      </c>
      <c r="AU225">
        <v>9</v>
      </c>
      <c r="AV225" t="s">
        <v>78</v>
      </c>
      <c r="AX225" t="s">
        <v>2072</v>
      </c>
    </row>
    <row r="226" spans="1:50">
      <c r="A226">
        <v>24</v>
      </c>
      <c r="B226">
        <v>33</v>
      </c>
      <c r="C226" t="s">
        <v>74</v>
      </c>
      <c r="D226" t="s">
        <v>1569</v>
      </c>
      <c r="E226" t="s">
        <v>1570</v>
      </c>
      <c r="F226">
        <v>3294</v>
      </c>
      <c r="G226" s="23">
        <v>45547</v>
      </c>
      <c r="H226" s="2">
        <v>45605.409675925926</v>
      </c>
      <c r="K226" s="149">
        <v>0</v>
      </c>
      <c r="L226" s="149">
        <v>181320</v>
      </c>
      <c r="M226" s="149">
        <v>34451</v>
      </c>
      <c r="N226" s="149">
        <v>215771</v>
      </c>
      <c r="O226">
        <v>0</v>
      </c>
      <c r="P226">
        <v>0</v>
      </c>
      <c r="Q226">
        <v>0</v>
      </c>
      <c r="R226">
        <v>0</v>
      </c>
      <c r="S226">
        <v>0</v>
      </c>
      <c r="T226" t="s">
        <v>77</v>
      </c>
      <c r="U226">
        <v>0</v>
      </c>
      <c r="V226">
        <v>0</v>
      </c>
      <c r="W226">
        <v>0</v>
      </c>
      <c r="X226">
        <v>0</v>
      </c>
      <c r="Y226">
        <v>0</v>
      </c>
      <c r="AC226">
        <v>0</v>
      </c>
      <c r="AE226">
        <v>0</v>
      </c>
      <c r="AF226">
        <v>2</v>
      </c>
      <c r="AG226">
        <v>0</v>
      </c>
      <c r="AH226">
        <v>0</v>
      </c>
      <c r="AI226">
        <v>0</v>
      </c>
      <c r="AM226">
        <v>0</v>
      </c>
      <c r="AR226" t="s">
        <v>2049</v>
      </c>
      <c r="AS226" t="s">
        <v>1680</v>
      </c>
      <c r="AT226">
        <v>2024</v>
      </c>
      <c r="AU226">
        <v>9</v>
      </c>
      <c r="AV226" t="s">
        <v>78</v>
      </c>
      <c r="AX226" t="s">
        <v>2073</v>
      </c>
    </row>
    <row r="227" spans="1:50">
      <c r="A227">
        <v>25</v>
      </c>
      <c r="B227">
        <v>33</v>
      </c>
      <c r="C227" t="s">
        <v>74</v>
      </c>
      <c r="D227" t="s">
        <v>1353</v>
      </c>
      <c r="E227" t="s">
        <v>1354</v>
      </c>
      <c r="F227">
        <v>3295</v>
      </c>
      <c r="G227" s="23">
        <v>45547</v>
      </c>
      <c r="H227" s="2">
        <v>45605.501134259262</v>
      </c>
      <c r="I227" s="2">
        <v>45605.655694444446</v>
      </c>
      <c r="K227" s="149">
        <v>0</v>
      </c>
      <c r="L227" s="149">
        <v>3880857</v>
      </c>
      <c r="M227" s="149">
        <v>737363</v>
      </c>
      <c r="N227" s="149">
        <v>4618220</v>
      </c>
      <c r="O227">
        <v>0</v>
      </c>
      <c r="P227">
        <v>0</v>
      </c>
      <c r="Q227">
        <v>0</v>
      </c>
      <c r="R227">
        <v>0</v>
      </c>
      <c r="S227">
        <v>0</v>
      </c>
      <c r="T227" t="s">
        <v>77</v>
      </c>
      <c r="U227">
        <v>0</v>
      </c>
      <c r="V227">
        <v>0</v>
      </c>
      <c r="W227">
        <v>0</v>
      </c>
      <c r="X227">
        <v>0</v>
      </c>
      <c r="Y227">
        <v>0</v>
      </c>
      <c r="AC227">
        <v>0</v>
      </c>
      <c r="AE227">
        <v>0</v>
      </c>
      <c r="AF227">
        <v>2</v>
      </c>
      <c r="AG227">
        <v>0</v>
      </c>
      <c r="AH227">
        <v>0</v>
      </c>
      <c r="AI227">
        <v>0</v>
      </c>
      <c r="AM227">
        <v>0</v>
      </c>
      <c r="AR227" t="s">
        <v>2049</v>
      </c>
      <c r="AS227" t="s">
        <v>1680</v>
      </c>
      <c r="AT227">
        <v>2024</v>
      </c>
      <c r="AU227">
        <v>9</v>
      </c>
      <c r="AV227" t="s">
        <v>78</v>
      </c>
      <c r="AX227" t="s">
        <v>2074</v>
      </c>
    </row>
    <row r="228" spans="1:50">
      <c r="A228">
        <v>26</v>
      </c>
      <c r="B228">
        <v>33</v>
      </c>
      <c r="C228" t="s">
        <v>74</v>
      </c>
      <c r="D228" t="s">
        <v>1222</v>
      </c>
      <c r="E228" t="s">
        <v>1223</v>
      </c>
      <c r="F228">
        <v>3296</v>
      </c>
      <c r="G228" s="23">
        <v>45546</v>
      </c>
      <c r="H228" s="2">
        <v>45605.689895833333</v>
      </c>
      <c r="I228" t="s">
        <v>1993</v>
      </c>
      <c r="K228" s="149">
        <v>0</v>
      </c>
      <c r="L228" s="149">
        <v>1062680</v>
      </c>
      <c r="M228" s="149">
        <v>201909</v>
      </c>
      <c r="N228" s="149">
        <v>1264589</v>
      </c>
      <c r="O228">
        <v>0</v>
      </c>
      <c r="P228">
        <v>0</v>
      </c>
      <c r="Q228">
        <v>0</v>
      </c>
      <c r="R228">
        <v>0</v>
      </c>
      <c r="S228">
        <v>0</v>
      </c>
      <c r="T228" t="s">
        <v>77</v>
      </c>
      <c r="U228">
        <v>0</v>
      </c>
      <c r="V228">
        <v>0</v>
      </c>
      <c r="W228">
        <v>0</v>
      </c>
      <c r="X228">
        <v>0</v>
      </c>
      <c r="AC228">
        <v>0</v>
      </c>
      <c r="AE228">
        <v>0</v>
      </c>
      <c r="AF228">
        <v>2</v>
      </c>
      <c r="AG228">
        <v>0</v>
      </c>
      <c r="AH228">
        <v>0</v>
      </c>
      <c r="AI228">
        <v>0</v>
      </c>
      <c r="AM228">
        <v>0</v>
      </c>
      <c r="AR228" t="s">
        <v>2049</v>
      </c>
      <c r="AS228" t="s">
        <v>1680</v>
      </c>
      <c r="AT228">
        <v>2024</v>
      </c>
      <c r="AU228">
        <v>9</v>
      </c>
      <c r="AV228" t="s">
        <v>78</v>
      </c>
      <c r="AX228" t="s">
        <v>2075</v>
      </c>
    </row>
    <row r="229" spans="1:50">
      <c r="A229">
        <v>27</v>
      </c>
      <c r="B229">
        <v>33</v>
      </c>
      <c r="C229" t="s">
        <v>74</v>
      </c>
      <c r="D229" t="s">
        <v>1571</v>
      </c>
      <c r="E229" t="s">
        <v>1572</v>
      </c>
      <c r="F229">
        <v>3297</v>
      </c>
      <c r="G229" s="23" t="s">
        <v>800</v>
      </c>
      <c r="H229" s="2">
        <v>45635.483819444446</v>
      </c>
      <c r="J229" s="2">
        <v>45635.932326388887</v>
      </c>
      <c r="K229" s="149">
        <v>0</v>
      </c>
      <c r="L229" s="149">
        <v>10418136</v>
      </c>
      <c r="M229" s="149">
        <v>1979445</v>
      </c>
      <c r="N229" s="149">
        <v>12397581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77</v>
      </c>
      <c r="U229">
        <v>0</v>
      </c>
      <c r="V229">
        <v>0</v>
      </c>
      <c r="W229">
        <v>0</v>
      </c>
      <c r="X229">
        <v>0</v>
      </c>
      <c r="AC229">
        <v>0</v>
      </c>
      <c r="AE229">
        <v>0</v>
      </c>
      <c r="AF229">
        <v>2</v>
      </c>
      <c r="AG229">
        <v>0</v>
      </c>
      <c r="AH229">
        <v>0</v>
      </c>
      <c r="AI229">
        <v>0</v>
      </c>
      <c r="AM229">
        <v>0</v>
      </c>
      <c r="AR229" t="s">
        <v>2049</v>
      </c>
      <c r="AS229" t="s">
        <v>1680</v>
      </c>
      <c r="AT229">
        <v>2024</v>
      </c>
      <c r="AU229">
        <v>9</v>
      </c>
      <c r="AV229" t="s">
        <v>78</v>
      </c>
      <c r="AX229" t="s">
        <v>2076</v>
      </c>
    </row>
    <row r="230" spans="1:50">
      <c r="A230">
        <v>28</v>
      </c>
      <c r="B230">
        <v>33</v>
      </c>
      <c r="C230" t="s">
        <v>74</v>
      </c>
      <c r="D230" t="s">
        <v>1222</v>
      </c>
      <c r="E230" t="s">
        <v>1223</v>
      </c>
      <c r="F230">
        <v>3298</v>
      </c>
      <c r="G230" s="23" t="s">
        <v>800</v>
      </c>
      <c r="H230" s="2">
        <v>45635.49554398148</v>
      </c>
      <c r="J230" s="2" t="s">
        <v>1994</v>
      </c>
      <c r="K230" s="149">
        <v>0</v>
      </c>
      <c r="L230" s="149">
        <v>1988230</v>
      </c>
      <c r="M230" s="149">
        <v>377764</v>
      </c>
      <c r="N230" s="149">
        <v>2365994</v>
      </c>
      <c r="O230">
        <v>0</v>
      </c>
      <c r="P230">
        <v>0</v>
      </c>
      <c r="Q230">
        <v>0</v>
      </c>
      <c r="R230">
        <v>0</v>
      </c>
      <c r="S230">
        <v>0</v>
      </c>
      <c r="T230" t="s">
        <v>77</v>
      </c>
      <c r="U230">
        <v>0</v>
      </c>
      <c r="V230">
        <v>0</v>
      </c>
      <c r="W230">
        <v>0</v>
      </c>
      <c r="X230">
        <v>0</v>
      </c>
      <c r="AC230">
        <v>0</v>
      </c>
      <c r="AE230">
        <v>0</v>
      </c>
      <c r="AF230">
        <v>2</v>
      </c>
      <c r="AG230">
        <v>0</v>
      </c>
      <c r="AH230">
        <v>0</v>
      </c>
      <c r="AI230">
        <v>0</v>
      </c>
      <c r="AM230">
        <v>0</v>
      </c>
      <c r="AR230" t="s">
        <v>2049</v>
      </c>
      <c r="AS230" t="s">
        <v>1680</v>
      </c>
      <c r="AT230">
        <v>2024</v>
      </c>
      <c r="AU230">
        <v>9</v>
      </c>
      <c r="AV230" t="s">
        <v>78</v>
      </c>
      <c r="AX230" t="s">
        <v>2077</v>
      </c>
    </row>
    <row r="231" spans="1:50">
      <c r="A231">
        <v>29</v>
      </c>
      <c r="B231">
        <v>33</v>
      </c>
      <c r="C231" t="s">
        <v>74</v>
      </c>
      <c r="D231" t="s">
        <v>1571</v>
      </c>
      <c r="E231" t="s">
        <v>1572</v>
      </c>
      <c r="F231">
        <v>3299</v>
      </c>
      <c r="G231" s="23" t="s">
        <v>800</v>
      </c>
      <c r="H231" s="2">
        <v>45635.519560185188</v>
      </c>
      <c r="J231" t="s">
        <v>1995</v>
      </c>
      <c r="K231" s="149">
        <v>0</v>
      </c>
      <c r="L231" s="149">
        <v>13011653</v>
      </c>
      <c r="M231" s="149">
        <v>2472214</v>
      </c>
      <c r="N231" s="149">
        <v>15483867</v>
      </c>
      <c r="O231">
        <v>0</v>
      </c>
      <c r="P231">
        <v>0</v>
      </c>
      <c r="Q231">
        <v>0</v>
      </c>
      <c r="R231">
        <v>0</v>
      </c>
      <c r="S231">
        <v>0</v>
      </c>
      <c r="T231" t="s">
        <v>77</v>
      </c>
      <c r="U231">
        <v>0</v>
      </c>
      <c r="V231">
        <v>0</v>
      </c>
      <c r="W231">
        <v>0</v>
      </c>
      <c r="X231">
        <v>0</v>
      </c>
      <c r="AC231">
        <v>0</v>
      </c>
      <c r="AE231">
        <v>0</v>
      </c>
      <c r="AF231">
        <v>2</v>
      </c>
      <c r="AG231">
        <v>0</v>
      </c>
      <c r="AH231">
        <v>0</v>
      </c>
      <c r="AI231">
        <v>0</v>
      </c>
      <c r="AM231">
        <v>0</v>
      </c>
      <c r="AR231" t="s">
        <v>2049</v>
      </c>
      <c r="AS231" t="s">
        <v>1680</v>
      </c>
      <c r="AT231">
        <v>2024</v>
      </c>
      <c r="AU231">
        <v>9</v>
      </c>
      <c r="AV231" t="s">
        <v>78</v>
      </c>
      <c r="AX231" t="s">
        <v>2078</v>
      </c>
    </row>
    <row r="232" spans="1:50">
      <c r="A232">
        <v>30</v>
      </c>
      <c r="B232">
        <v>33</v>
      </c>
      <c r="C232" t="s">
        <v>74</v>
      </c>
      <c r="D232" t="s">
        <v>1788</v>
      </c>
      <c r="E232" t="s">
        <v>1789</v>
      </c>
      <c r="F232">
        <v>3300</v>
      </c>
      <c r="G232" s="23" t="s">
        <v>800</v>
      </c>
      <c r="H232" s="2">
        <v>45635.537754629629</v>
      </c>
      <c r="I232" t="s">
        <v>1996</v>
      </c>
      <c r="K232" s="149">
        <v>0</v>
      </c>
      <c r="L232" s="149">
        <v>345600</v>
      </c>
      <c r="M232" s="149">
        <v>65664</v>
      </c>
      <c r="N232" s="149">
        <v>411264</v>
      </c>
      <c r="O232">
        <v>0</v>
      </c>
      <c r="P232">
        <v>0</v>
      </c>
      <c r="Q232">
        <v>0</v>
      </c>
      <c r="R232">
        <v>0</v>
      </c>
      <c r="S232">
        <v>0</v>
      </c>
      <c r="T232" t="s">
        <v>77</v>
      </c>
      <c r="U232">
        <v>0</v>
      </c>
      <c r="V232">
        <v>0</v>
      </c>
      <c r="W232">
        <v>0</v>
      </c>
      <c r="X232">
        <v>0</v>
      </c>
      <c r="Y232">
        <v>0</v>
      </c>
      <c r="AC232">
        <v>0</v>
      </c>
      <c r="AE232">
        <v>0</v>
      </c>
      <c r="AF232">
        <v>2</v>
      </c>
      <c r="AG232">
        <v>0</v>
      </c>
      <c r="AH232">
        <v>0</v>
      </c>
      <c r="AI232">
        <v>0</v>
      </c>
      <c r="AM232">
        <v>0</v>
      </c>
      <c r="AR232" t="s">
        <v>2049</v>
      </c>
      <c r="AS232" t="s">
        <v>1680</v>
      </c>
      <c r="AT232">
        <v>2024</v>
      </c>
      <c r="AU232">
        <v>9</v>
      </c>
      <c r="AV232" t="s">
        <v>78</v>
      </c>
      <c r="AX232" t="s">
        <v>2079</v>
      </c>
    </row>
    <row r="233" spans="1:50">
      <c r="A233">
        <v>31</v>
      </c>
      <c r="B233">
        <v>33</v>
      </c>
      <c r="C233" t="s">
        <v>74</v>
      </c>
      <c r="D233" t="s">
        <v>1222</v>
      </c>
      <c r="E233" t="s">
        <v>1223</v>
      </c>
      <c r="F233">
        <v>3301</v>
      </c>
      <c r="G233" s="23" t="s">
        <v>802</v>
      </c>
      <c r="H233" s="2" t="s">
        <v>1997</v>
      </c>
      <c r="J233" t="s">
        <v>1998</v>
      </c>
      <c r="K233" s="149">
        <v>0</v>
      </c>
      <c r="L233" s="149">
        <v>9408200</v>
      </c>
      <c r="M233" s="149">
        <v>1787558</v>
      </c>
      <c r="N233" s="149">
        <v>11195758</v>
      </c>
      <c r="O233">
        <v>0</v>
      </c>
      <c r="P233">
        <v>0</v>
      </c>
      <c r="Q233">
        <v>0</v>
      </c>
      <c r="R233">
        <v>0</v>
      </c>
      <c r="S233">
        <v>0</v>
      </c>
      <c r="T233" t="s">
        <v>77</v>
      </c>
      <c r="U233">
        <v>0</v>
      </c>
      <c r="V233">
        <v>0</v>
      </c>
      <c r="W233">
        <v>0</v>
      </c>
      <c r="X233">
        <v>0</v>
      </c>
      <c r="AC233">
        <v>0</v>
      </c>
      <c r="AE233">
        <v>0</v>
      </c>
      <c r="AF233">
        <v>2</v>
      </c>
      <c r="AG233">
        <v>0</v>
      </c>
      <c r="AH233">
        <v>0</v>
      </c>
      <c r="AI233">
        <v>0</v>
      </c>
      <c r="AM233">
        <v>0</v>
      </c>
      <c r="AR233" t="s">
        <v>2049</v>
      </c>
      <c r="AS233" t="s">
        <v>1680</v>
      </c>
      <c r="AT233">
        <v>2024</v>
      </c>
      <c r="AU233">
        <v>9</v>
      </c>
      <c r="AV233" t="s">
        <v>78</v>
      </c>
      <c r="AX233" t="s">
        <v>2080</v>
      </c>
    </row>
    <row r="234" spans="1:50">
      <c r="A234">
        <v>32</v>
      </c>
      <c r="B234">
        <v>33</v>
      </c>
      <c r="C234" t="s">
        <v>74</v>
      </c>
      <c r="D234" t="s">
        <v>1353</v>
      </c>
      <c r="E234" t="s">
        <v>1354</v>
      </c>
      <c r="F234">
        <v>3302</v>
      </c>
      <c r="G234" s="23" t="s">
        <v>803</v>
      </c>
      <c r="H234" s="2" t="s">
        <v>1999</v>
      </c>
      <c r="I234" t="s">
        <v>2000</v>
      </c>
      <c r="K234" s="149">
        <v>0</v>
      </c>
      <c r="L234" s="149">
        <v>2025244</v>
      </c>
      <c r="M234" s="149">
        <v>384797</v>
      </c>
      <c r="N234" s="149">
        <v>2410041</v>
      </c>
      <c r="O234">
        <v>0</v>
      </c>
      <c r="P234">
        <v>0</v>
      </c>
      <c r="Q234">
        <v>0</v>
      </c>
      <c r="R234">
        <v>0</v>
      </c>
      <c r="S234">
        <v>0</v>
      </c>
      <c r="T234" t="s">
        <v>77</v>
      </c>
      <c r="U234">
        <v>0</v>
      </c>
      <c r="V234">
        <v>0</v>
      </c>
      <c r="W234">
        <v>0</v>
      </c>
      <c r="X234">
        <v>0</v>
      </c>
      <c r="Y234">
        <v>0</v>
      </c>
      <c r="AC234">
        <v>0</v>
      </c>
      <c r="AE234">
        <v>0</v>
      </c>
      <c r="AF234">
        <v>2</v>
      </c>
      <c r="AG234">
        <v>0</v>
      </c>
      <c r="AH234">
        <v>0</v>
      </c>
      <c r="AI234">
        <v>0</v>
      </c>
      <c r="AM234">
        <v>0</v>
      </c>
      <c r="AR234" t="s">
        <v>2049</v>
      </c>
      <c r="AS234" t="s">
        <v>1680</v>
      </c>
      <c r="AT234">
        <v>2024</v>
      </c>
      <c r="AU234">
        <v>9</v>
      </c>
      <c r="AV234" t="s">
        <v>78</v>
      </c>
      <c r="AX234" t="s">
        <v>2081</v>
      </c>
    </row>
    <row r="235" spans="1:50">
      <c r="A235">
        <v>33</v>
      </c>
      <c r="B235">
        <v>33</v>
      </c>
      <c r="C235" t="s">
        <v>74</v>
      </c>
      <c r="D235" t="s">
        <v>1222</v>
      </c>
      <c r="E235" t="s">
        <v>1223</v>
      </c>
      <c r="F235">
        <v>3303</v>
      </c>
      <c r="G235" s="23" t="s">
        <v>804</v>
      </c>
      <c r="H235" s="2" t="s">
        <v>2001</v>
      </c>
      <c r="I235" s="2"/>
      <c r="J235" t="s">
        <v>2002</v>
      </c>
      <c r="K235" s="149">
        <v>0</v>
      </c>
      <c r="L235" s="149">
        <v>14721000</v>
      </c>
      <c r="M235" s="149">
        <v>2796990</v>
      </c>
      <c r="N235" s="149">
        <v>17517990</v>
      </c>
      <c r="O235">
        <v>0</v>
      </c>
      <c r="P235">
        <v>0</v>
      </c>
      <c r="Q235">
        <v>0</v>
      </c>
      <c r="R235">
        <v>0</v>
      </c>
      <c r="S235">
        <v>0</v>
      </c>
      <c r="T235" t="s">
        <v>77</v>
      </c>
      <c r="U235">
        <v>0</v>
      </c>
      <c r="V235">
        <v>0</v>
      </c>
      <c r="W235">
        <v>0</v>
      </c>
      <c r="X235">
        <v>0</v>
      </c>
      <c r="AC235">
        <v>0</v>
      </c>
      <c r="AE235">
        <v>0</v>
      </c>
      <c r="AF235">
        <v>2</v>
      </c>
      <c r="AG235">
        <v>0</v>
      </c>
      <c r="AH235">
        <v>0</v>
      </c>
      <c r="AI235">
        <v>0</v>
      </c>
      <c r="AM235">
        <v>0</v>
      </c>
      <c r="AR235" t="s">
        <v>2049</v>
      </c>
      <c r="AS235" t="s">
        <v>1680</v>
      </c>
      <c r="AT235">
        <v>2024</v>
      </c>
      <c r="AU235">
        <v>9</v>
      </c>
      <c r="AV235" t="s">
        <v>78</v>
      </c>
      <c r="AX235" t="s">
        <v>2082</v>
      </c>
    </row>
    <row r="236" spans="1:50">
      <c r="A236">
        <v>34</v>
      </c>
      <c r="B236">
        <v>33</v>
      </c>
      <c r="C236" t="s">
        <v>74</v>
      </c>
      <c r="D236" t="s">
        <v>1222</v>
      </c>
      <c r="E236" t="s">
        <v>1223</v>
      </c>
      <c r="F236">
        <v>3304</v>
      </c>
      <c r="G236" s="23" t="s">
        <v>804</v>
      </c>
      <c r="H236" s="2" t="s">
        <v>2003</v>
      </c>
      <c r="J236" t="s">
        <v>2002</v>
      </c>
      <c r="K236" s="149">
        <v>0</v>
      </c>
      <c r="L236" s="149">
        <v>9969220</v>
      </c>
      <c r="M236" s="149">
        <v>1894152</v>
      </c>
      <c r="N236" s="149">
        <v>11863372</v>
      </c>
      <c r="O236">
        <v>0</v>
      </c>
      <c r="P236">
        <v>0</v>
      </c>
      <c r="Q236">
        <v>0</v>
      </c>
      <c r="R236">
        <v>0</v>
      </c>
      <c r="S236">
        <v>0</v>
      </c>
      <c r="T236" t="s">
        <v>77</v>
      </c>
      <c r="U236">
        <v>0</v>
      </c>
      <c r="V236">
        <v>0</v>
      </c>
      <c r="W236">
        <v>0</v>
      </c>
      <c r="X236">
        <v>0</v>
      </c>
      <c r="AC236">
        <v>0</v>
      </c>
      <c r="AE236">
        <v>0</v>
      </c>
      <c r="AF236">
        <v>2</v>
      </c>
      <c r="AG236">
        <v>0</v>
      </c>
      <c r="AH236">
        <v>0</v>
      </c>
      <c r="AI236">
        <v>0</v>
      </c>
      <c r="AM236">
        <v>0</v>
      </c>
      <c r="AR236" t="s">
        <v>2049</v>
      </c>
      <c r="AS236" t="s">
        <v>1680</v>
      </c>
      <c r="AT236">
        <v>2024</v>
      </c>
      <c r="AU236">
        <v>9</v>
      </c>
      <c r="AV236" t="s">
        <v>78</v>
      </c>
      <c r="AX236" t="s">
        <v>2083</v>
      </c>
    </row>
    <row r="237" spans="1:50">
      <c r="A237">
        <v>35</v>
      </c>
      <c r="B237">
        <v>33</v>
      </c>
      <c r="C237" t="s">
        <v>74</v>
      </c>
      <c r="D237" t="s">
        <v>1561</v>
      </c>
      <c r="E237" t="s">
        <v>1562</v>
      </c>
      <c r="F237">
        <v>3305</v>
      </c>
      <c r="G237" s="23" t="s">
        <v>804</v>
      </c>
      <c r="H237" s="2" t="s">
        <v>2004</v>
      </c>
      <c r="K237" s="149">
        <v>0</v>
      </c>
      <c r="L237" s="149">
        <v>10528650</v>
      </c>
      <c r="M237" s="149">
        <v>2000444</v>
      </c>
      <c r="N237" s="149">
        <v>12529094</v>
      </c>
      <c r="O237">
        <v>0</v>
      </c>
      <c r="P237">
        <v>0</v>
      </c>
      <c r="Q237">
        <v>0</v>
      </c>
      <c r="R237">
        <v>0</v>
      </c>
      <c r="S237">
        <v>0</v>
      </c>
      <c r="T237" t="s">
        <v>77</v>
      </c>
      <c r="U237">
        <v>0</v>
      </c>
      <c r="V237">
        <v>0</v>
      </c>
      <c r="W237">
        <v>0</v>
      </c>
      <c r="X237">
        <v>0</v>
      </c>
      <c r="Y237">
        <v>0</v>
      </c>
      <c r="AC237">
        <v>0</v>
      </c>
      <c r="AE237">
        <v>0</v>
      </c>
      <c r="AF237">
        <v>2</v>
      </c>
      <c r="AG237">
        <v>0</v>
      </c>
      <c r="AH237">
        <v>0</v>
      </c>
      <c r="AI237">
        <v>0</v>
      </c>
      <c r="AM237">
        <v>0</v>
      </c>
      <c r="AR237" t="s">
        <v>2049</v>
      </c>
      <c r="AS237" t="s">
        <v>1680</v>
      </c>
      <c r="AT237">
        <v>2024</v>
      </c>
      <c r="AU237">
        <v>9</v>
      </c>
      <c r="AV237" t="s">
        <v>78</v>
      </c>
      <c r="AX237" t="s">
        <v>2084</v>
      </c>
    </row>
    <row r="238" spans="1:50">
      <c r="A238">
        <v>36</v>
      </c>
      <c r="B238">
        <v>33</v>
      </c>
      <c r="C238" t="s">
        <v>74</v>
      </c>
      <c r="D238" t="s">
        <v>1222</v>
      </c>
      <c r="E238" t="s">
        <v>1223</v>
      </c>
      <c r="F238">
        <v>3306</v>
      </c>
      <c r="G238" s="23" t="s">
        <v>803</v>
      </c>
      <c r="H238" s="2" t="s">
        <v>2005</v>
      </c>
      <c r="I238" s="2">
        <v>45301.390127314815</v>
      </c>
      <c r="K238" s="149">
        <v>0</v>
      </c>
      <c r="L238" s="149">
        <v>1956240</v>
      </c>
      <c r="M238" s="149">
        <v>371686</v>
      </c>
      <c r="N238" s="149">
        <v>2327926</v>
      </c>
      <c r="O238">
        <v>0</v>
      </c>
      <c r="P238">
        <v>0</v>
      </c>
      <c r="Q238">
        <v>0</v>
      </c>
      <c r="R238">
        <v>0</v>
      </c>
      <c r="S238">
        <v>0</v>
      </c>
      <c r="T238" t="s">
        <v>77</v>
      </c>
      <c r="U238">
        <v>0</v>
      </c>
      <c r="V238">
        <v>0</v>
      </c>
      <c r="W238">
        <v>0</v>
      </c>
      <c r="X238">
        <v>0</v>
      </c>
      <c r="AC238">
        <v>0</v>
      </c>
      <c r="AE238">
        <v>0</v>
      </c>
      <c r="AF238">
        <v>2</v>
      </c>
      <c r="AG238">
        <v>0</v>
      </c>
      <c r="AH238">
        <v>0</v>
      </c>
      <c r="AI238">
        <v>0</v>
      </c>
      <c r="AM238">
        <v>0</v>
      </c>
      <c r="AR238" t="s">
        <v>2049</v>
      </c>
      <c r="AS238" t="s">
        <v>1680</v>
      </c>
      <c r="AT238">
        <v>2024</v>
      </c>
      <c r="AU238">
        <v>9</v>
      </c>
      <c r="AV238" t="s">
        <v>78</v>
      </c>
      <c r="AX238" t="s">
        <v>2085</v>
      </c>
    </row>
    <row r="239" spans="1:50">
      <c r="A239">
        <v>37</v>
      </c>
      <c r="B239">
        <v>33</v>
      </c>
      <c r="C239" t="s">
        <v>74</v>
      </c>
      <c r="D239" t="s">
        <v>1571</v>
      </c>
      <c r="E239" t="s">
        <v>1572</v>
      </c>
      <c r="F239">
        <v>3307</v>
      </c>
      <c r="G239" s="23" t="s">
        <v>803</v>
      </c>
      <c r="H239" s="2" t="s">
        <v>2006</v>
      </c>
      <c r="I239" t="s">
        <v>2007</v>
      </c>
      <c r="K239" s="149">
        <v>0</v>
      </c>
      <c r="L239" s="149">
        <v>12290478</v>
      </c>
      <c r="M239" s="149">
        <v>2335191</v>
      </c>
      <c r="N239" s="149">
        <v>14625669</v>
      </c>
      <c r="O239">
        <v>0</v>
      </c>
      <c r="P239">
        <v>0</v>
      </c>
      <c r="Q239">
        <v>0</v>
      </c>
      <c r="R239">
        <v>0</v>
      </c>
      <c r="S239">
        <v>0</v>
      </c>
      <c r="T239" t="s">
        <v>77</v>
      </c>
      <c r="U239">
        <v>0</v>
      </c>
      <c r="V239">
        <v>0</v>
      </c>
      <c r="W239">
        <v>0</v>
      </c>
      <c r="X239">
        <v>0</v>
      </c>
      <c r="AC239">
        <v>0</v>
      </c>
      <c r="AE239">
        <v>0</v>
      </c>
      <c r="AF239">
        <v>2</v>
      </c>
      <c r="AG239">
        <v>0</v>
      </c>
      <c r="AH239">
        <v>0</v>
      </c>
      <c r="AI239">
        <v>0</v>
      </c>
      <c r="AM239">
        <v>0</v>
      </c>
      <c r="AR239" t="s">
        <v>2049</v>
      </c>
      <c r="AS239" t="s">
        <v>1680</v>
      </c>
      <c r="AT239">
        <v>2024</v>
      </c>
      <c r="AU239">
        <v>9</v>
      </c>
      <c r="AV239" t="s">
        <v>78</v>
      </c>
      <c r="AX239" t="s">
        <v>2086</v>
      </c>
    </row>
    <row r="240" spans="1:50">
      <c r="A240">
        <v>38</v>
      </c>
      <c r="B240">
        <v>33</v>
      </c>
      <c r="C240" t="s">
        <v>74</v>
      </c>
      <c r="D240" t="s">
        <v>1222</v>
      </c>
      <c r="E240" t="s">
        <v>1223</v>
      </c>
      <c r="F240">
        <v>3308</v>
      </c>
      <c r="G240" s="23" t="s">
        <v>803</v>
      </c>
      <c r="H240" s="2" t="s">
        <v>2008</v>
      </c>
      <c r="I240" s="2">
        <v>45301.390127314815</v>
      </c>
      <c r="K240" s="149">
        <v>0</v>
      </c>
      <c r="L240" s="149">
        <v>9028200</v>
      </c>
      <c r="M240" s="149">
        <v>1715358</v>
      </c>
      <c r="N240" s="149">
        <v>10743558</v>
      </c>
      <c r="O240">
        <v>0</v>
      </c>
      <c r="P240">
        <v>0</v>
      </c>
      <c r="Q240">
        <v>0</v>
      </c>
      <c r="R240">
        <v>0</v>
      </c>
      <c r="S240">
        <v>0</v>
      </c>
      <c r="T240" t="s">
        <v>77</v>
      </c>
      <c r="U240">
        <v>0</v>
      </c>
      <c r="V240">
        <v>0</v>
      </c>
      <c r="W240">
        <v>0</v>
      </c>
      <c r="X240">
        <v>0</v>
      </c>
      <c r="AC240">
        <v>0</v>
      </c>
      <c r="AE240">
        <v>0</v>
      </c>
      <c r="AF240">
        <v>2</v>
      </c>
      <c r="AG240">
        <v>0</v>
      </c>
      <c r="AH240">
        <v>0</v>
      </c>
      <c r="AI240">
        <v>0</v>
      </c>
      <c r="AM240">
        <v>0</v>
      </c>
      <c r="AR240" t="s">
        <v>2049</v>
      </c>
      <c r="AS240" t="s">
        <v>1680</v>
      </c>
      <c r="AT240">
        <v>2024</v>
      </c>
      <c r="AU240">
        <v>9</v>
      </c>
      <c r="AV240" t="s">
        <v>78</v>
      </c>
      <c r="AX240" t="s">
        <v>2087</v>
      </c>
    </row>
    <row r="241" spans="1:50">
      <c r="A241">
        <v>39</v>
      </c>
      <c r="B241">
        <v>33</v>
      </c>
      <c r="C241" t="s">
        <v>74</v>
      </c>
      <c r="D241" t="s">
        <v>1222</v>
      </c>
      <c r="E241" t="s">
        <v>1223</v>
      </c>
      <c r="F241">
        <v>3309</v>
      </c>
      <c r="G241" s="23" t="s">
        <v>803</v>
      </c>
      <c r="H241" s="2" t="s">
        <v>2009</v>
      </c>
      <c r="I241" t="s">
        <v>2010</v>
      </c>
      <c r="K241" s="149">
        <v>0</v>
      </c>
      <c r="L241" s="149">
        <v>10043745</v>
      </c>
      <c r="M241" s="149">
        <v>1908313</v>
      </c>
      <c r="N241" s="149">
        <v>11952058</v>
      </c>
      <c r="O241">
        <v>0</v>
      </c>
      <c r="P241">
        <v>0</v>
      </c>
      <c r="Q241">
        <v>0</v>
      </c>
      <c r="R241">
        <v>0</v>
      </c>
      <c r="S241">
        <v>0</v>
      </c>
      <c r="T241" t="s">
        <v>77</v>
      </c>
      <c r="U241">
        <v>0</v>
      </c>
      <c r="V241">
        <v>0</v>
      </c>
      <c r="W241">
        <v>0</v>
      </c>
      <c r="X241">
        <v>0</v>
      </c>
      <c r="AC241">
        <v>0</v>
      </c>
      <c r="AE241">
        <v>0</v>
      </c>
      <c r="AF241">
        <v>2</v>
      </c>
      <c r="AG241">
        <v>0</v>
      </c>
      <c r="AH241">
        <v>0</v>
      </c>
      <c r="AI241">
        <v>0</v>
      </c>
      <c r="AM241">
        <v>0</v>
      </c>
      <c r="AR241" t="s">
        <v>2049</v>
      </c>
      <c r="AS241" t="s">
        <v>1680</v>
      </c>
      <c r="AT241">
        <v>2024</v>
      </c>
      <c r="AU241">
        <v>9</v>
      </c>
      <c r="AV241" t="s">
        <v>78</v>
      </c>
      <c r="AX241" t="s">
        <v>2088</v>
      </c>
    </row>
    <row r="242" spans="1:50">
      <c r="A242">
        <v>40</v>
      </c>
      <c r="B242">
        <v>33</v>
      </c>
      <c r="C242" t="s">
        <v>74</v>
      </c>
      <c r="D242" t="s">
        <v>1579</v>
      </c>
      <c r="E242" t="s">
        <v>1580</v>
      </c>
      <c r="F242">
        <v>3310</v>
      </c>
      <c r="G242" s="23" t="s">
        <v>805</v>
      </c>
      <c r="H242" s="2" t="s">
        <v>2011</v>
      </c>
      <c r="I242" t="s">
        <v>2012</v>
      </c>
      <c r="K242" s="149">
        <v>0</v>
      </c>
      <c r="L242" s="149">
        <v>9329860</v>
      </c>
      <c r="M242" s="149">
        <v>1772673</v>
      </c>
      <c r="N242" s="149">
        <v>11102533</v>
      </c>
      <c r="O242">
        <v>0</v>
      </c>
      <c r="P242">
        <v>0</v>
      </c>
      <c r="Q242">
        <v>0</v>
      </c>
      <c r="R242">
        <v>0</v>
      </c>
      <c r="S242">
        <v>0</v>
      </c>
      <c r="T242" t="s">
        <v>77</v>
      </c>
      <c r="U242">
        <v>0</v>
      </c>
      <c r="V242">
        <v>0</v>
      </c>
      <c r="W242">
        <v>0</v>
      </c>
      <c r="X242">
        <v>0</v>
      </c>
      <c r="Y242">
        <v>0</v>
      </c>
      <c r="AC242">
        <v>0</v>
      </c>
      <c r="AE242">
        <v>0</v>
      </c>
      <c r="AF242">
        <v>2</v>
      </c>
      <c r="AG242">
        <v>0</v>
      </c>
      <c r="AH242">
        <v>0</v>
      </c>
      <c r="AI242">
        <v>0</v>
      </c>
      <c r="AM242">
        <v>0</v>
      </c>
      <c r="AR242" t="s">
        <v>2049</v>
      </c>
      <c r="AS242" t="s">
        <v>1680</v>
      </c>
      <c r="AT242">
        <v>2024</v>
      </c>
      <c r="AU242">
        <v>9</v>
      </c>
      <c r="AV242" t="s">
        <v>78</v>
      </c>
      <c r="AX242" t="s">
        <v>2089</v>
      </c>
    </row>
    <row r="243" spans="1:50">
      <c r="A243">
        <v>41</v>
      </c>
      <c r="B243">
        <v>33</v>
      </c>
      <c r="C243" t="s">
        <v>74</v>
      </c>
      <c r="D243" t="s">
        <v>1785</v>
      </c>
      <c r="E243" t="s">
        <v>1786</v>
      </c>
      <c r="F243">
        <v>3311</v>
      </c>
      <c r="G243" s="23" t="s">
        <v>806</v>
      </c>
      <c r="H243" s="2" t="s">
        <v>2013</v>
      </c>
      <c r="I243" s="2"/>
      <c r="K243" s="149">
        <v>0</v>
      </c>
      <c r="L243" s="149">
        <v>171728</v>
      </c>
      <c r="M243" s="149">
        <v>32629</v>
      </c>
      <c r="N243" s="149">
        <v>204357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77</v>
      </c>
      <c r="U243">
        <v>0</v>
      </c>
      <c r="V243">
        <v>0</v>
      </c>
      <c r="W243">
        <v>0</v>
      </c>
      <c r="X243">
        <v>0</v>
      </c>
      <c r="Y243">
        <v>0</v>
      </c>
      <c r="AC243">
        <v>0</v>
      </c>
      <c r="AE243">
        <v>0</v>
      </c>
      <c r="AF243">
        <v>2</v>
      </c>
      <c r="AG243">
        <v>0</v>
      </c>
      <c r="AH243">
        <v>0</v>
      </c>
      <c r="AI243">
        <v>0</v>
      </c>
      <c r="AM243">
        <v>0</v>
      </c>
      <c r="AR243" t="s">
        <v>2049</v>
      </c>
      <c r="AS243" t="s">
        <v>1680</v>
      </c>
      <c r="AT243">
        <v>2024</v>
      </c>
      <c r="AU243">
        <v>9</v>
      </c>
      <c r="AV243" t="s">
        <v>78</v>
      </c>
      <c r="AX243" t="s">
        <v>2090</v>
      </c>
    </row>
    <row r="244" spans="1:50">
      <c r="A244">
        <v>42</v>
      </c>
      <c r="B244">
        <v>33</v>
      </c>
      <c r="C244" t="s">
        <v>74</v>
      </c>
      <c r="D244" t="s">
        <v>1564</v>
      </c>
      <c r="E244" t="s">
        <v>1565</v>
      </c>
      <c r="F244">
        <v>3312</v>
      </c>
      <c r="G244" s="23" t="s">
        <v>806</v>
      </c>
      <c r="H244" s="2" t="s">
        <v>2014</v>
      </c>
      <c r="I244" s="2" t="s">
        <v>2015</v>
      </c>
      <c r="K244" s="149">
        <v>0</v>
      </c>
      <c r="L244" s="149">
        <v>729483</v>
      </c>
      <c r="M244" s="149">
        <v>138604</v>
      </c>
      <c r="N244" s="149">
        <v>868087</v>
      </c>
      <c r="O244">
        <v>0</v>
      </c>
      <c r="P244">
        <v>0</v>
      </c>
      <c r="Q244">
        <v>0</v>
      </c>
      <c r="R244">
        <v>0</v>
      </c>
      <c r="S244">
        <v>0</v>
      </c>
      <c r="T244" t="s">
        <v>77</v>
      </c>
      <c r="U244">
        <v>0</v>
      </c>
      <c r="V244">
        <v>0</v>
      </c>
      <c r="W244">
        <v>0</v>
      </c>
      <c r="X244">
        <v>0</v>
      </c>
      <c r="Y244">
        <v>0</v>
      </c>
      <c r="AC244">
        <v>0</v>
      </c>
      <c r="AE244">
        <v>0</v>
      </c>
      <c r="AF244">
        <v>2</v>
      </c>
      <c r="AG244">
        <v>0</v>
      </c>
      <c r="AH244">
        <v>0</v>
      </c>
      <c r="AI244">
        <v>0</v>
      </c>
      <c r="AM244">
        <v>0</v>
      </c>
      <c r="AR244" t="s">
        <v>2049</v>
      </c>
      <c r="AS244" t="s">
        <v>1680</v>
      </c>
      <c r="AT244">
        <v>2024</v>
      </c>
      <c r="AU244">
        <v>9</v>
      </c>
      <c r="AV244" t="s">
        <v>78</v>
      </c>
      <c r="AX244" t="s">
        <v>2091</v>
      </c>
    </row>
    <row r="245" spans="1:50">
      <c r="A245">
        <v>43</v>
      </c>
      <c r="B245">
        <v>33</v>
      </c>
      <c r="C245" t="s">
        <v>74</v>
      </c>
      <c r="D245" t="s">
        <v>1564</v>
      </c>
      <c r="E245" t="s">
        <v>1565</v>
      </c>
      <c r="F245">
        <v>3313</v>
      </c>
      <c r="G245" s="23" t="s">
        <v>806</v>
      </c>
      <c r="H245" s="2" t="s">
        <v>2016</v>
      </c>
      <c r="I245" s="2" t="s">
        <v>2017</v>
      </c>
      <c r="K245" s="149">
        <v>0</v>
      </c>
      <c r="L245" s="149">
        <v>9410</v>
      </c>
      <c r="M245" s="149">
        <v>1788</v>
      </c>
      <c r="N245" s="149">
        <v>11198</v>
      </c>
      <c r="O245">
        <v>0</v>
      </c>
      <c r="P245">
        <v>0</v>
      </c>
      <c r="Q245">
        <v>0</v>
      </c>
      <c r="R245">
        <v>0</v>
      </c>
      <c r="S245">
        <v>0</v>
      </c>
      <c r="T245" t="s">
        <v>77</v>
      </c>
      <c r="U245">
        <v>0</v>
      </c>
      <c r="V245">
        <v>0</v>
      </c>
      <c r="W245">
        <v>0</v>
      </c>
      <c r="X245">
        <v>0</v>
      </c>
      <c r="Y245">
        <v>0</v>
      </c>
      <c r="AC245">
        <v>0</v>
      </c>
      <c r="AE245">
        <v>0</v>
      </c>
      <c r="AF245">
        <v>2</v>
      </c>
      <c r="AG245">
        <v>0</v>
      </c>
      <c r="AH245">
        <v>0</v>
      </c>
      <c r="AI245">
        <v>0</v>
      </c>
      <c r="AM245">
        <v>0</v>
      </c>
      <c r="AR245" t="s">
        <v>2049</v>
      </c>
      <c r="AS245" t="s">
        <v>1680</v>
      </c>
      <c r="AT245">
        <v>2024</v>
      </c>
      <c r="AU245">
        <v>9</v>
      </c>
      <c r="AV245" t="s">
        <v>78</v>
      </c>
      <c r="AX245" t="s">
        <v>2092</v>
      </c>
    </row>
    <row r="246" spans="1:50">
      <c r="A246">
        <v>44</v>
      </c>
      <c r="B246">
        <v>33</v>
      </c>
      <c r="C246" t="s">
        <v>74</v>
      </c>
      <c r="D246" t="s">
        <v>1581</v>
      </c>
      <c r="E246" t="s">
        <v>1582</v>
      </c>
      <c r="F246">
        <v>3314</v>
      </c>
      <c r="G246" s="23" t="s">
        <v>806</v>
      </c>
      <c r="H246" s="2" t="s">
        <v>2018</v>
      </c>
      <c r="I246" t="s">
        <v>2019</v>
      </c>
      <c r="K246" s="149">
        <v>0</v>
      </c>
      <c r="L246" s="149">
        <v>926210</v>
      </c>
      <c r="M246" s="149">
        <v>175980</v>
      </c>
      <c r="N246" s="149">
        <v>1102190</v>
      </c>
      <c r="O246">
        <v>0</v>
      </c>
      <c r="P246">
        <v>0</v>
      </c>
      <c r="Q246">
        <v>0</v>
      </c>
      <c r="R246">
        <v>0</v>
      </c>
      <c r="S246">
        <v>0</v>
      </c>
      <c r="T246" t="s">
        <v>77</v>
      </c>
      <c r="U246">
        <v>0</v>
      </c>
      <c r="V246">
        <v>0</v>
      </c>
      <c r="W246">
        <v>0</v>
      </c>
      <c r="X246">
        <v>0</v>
      </c>
      <c r="Y246">
        <v>0</v>
      </c>
      <c r="AC246">
        <v>0</v>
      </c>
      <c r="AE246">
        <v>0</v>
      </c>
      <c r="AF246">
        <v>2</v>
      </c>
      <c r="AG246">
        <v>0</v>
      </c>
      <c r="AH246">
        <v>0</v>
      </c>
      <c r="AI246">
        <v>0</v>
      </c>
      <c r="AM246">
        <v>0</v>
      </c>
      <c r="AR246" t="s">
        <v>2049</v>
      </c>
      <c r="AS246" t="s">
        <v>1680</v>
      </c>
      <c r="AT246">
        <v>2024</v>
      </c>
      <c r="AU246">
        <v>9</v>
      </c>
      <c r="AV246" t="s">
        <v>78</v>
      </c>
      <c r="AX246" t="s">
        <v>2093</v>
      </c>
    </row>
    <row r="247" spans="1:50">
      <c r="A247">
        <v>45</v>
      </c>
      <c r="B247">
        <v>33</v>
      </c>
      <c r="C247" t="s">
        <v>74</v>
      </c>
      <c r="D247" t="s">
        <v>1581</v>
      </c>
      <c r="E247" t="s">
        <v>1582</v>
      </c>
      <c r="F247">
        <v>3315</v>
      </c>
      <c r="G247" s="23" t="s">
        <v>806</v>
      </c>
      <c r="H247" s="2" t="s">
        <v>2020</v>
      </c>
      <c r="K247" s="149">
        <v>0</v>
      </c>
      <c r="L247" s="149">
        <v>50941</v>
      </c>
      <c r="M247" s="149">
        <v>9679</v>
      </c>
      <c r="N247" s="149">
        <v>60620</v>
      </c>
      <c r="O247">
        <v>0</v>
      </c>
      <c r="P247">
        <v>0</v>
      </c>
      <c r="Q247">
        <v>0</v>
      </c>
      <c r="R247">
        <v>0</v>
      </c>
      <c r="S247">
        <v>0</v>
      </c>
      <c r="T247" t="s">
        <v>77</v>
      </c>
      <c r="U247">
        <v>0</v>
      </c>
      <c r="V247">
        <v>0</v>
      </c>
      <c r="W247">
        <v>0</v>
      </c>
      <c r="X247">
        <v>0</v>
      </c>
      <c r="Y247">
        <v>0</v>
      </c>
      <c r="AC247">
        <v>0</v>
      </c>
      <c r="AE247">
        <v>0</v>
      </c>
      <c r="AF247">
        <v>2</v>
      </c>
      <c r="AG247">
        <v>0</v>
      </c>
      <c r="AH247">
        <v>0</v>
      </c>
      <c r="AI247">
        <v>0</v>
      </c>
      <c r="AM247">
        <v>0</v>
      </c>
      <c r="AR247" t="s">
        <v>2049</v>
      </c>
      <c r="AS247" t="s">
        <v>1680</v>
      </c>
      <c r="AT247">
        <v>2024</v>
      </c>
      <c r="AU247">
        <v>9</v>
      </c>
      <c r="AV247" t="s">
        <v>78</v>
      </c>
      <c r="AX247" t="s">
        <v>2094</v>
      </c>
    </row>
    <row r="248" spans="1:50">
      <c r="A248">
        <v>46</v>
      </c>
      <c r="B248">
        <v>33</v>
      </c>
      <c r="C248" t="s">
        <v>74</v>
      </c>
      <c r="D248" t="s">
        <v>1583</v>
      </c>
      <c r="E248" t="s">
        <v>1584</v>
      </c>
      <c r="F248">
        <v>3316</v>
      </c>
      <c r="G248" s="23" t="s">
        <v>806</v>
      </c>
      <c r="H248" s="2" t="s">
        <v>2021</v>
      </c>
      <c r="K248" s="149">
        <v>0</v>
      </c>
      <c r="L248" s="149">
        <v>261000</v>
      </c>
      <c r="M248" s="149">
        <v>49590</v>
      </c>
      <c r="N248" s="149">
        <v>310590</v>
      </c>
      <c r="O248">
        <v>0</v>
      </c>
      <c r="P248">
        <v>0</v>
      </c>
      <c r="Q248">
        <v>0</v>
      </c>
      <c r="R248">
        <v>0</v>
      </c>
      <c r="S248">
        <v>0</v>
      </c>
      <c r="T248" t="s">
        <v>77</v>
      </c>
      <c r="U248">
        <v>0</v>
      </c>
      <c r="V248">
        <v>0</v>
      </c>
      <c r="W248">
        <v>0</v>
      </c>
      <c r="X248">
        <v>0</v>
      </c>
      <c r="Y248">
        <v>0</v>
      </c>
      <c r="AC248">
        <v>0</v>
      </c>
      <c r="AE248">
        <v>0</v>
      </c>
      <c r="AF248">
        <v>2</v>
      </c>
      <c r="AG248">
        <v>0</v>
      </c>
      <c r="AH248">
        <v>0</v>
      </c>
      <c r="AI248">
        <v>0</v>
      </c>
      <c r="AM248">
        <v>0</v>
      </c>
      <c r="AR248" t="s">
        <v>2049</v>
      </c>
      <c r="AS248" t="s">
        <v>1680</v>
      </c>
      <c r="AT248">
        <v>2024</v>
      </c>
      <c r="AU248">
        <v>9</v>
      </c>
      <c r="AV248" t="s">
        <v>78</v>
      </c>
      <c r="AX248" t="s">
        <v>2095</v>
      </c>
    </row>
    <row r="249" spans="1:50">
      <c r="A249">
        <v>47</v>
      </c>
      <c r="B249">
        <v>33</v>
      </c>
      <c r="C249" t="s">
        <v>74</v>
      </c>
      <c r="D249" t="s">
        <v>1567</v>
      </c>
      <c r="E249" t="s">
        <v>1568</v>
      </c>
      <c r="F249">
        <v>3317</v>
      </c>
      <c r="G249" s="23" t="s">
        <v>806</v>
      </c>
      <c r="H249" s="2" t="s">
        <v>2022</v>
      </c>
      <c r="I249" t="s">
        <v>2023</v>
      </c>
      <c r="K249" s="149">
        <v>0</v>
      </c>
      <c r="L249" s="149">
        <v>1376490</v>
      </c>
      <c r="M249" s="149">
        <v>261533</v>
      </c>
      <c r="N249" s="149">
        <v>1638023</v>
      </c>
      <c r="O249">
        <v>0</v>
      </c>
      <c r="P249">
        <v>0</v>
      </c>
      <c r="Q249">
        <v>0</v>
      </c>
      <c r="R249">
        <v>0</v>
      </c>
      <c r="S249">
        <v>0</v>
      </c>
      <c r="T249" t="s">
        <v>77</v>
      </c>
      <c r="U249">
        <v>0</v>
      </c>
      <c r="V249">
        <v>0</v>
      </c>
      <c r="W249">
        <v>0</v>
      </c>
      <c r="X249">
        <v>0</v>
      </c>
      <c r="Y249">
        <v>0</v>
      </c>
      <c r="AC249">
        <v>0</v>
      </c>
      <c r="AE249">
        <v>0</v>
      </c>
      <c r="AF249">
        <v>2</v>
      </c>
      <c r="AG249">
        <v>0</v>
      </c>
      <c r="AH249">
        <v>0</v>
      </c>
      <c r="AI249">
        <v>0</v>
      </c>
      <c r="AM249">
        <v>0</v>
      </c>
      <c r="AR249" t="s">
        <v>2049</v>
      </c>
      <c r="AS249" t="s">
        <v>1680</v>
      </c>
      <c r="AT249">
        <v>2024</v>
      </c>
      <c r="AU249">
        <v>9</v>
      </c>
      <c r="AV249" t="s">
        <v>78</v>
      </c>
      <c r="AX249" t="s">
        <v>2096</v>
      </c>
    </row>
    <row r="250" spans="1:50">
      <c r="A250">
        <v>48</v>
      </c>
      <c r="B250">
        <v>33</v>
      </c>
      <c r="C250" t="s">
        <v>74</v>
      </c>
      <c r="D250" t="s">
        <v>1597</v>
      </c>
      <c r="E250" t="s">
        <v>1598</v>
      </c>
      <c r="F250">
        <v>3318</v>
      </c>
      <c r="G250" s="23" t="s">
        <v>806</v>
      </c>
      <c r="H250" s="2" t="s">
        <v>2024</v>
      </c>
      <c r="I250" t="s">
        <v>2025</v>
      </c>
      <c r="K250" s="149">
        <v>0</v>
      </c>
      <c r="L250" s="149">
        <v>109920</v>
      </c>
      <c r="M250" s="149">
        <v>20886</v>
      </c>
      <c r="N250" s="149">
        <v>130806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77</v>
      </c>
      <c r="U250">
        <v>0</v>
      </c>
      <c r="V250">
        <v>0</v>
      </c>
      <c r="W250">
        <v>0</v>
      </c>
      <c r="X250">
        <v>0</v>
      </c>
      <c r="Y250">
        <v>0</v>
      </c>
      <c r="AC250">
        <v>0</v>
      </c>
      <c r="AE250">
        <v>0</v>
      </c>
      <c r="AF250">
        <v>2</v>
      </c>
      <c r="AG250">
        <v>0</v>
      </c>
      <c r="AH250">
        <v>0</v>
      </c>
      <c r="AI250">
        <v>0</v>
      </c>
      <c r="AM250">
        <v>0</v>
      </c>
      <c r="AR250" t="s">
        <v>2049</v>
      </c>
      <c r="AS250" t="s">
        <v>1680</v>
      </c>
      <c r="AT250">
        <v>2024</v>
      </c>
      <c r="AU250">
        <v>9</v>
      </c>
      <c r="AV250" t="s">
        <v>78</v>
      </c>
      <c r="AX250" t="s">
        <v>2097</v>
      </c>
    </row>
    <row r="251" spans="1:50">
      <c r="A251">
        <v>49</v>
      </c>
      <c r="B251">
        <v>33</v>
      </c>
      <c r="C251" t="s">
        <v>74</v>
      </c>
      <c r="D251" t="s">
        <v>1353</v>
      </c>
      <c r="E251" t="s">
        <v>1354</v>
      </c>
      <c r="F251">
        <v>3319</v>
      </c>
      <c r="G251" s="23" t="s">
        <v>807</v>
      </c>
      <c r="H251" s="2" t="s">
        <v>2026</v>
      </c>
      <c r="I251" s="2" t="s">
        <v>2027</v>
      </c>
      <c r="K251" s="149">
        <v>0</v>
      </c>
      <c r="L251" s="149">
        <v>982528</v>
      </c>
      <c r="M251" s="149">
        <v>186680</v>
      </c>
      <c r="N251" s="149">
        <v>1169208</v>
      </c>
      <c r="O251">
        <v>0</v>
      </c>
      <c r="P251">
        <v>0</v>
      </c>
      <c r="Q251">
        <v>0</v>
      </c>
      <c r="R251">
        <v>0</v>
      </c>
      <c r="S251">
        <v>0</v>
      </c>
      <c r="T251" t="s">
        <v>77</v>
      </c>
      <c r="U251">
        <v>0</v>
      </c>
      <c r="V251">
        <v>0</v>
      </c>
      <c r="W251">
        <v>0</v>
      </c>
      <c r="X251">
        <v>0</v>
      </c>
      <c r="Y251">
        <v>0</v>
      </c>
      <c r="AC251">
        <v>0</v>
      </c>
      <c r="AE251">
        <v>0</v>
      </c>
      <c r="AF251">
        <v>2</v>
      </c>
      <c r="AG251">
        <v>0</v>
      </c>
      <c r="AH251">
        <v>0</v>
      </c>
      <c r="AI251">
        <v>0</v>
      </c>
      <c r="AM251">
        <v>0</v>
      </c>
      <c r="AR251" t="s">
        <v>2049</v>
      </c>
      <c r="AS251" t="s">
        <v>1680</v>
      </c>
      <c r="AT251">
        <v>2024</v>
      </c>
      <c r="AU251">
        <v>9</v>
      </c>
      <c r="AV251" t="s">
        <v>78</v>
      </c>
      <c r="AX251" t="s">
        <v>2098</v>
      </c>
    </row>
    <row r="252" spans="1:50">
      <c r="A252">
        <v>50</v>
      </c>
      <c r="B252">
        <v>33</v>
      </c>
      <c r="C252" t="s">
        <v>74</v>
      </c>
      <c r="D252" t="s">
        <v>1222</v>
      </c>
      <c r="E252" t="s">
        <v>1223</v>
      </c>
      <c r="F252">
        <v>3320</v>
      </c>
      <c r="G252" s="23" t="s">
        <v>806</v>
      </c>
      <c r="H252" s="2" t="s">
        <v>2028</v>
      </c>
      <c r="I252" s="2">
        <v>45332.464756944442</v>
      </c>
      <c r="K252" s="149">
        <v>0</v>
      </c>
      <c r="L252" s="149">
        <v>9969220</v>
      </c>
      <c r="M252" s="149">
        <v>1894152</v>
      </c>
      <c r="N252" s="149">
        <v>11863372</v>
      </c>
      <c r="O252">
        <v>0</v>
      </c>
      <c r="P252">
        <v>0</v>
      </c>
      <c r="Q252">
        <v>0</v>
      </c>
      <c r="R252">
        <v>0</v>
      </c>
      <c r="S252">
        <v>0</v>
      </c>
      <c r="T252" t="s">
        <v>77</v>
      </c>
      <c r="U252">
        <v>0</v>
      </c>
      <c r="V252">
        <v>0</v>
      </c>
      <c r="W252">
        <v>0</v>
      </c>
      <c r="X252">
        <v>0</v>
      </c>
      <c r="AC252">
        <v>0</v>
      </c>
      <c r="AE252">
        <v>0</v>
      </c>
      <c r="AF252">
        <v>2</v>
      </c>
      <c r="AG252">
        <v>0</v>
      </c>
      <c r="AH252">
        <v>0</v>
      </c>
      <c r="AI252">
        <v>0</v>
      </c>
      <c r="AM252">
        <v>0</v>
      </c>
      <c r="AR252" t="s">
        <v>2049</v>
      </c>
      <c r="AS252" t="s">
        <v>1680</v>
      </c>
      <c r="AT252">
        <v>2024</v>
      </c>
      <c r="AU252">
        <v>9</v>
      </c>
      <c r="AV252" t="s">
        <v>78</v>
      </c>
      <c r="AX252" t="s">
        <v>2099</v>
      </c>
    </row>
    <row r="253" spans="1:50">
      <c r="A253">
        <v>51</v>
      </c>
      <c r="B253">
        <v>33</v>
      </c>
      <c r="C253" t="s">
        <v>74</v>
      </c>
      <c r="D253" t="s">
        <v>1561</v>
      </c>
      <c r="E253" t="s">
        <v>1562</v>
      </c>
      <c r="F253">
        <v>3321</v>
      </c>
      <c r="G253" s="23" t="s">
        <v>807</v>
      </c>
      <c r="H253" s="2" t="s">
        <v>2029</v>
      </c>
      <c r="K253" s="149">
        <v>0</v>
      </c>
      <c r="L253" s="149">
        <v>10852200</v>
      </c>
      <c r="M253" s="149">
        <v>2061918</v>
      </c>
      <c r="N253" s="149">
        <v>12914118</v>
      </c>
      <c r="O253">
        <v>0</v>
      </c>
      <c r="P253">
        <v>0</v>
      </c>
      <c r="Q253">
        <v>0</v>
      </c>
      <c r="R253">
        <v>0</v>
      </c>
      <c r="S253">
        <v>0</v>
      </c>
      <c r="T253" t="s">
        <v>77</v>
      </c>
      <c r="U253">
        <v>0</v>
      </c>
      <c r="V253">
        <v>0</v>
      </c>
      <c r="W253">
        <v>0</v>
      </c>
      <c r="X253">
        <v>0</v>
      </c>
      <c r="Y253">
        <v>0</v>
      </c>
      <c r="AC253">
        <v>0</v>
      </c>
      <c r="AE253">
        <v>0</v>
      </c>
      <c r="AF253">
        <v>2</v>
      </c>
      <c r="AG253">
        <v>0</v>
      </c>
      <c r="AH253">
        <v>0</v>
      </c>
      <c r="AI253">
        <v>0</v>
      </c>
      <c r="AM253">
        <v>0</v>
      </c>
      <c r="AR253" t="s">
        <v>2049</v>
      </c>
      <c r="AS253" t="s">
        <v>1680</v>
      </c>
      <c r="AT253">
        <v>2024</v>
      </c>
      <c r="AU253">
        <v>9</v>
      </c>
      <c r="AV253" t="s">
        <v>78</v>
      </c>
      <c r="AX253" t="s">
        <v>2100</v>
      </c>
    </row>
    <row r="254" spans="1:50">
      <c r="A254">
        <v>52</v>
      </c>
      <c r="B254">
        <v>33</v>
      </c>
      <c r="C254" t="s">
        <v>74</v>
      </c>
      <c r="D254" t="s">
        <v>1612</v>
      </c>
      <c r="E254" t="s">
        <v>1613</v>
      </c>
      <c r="F254">
        <v>3322</v>
      </c>
      <c r="G254" s="23" t="s">
        <v>807</v>
      </c>
      <c r="H254" s="2" t="s">
        <v>2030</v>
      </c>
      <c r="K254" s="149">
        <v>0</v>
      </c>
      <c r="L254" s="149">
        <v>259585</v>
      </c>
      <c r="M254" s="149">
        <v>49322</v>
      </c>
      <c r="N254" s="149">
        <v>308907</v>
      </c>
      <c r="O254">
        <v>0</v>
      </c>
      <c r="P254">
        <v>0</v>
      </c>
      <c r="Q254">
        <v>0</v>
      </c>
      <c r="R254">
        <v>0</v>
      </c>
      <c r="S254">
        <v>0</v>
      </c>
      <c r="T254" t="s">
        <v>77</v>
      </c>
      <c r="U254">
        <v>0</v>
      </c>
      <c r="V254">
        <v>0</v>
      </c>
      <c r="W254">
        <v>0</v>
      </c>
      <c r="X254">
        <v>0</v>
      </c>
      <c r="Y254">
        <v>0</v>
      </c>
      <c r="AC254">
        <v>0</v>
      </c>
      <c r="AE254">
        <v>0</v>
      </c>
      <c r="AF254">
        <v>2</v>
      </c>
      <c r="AG254">
        <v>0</v>
      </c>
      <c r="AH254">
        <v>0</v>
      </c>
      <c r="AI254">
        <v>0</v>
      </c>
      <c r="AM254">
        <v>0</v>
      </c>
      <c r="AR254" t="s">
        <v>2049</v>
      </c>
      <c r="AS254" t="s">
        <v>1680</v>
      </c>
      <c r="AT254">
        <v>2024</v>
      </c>
      <c r="AU254">
        <v>9</v>
      </c>
      <c r="AV254" t="s">
        <v>78</v>
      </c>
      <c r="AX254" t="s">
        <v>2101</v>
      </c>
    </row>
    <row r="255" spans="1:50">
      <c r="A255">
        <v>53</v>
      </c>
      <c r="B255">
        <v>33</v>
      </c>
      <c r="C255" t="s">
        <v>74</v>
      </c>
      <c r="D255" t="s">
        <v>1222</v>
      </c>
      <c r="E255" t="s">
        <v>1223</v>
      </c>
      <c r="F255">
        <v>3323</v>
      </c>
      <c r="G255" s="23" t="s">
        <v>807</v>
      </c>
      <c r="H255" s="2" t="s">
        <v>2031</v>
      </c>
      <c r="I255" s="2">
        <v>45332.377662037034</v>
      </c>
      <c r="K255" s="149">
        <v>0</v>
      </c>
      <c r="L255" s="149">
        <v>11884000</v>
      </c>
      <c r="M255" s="149">
        <v>2257960</v>
      </c>
      <c r="N255" s="149">
        <v>14141960</v>
      </c>
      <c r="O255">
        <v>0</v>
      </c>
      <c r="P255">
        <v>0</v>
      </c>
      <c r="Q255">
        <v>0</v>
      </c>
      <c r="R255">
        <v>0</v>
      </c>
      <c r="S255">
        <v>0</v>
      </c>
      <c r="T255" t="s">
        <v>77</v>
      </c>
      <c r="U255">
        <v>0</v>
      </c>
      <c r="V255">
        <v>0</v>
      </c>
      <c r="W255">
        <v>0</v>
      </c>
      <c r="X255">
        <v>0</v>
      </c>
      <c r="AC255">
        <v>0</v>
      </c>
      <c r="AE255">
        <v>0</v>
      </c>
      <c r="AF255">
        <v>2</v>
      </c>
      <c r="AG255">
        <v>0</v>
      </c>
      <c r="AH255">
        <v>0</v>
      </c>
      <c r="AI255">
        <v>0</v>
      </c>
      <c r="AM255">
        <v>0</v>
      </c>
      <c r="AR255" t="s">
        <v>2049</v>
      </c>
      <c r="AS255" t="s">
        <v>1680</v>
      </c>
      <c r="AT255">
        <v>2024</v>
      </c>
      <c r="AU255">
        <v>9</v>
      </c>
      <c r="AV255" t="s">
        <v>78</v>
      </c>
      <c r="AX255" t="s">
        <v>2102</v>
      </c>
    </row>
    <row r="256" spans="1:50">
      <c r="A256">
        <v>54</v>
      </c>
      <c r="B256">
        <v>33</v>
      </c>
      <c r="C256" t="s">
        <v>74</v>
      </c>
      <c r="D256" t="s">
        <v>1222</v>
      </c>
      <c r="E256" t="s">
        <v>1223</v>
      </c>
      <c r="F256">
        <v>3324</v>
      </c>
      <c r="G256" s="23" t="s">
        <v>807</v>
      </c>
      <c r="H256" s="2" t="s">
        <v>2032</v>
      </c>
      <c r="I256" s="2">
        <v>45332.377662037034</v>
      </c>
      <c r="K256" s="149">
        <v>0</v>
      </c>
      <c r="L256" s="149">
        <v>4810750</v>
      </c>
      <c r="M256" s="149">
        <v>914043</v>
      </c>
      <c r="N256" s="149">
        <v>5724793</v>
      </c>
      <c r="O256">
        <v>0</v>
      </c>
      <c r="P256">
        <v>0</v>
      </c>
      <c r="Q256">
        <v>0</v>
      </c>
      <c r="R256">
        <v>0</v>
      </c>
      <c r="S256">
        <v>0</v>
      </c>
      <c r="T256" t="s">
        <v>77</v>
      </c>
      <c r="U256">
        <v>0</v>
      </c>
      <c r="V256">
        <v>0</v>
      </c>
      <c r="W256">
        <v>0</v>
      </c>
      <c r="X256">
        <v>0</v>
      </c>
      <c r="AC256">
        <v>0</v>
      </c>
      <c r="AE256">
        <v>0</v>
      </c>
      <c r="AF256">
        <v>2</v>
      </c>
      <c r="AG256">
        <v>0</v>
      </c>
      <c r="AH256">
        <v>0</v>
      </c>
      <c r="AI256">
        <v>0</v>
      </c>
      <c r="AM256">
        <v>0</v>
      </c>
      <c r="AR256" t="s">
        <v>2049</v>
      </c>
      <c r="AS256" t="s">
        <v>1680</v>
      </c>
      <c r="AT256">
        <v>2024</v>
      </c>
      <c r="AU256">
        <v>9</v>
      </c>
      <c r="AV256" t="s">
        <v>78</v>
      </c>
      <c r="AX256" t="s">
        <v>2103</v>
      </c>
    </row>
    <row r="257" spans="1:50">
      <c r="A257">
        <v>55</v>
      </c>
      <c r="B257">
        <v>33</v>
      </c>
      <c r="C257" t="s">
        <v>74</v>
      </c>
      <c r="D257" t="s">
        <v>1569</v>
      </c>
      <c r="E257" t="s">
        <v>1570</v>
      </c>
      <c r="F257">
        <v>3325</v>
      </c>
      <c r="G257" s="23" t="s">
        <v>807</v>
      </c>
      <c r="H257" s="2" t="s">
        <v>2033</v>
      </c>
      <c r="I257" t="s">
        <v>2034</v>
      </c>
      <c r="K257" s="149">
        <v>0</v>
      </c>
      <c r="L257" s="149">
        <v>151680</v>
      </c>
      <c r="M257" s="149">
        <v>28819</v>
      </c>
      <c r="N257" s="149">
        <v>180499</v>
      </c>
      <c r="O257">
        <v>0</v>
      </c>
      <c r="P257">
        <v>0</v>
      </c>
      <c r="Q257">
        <v>0</v>
      </c>
      <c r="R257">
        <v>0</v>
      </c>
      <c r="S257">
        <v>0</v>
      </c>
      <c r="T257" t="s">
        <v>77</v>
      </c>
      <c r="U257">
        <v>0</v>
      </c>
      <c r="V257">
        <v>0</v>
      </c>
      <c r="W257">
        <v>0</v>
      </c>
      <c r="X257">
        <v>0</v>
      </c>
      <c r="Y257">
        <v>0</v>
      </c>
      <c r="AC257">
        <v>0</v>
      </c>
      <c r="AE257">
        <v>0</v>
      </c>
      <c r="AF257">
        <v>2</v>
      </c>
      <c r="AG257">
        <v>0</v>
      </c>
      <c r="AH257">
        <v>0</v>
      </c>
      <c r="AI257">
        <v>0</v>
      </c>
      <c r="AM257">
        <v>0</v>
      </c>
      <c r="AR257" t="s">
        <v>2049</v>
      </c>
      <c r="AS257" t="s">
        <v>1680</v>
      </c>
      <c r="AT257">
        <v>2024</v>
      </c>
      <c r="AU257">
        <v>9</v>
      </c>
      <c r="AV257" t="s">
        <v>78</v>
      </c>
      <c r="AX257" t="s">
        <v>2104</v>
      </c>
    </row>
    <row r="258" spans="1:50">
      <c r="A258">
        <v>56</v>
      </c>
      <c r="B258">
        <v>33</v>
      </c>
      <c r="C258" t="s">
        <v>74</v>
      </c>
      <c r="D258" t="s">
        <v>1600</v>
      </c>
      <c r="E258" t="s">
        <v>1601</v>
      </c>
      <c r="F258">
        <v>3326</v>
      </c>
      <c r="G258" s="23" t="s">
        <v>807</v>
      </c>
      <c r="H258" s="2" t="s">
        <v>2035</v>
      </c>
      <c r="K258" s="149">
        <v>0</v>
      </c>
      <c r="L258" s="149">
        <v>29560</v>
      </c>
      <c r="M258" s="149">
        <v>5617</v>
      </c>
      <c r="N258" s="149">
        <v>35177</v>
      </c>
      <c r="O258">
        <v>0</v>
      </c>
      <c r="P258">
        <v>0</v>
      </c>
      <c r="Q258">
        <v>0</v>
      </c>
      <c r="R258">
        <v>0</v>
      </c>
      <c r="S258">
        <v>0</v>
      </c>
      <c r="T258" t="s">
        <v>77</v>
      </c>
      <c r="U258">
        <v>0</v>
      </c>
      <c r="V258">
        <v>0</v>
      </c>
      <c r="W258">
        <v>0</v>
      </c>
      <c r="X258">
        <v>0</v>
      </c>
      <c r="Y258">
        <v>0</v>
      </c>
      <c r="AC258">
        <v>0</v>
      </c>
      <c r="AE258">
        <v>0</v>
      </c>
      <c r="AF258">
        <v>2</v>
      </c>
      <c r="AG258">
        <v>0</v>
      </c>
      <c r="AH258">
        <v>0</v>
      </c>
      <c r="AI258">
        <v>0</v>
      </c>
      <c r="AM258">
        <v>0</v>
      </c>
      <c r="AR258" t="s">
        <v>2049</v>
      </c>
      <c r="AS258" t="s">
        <v>1680</v>
      </c>
      <c r="AT258">
        <v>2024</v>
      </c>
      <c r="AU258">
        <v>9</v>
      </c>
      <c r="AV258" t="s">
        <v>78</v>
      </c>
      <c r="AX258" t="s">
        <v>2105</v>
      </c>
    </row>
    <row r="259" spans="1:50">
      <c r="A259">
        <v>57</v>
      </c>
      <c r="B259">
        <v>33</v>
      </c>
      <c r="C259" t="s">
        <v>74</v>
      </c>
      <c r="D259" t="s">
        <v>1571</v>
      </c>
      <c r="E259" t="s">
        <v>1572</v>
      </c>
      <c r="F259">
        <v>3327</v>
      </c>
      <c r="G259" s="23" t="s">
        <v>3799</v>
      </c>
      <c r="H259" s="2" t="s">
        <v>2036</v>
      </c>
      <c r="J259" t="s">
        <v>2037</v>
      </c>
      <c r="K259" s="149">
        <v>0</v>
      </c>
      <c r="L259" s="149">
        <v>15544351</v>
      </c>
      <c r="M259" s="149">
        <v>2953427</v>
      </c>
      <c r="N259" s="149">
        <v>18497778</v>
      </c>
      <c r="O259">
        <v>0</v>
      </c>
      <c r="P259">
        <v>0</v>
      </c>
      <c r="Q259">
        <v>0</v>
      </c>
      <c r="R259">
        <v>0</v>
      </c>
      <c r="S259">
        <v>0</v>
      </c>
      <c r="T259" t="s">
        <v>77</v>
      </c>
      <c r="U259">
        <v>0</v>
      </c>
      <c r="V259">
        <v>0</v>
      </c>
      <c r="W259">
        <v>0</v>
      </c>
      <c r="X259">
        <v>0</v>
      </c>
      <c r="AC259">
        <v>0</v>
      </c>
      <c r="AE259">
        <v>0</v>
      </c>
      <c r="AF259">
        <v>2</v>
      </c>
      <c r="AG259">
        <v>0</v>
      </c>
      <c r="AH259">
        <v>0</v>
      </c>
      <c r="AI259">
        <v>0</v>
      </c>
      <c r="AM259">
        <v>0</v>
      </c>
      <c r="AR259" t="s">
        <v>2049</v>
      </c>
      <c r="AS259" t="s">
        <v>1680</v>
      </c>
      <c r="AT259">
        <v>2024</v>
      </c>
      <c r="AU259">
        <v>9</v>
      </c>
      <c r="AV259" t="s">
        <v>78</v>
      </c>
      <c r="AX259" t="s">
        <v>2106</v>
      </c>
    </row>
    <row r="260" spans="1:50">
      <c r="A260">
        <v>58</v>
      </c>
      <c r="B260">
        <v>33</v>
      </c>
      <c r="C260" t="s">
        <v>74</v>
      </c>
      <c r="D260" t="s">
        <v>1573</v>
      </c>
      <c r="E260" t="s">
        <v>1574</v>
      </c>
      <c r="F260">
        <v>3328</v>
      </c>
      <c r="G260" s="23" t="s">
        <v>807</v>
      </c>
      <c r="H260" s="2" t="s">
        <v>2038</v>
      </c>
      <c r="I260" t="s">
        <v>2039</v>
      </c>
      <c r="K260" s="149">
        <v>0</v>
      </c>
      <c r="L260" s="149">
        <v>309208</v>
      </c>
      <c r="M260" s="149">
        <v>58750</v>
      </c>
      <c r="N260" s="149">
        <v>367958</v>
      </c>
      <c r="O260">
        <v>0</v>
      </c>
      <c r="P260">
        <v>0</v>
      </c>
      <c r="Q260">
        <v>0</v>
      </c>
      <c r="R260">
        <v>0</v>
      </c>
      <c r="S260">
        <v>0</v>
      </c>
      <c r="T260" t="s">
        <v>77</v>
      </c>
      <c r="U260">
        <v>0</v>
      </c>
      <c r="V260">
        <v>0</v>
      </c>
      <c r="W260">
        <v>0</v>
      </c>
      <c r="X260">
        <v>0</v>
      </c>
      <c r="Y260">
        <v>0</v>
      </c>
      <c r="AC260">
        <v>0</v>
      </c>
      <c r="AE260">
        <v>0</v>
      </c>
      <c r="AF260">
        <v>2</v>
      </c>
      <c r="AG260">
        <v>0</v>
      </c>
      <c r="AH260">
        <v>0</v>
      </c>
      <c r="AI260">
        <v>0</v>
      </c>
      <c r="AM260">
        <v>0</v>
      </c>
      <c r="AR260" t="s">
        <v>2049</v>
      </c>
      <c r="AS260" t="s">
        <v>1680</v>
      </c>
      <c r="AT260">
        <v>2024</v>
      </c>
      <c r="AU260">
        <v>9</v>
      </c>
      <c r="AV260" t="s">
        <v>78</v>
      </c>
      <c r="AX260" t="s">
        <v>2107</v>
      </c>
    </row>
    <row r="261" spans="1:50">
      <c r="A261">
        <v>59</v>
      </c>
      <c r="B261">
        <v>33</v>
      </c>
      <c r="C261" t="s">
        <v>74</v>
      </c>
      <c r="D261" t="s">
        <v>1222</v>
      </c>
      <c r="E261" t="s">
        <v>1223</v>
      </c>
      <c r="F261">
        <v>3329</v>
      </c>
      <c r="G261" s="23" t="s">
        <v>807</v>
      </c>
      <c r="H261" s="2" t="s">
        <v>2040</v>
      </c>
      <c r="I261" s="2">
        <v>45392.513275462959</v>
      </c>
      <c r="K261" s="149">
        <v>0</v>
      </c>
      <c r="L261" s="149">
        <v>14721000</v>
      </c>
      <c r="M261" s="149">
        <v>2796990</v>
      </c>
      <c r="N261" s="149">
        <v>17517990</v>
      </c>
      <c r="O261">
        <v>0</v>
      </c>
      <c r="P261">
        <v>0</v>
      </c>
      <c r="Q261">
        <v>0</v>
      </c>
      <c r="R261">
        <v>0</v>
      </c>
      <c r="S261">
        <v>0</v>
      </c>
      <c r="T261" t="s">
        <v>77</v>
      </c>
      <c r="U261">
        <v>0</v>
      </c>
      <c r="V261">
        <v>0</v>
      </c>
      <c r="W261">
        <v>0</v>
      </c>
      <c r="X261">
        <v>0</v>
      </c>
      <c r="AC261">
        <v>0</v>
      </c>
      <c r="AE261">
        <v>0</v>
      </c>
      <c r="AF261">
        <v>2</v>
      </c>
      <c r="AG261">
        <v>0</v>
      </c>
      <c r="AH261">
        <v>0</v>
      </c>
      <c r="AI261">
        <v>0</v>
      </c>
      <c r="AM261">
        <v>0</v>
      </c>
      <c r="AR261" t="s">
        <v>2049</v>
      </c>
      <c r="AS261" t="s">
        <v>1680</v>
      </c>
      <c r="AT261">
        <v>2024</v>
      </c>
      <c r="AU261">
        <v>9</v>
      </c>
      <c r="AV261" t="s">
        <v>78</v>
      </c>
      <c r="AX261" t="s">
        <v>2108</v>
      </c>
    </row>
    <row r="262" spans="1:50">
      <c r="A262">
        <v>60</v>
      </c>
      <c r="B262">
        <v>33</v>
      </c>
      <c r="C262" t="s">
        <v>74</v>
      </c>
      <c r="D262" t="s">
        <v>1571</v>
      </c>
      <c r="E262" t="s">
        <v>1572</v>
      </c>
      <c r="F262">
        <v>3330</v>
      </c>
      <c r="G262" s="23" t="s">
        <v>807</v>
      </c>
      <c r="H262" s="2" t="s">
        <v>2041</v>
      </c>
      <c r="I262" s="2">
        <v>45301.521365740744</v>
      </c>
      <c r="K262" s="149">
        <v>0</v>
      </c>
      <c r="L262" s="149">
        <v>13948351</v>
      </c>
      <c r="M262" s="149">
        <v>2650187</v>
      </c>
      <c r="N262" s="149">
        <v>16598538</v>
      </c>
      <c r="O262">
        <v>0</v>
      </c>
      <c r="P262">
        <v>0</v>
      </c>
      <c r="Q262">
        <v>0</v>
      </c>
      <c r="R262">
        <v>0</v>
      </c>
      <c r="S262">
        <v>0</v>
      </c>
      <c r="T262" t="s">
        <v>77</v>
      </c>
      <c r="U262">
        <v>0</v>
      </c>
      <c r="V262">
        <v>0</v>
      </c>
      <c r="W262">
        <v>0</v>
      </c>
      <c r="X262">
        <v>0</v>
      </c>
      <c r="AC262">
        <v>0</v>
      </c>
      <c r="AE262">
        <v>0</v>
      </c>
      <c r="AF262">
        <v>2</v>
      </c>
      <c r="AG262">
        <v>0</v>
      </c>
      <c r="AH262">
        <v>0</v>
      </c>
      <c r="AI262">
        <v>0</v>
      </c>
      <c r="AM262">
        <v>0</v>
      </c>
      <c r="AR262" t="s">
        <v>2049</v>
      </c>
      <c r="AS262" t="s">
        <v>1680</v>
      </c>
      <c r="AT262">
        <v>2024</v>
      </c>
      <c r="AU262">
        <v>9</v>
      </c>
      <c r="AV262" t="s">
        <v>78</v>
      </c>
      <c r="AX262" t="s">
        <v>2109</v>
      </c>
    </row>
    <row r="263" spans="1:50">
      <c r="A263">
        <v>61</v>
      </c>
      <c r="B263">
        <v>61</v>
      </c>
      <c r="C263" t="s">
        <v>74</v>
      </c>
      <c r="D263" t="s">
        <v>1594</v>
      </c>
      <c r="E263" t="s">
        <v>1595</v>
      </c>
      <c r="F263">
        <v>715</v>
      </c>
      <c r="G263" s="23">
        <v>45540</v>
      </c>
      <c r="H263" s="2">
        <v>45421.477546296293</v>
      </c>
      <c r="I263" s="2"/>
      <c r="K263" s="149">
        <v>0</v>
      </c>
      <c r="L263" s="149">
        <v>-223366</v>
      </c>
      <c r="M263" s="149">
        <v>-42439</v>
      </c>
      <c r="N263" s="149">
        <v>-265805</v>
      </c>
      <c r="O263">
        <v>0</v>
      </c>
      <c r="P263">
        <v>0</v>
      </c>
      <c r="Q263">
        <v>0</v>
      </c>
      <c r="R263">
        <v>0</v>
      </c>
      <c r="S263">
        <v>0</v>
      </c>
      <c r="T263" t="s">
        <v>77</v>
      </c>
      <c r="U263">
        <v>0</v>
      </c>
      <c r="V263">
        <v>0</v>
      </c>
      <c r="W263">
        <v>0</v>
      </c>
      <c r="X263">
        <v>0</v>
      </c>
      <c r="Y263">
        <v>33</v>
      </c>
      <c r="Z263">
        <v>3279</v>
      </c>
      <c r="AC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M263">
        <v>0</v>
      </c>
      <c r="AR263" t="s">
        <v>2049</v>
      </c>
      <c r="AS263" t="s">
        <v>1680</v>
      </c>
      <c r="AT263">
        <v>2024</v>
      </c>
      <c r="AU263">
        <v>9</v>
      </c>
      <c r="AV263" t="s">
        <v>318</v>
      </c>
      <c r="AX263" t="s">
        <v>2110</v>
      </c>
    </row>
    <row r="264" spans="1:50">
      <c r="A264">
        <v>62</v>
      </c>
      <c r="B264">
        <v>61</v>
      </c>
      <c r="C264" t="s">
        <v>74</v>
      </c>
      <c r="D264" t="s">
        <v>1571</v>
      </c>
      <c r="E264" t="s">
        <v>1572</v>
      </c>
      <c r="F264">
        <v>716</v>
      </c>
      <c r="G264" s="23">
        <v>45542</v>
      </c>
      <c r="H264" s="2">
        <v>45452.499189814815</v>
      </c>
      <c r="I264" s="2"/>
      <c r="J264" s="2">
        <v>45452.836863425924</v>
      </c>
      <c r="K264" s="149">
        <v>0</v>
      </c>
      <c r="L264" s="149">
        <v>-12744260</v>
      </c>
      <c r="M264" s="149">
        <v>-2421408</v>
      </c>
      <c r="N264" s="149">
        <v>-15165668</v>
      </c>
      <c r="O264">
        <v>0</v>
      </c>
      <c r="P264">
        <v>0</v>
      </c>
      <c r="Q264">
        <v>0</v>
      </c>
      <c r="R264">
        <v>0</v>
      </c>
      <c r="S264">
        <v>0</v>
      </c>
      <c r="T264" t="s">
        <v>77</v>
      </c>
      <c r="U264">
        <v>0</v>
      </c>
      <c r="V264">
        <v>0</v>
      </c>
      <c r="W264">
        <v>0</v>
      </c>
      <c r="X264">
        <v>0</v>
      </c>
      <c r="Y264">
        <v>33</v>
      </c>
      <c r="Z264">
        <v>3281</v>
      </c>
      <c r="AC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M264">
        <v>0</v>
      </c>
      <c r="AR264" t="s">
        <v>2049</v>
      </c>
      <c r="AS264" t="s">
        <v>1680</v>
      </c>
      <c r="AT264">
        <v>2024</v>
      </c>
      <c r="AU264">
        <v>9</v>
      </c>
      <c r="AV264" t="s">
        <v>318</v>
      </c>
      <c r="AX264" t="s">
        <v>2111</v>
      </c>
    </row>
    <row r="265" spans="1:50">
      <c r="A265">
        <v>63</v>
      </c>
      <c r="B265">
        <v>61</v>
      </c>
      <c r="C265" t="s">
        <v>74</v>
      </c>
      <c r="D265" t="s">
        <v>1222</v>
      </c>
      <c r="E265" t="s">
        <v>1223</v>
      </c>
      <c r="F265">
        <v>717</v>
      </c>
      <c r="G265" s="23">
        <v>45544</v>
      </c>
      <c r="H265" s="2">
        <v>45544.524768518517</v>
      </c>
      <c r="K265" s="149">
        <v>0</v>
      </c>
      <c r="L265" s="149">
        <v>-8604195</v>
      </c>
      <c r="M265" s="149">
        <v>-1634798</v>
      </c>
      <c r="N265" s="149">
        <v>-10238993</v>
      </c>
      <c r="O265">
        <v>0</v>
      </c>
      <c r="P265">
        <v>0</v>
      </c>
      <c r="Q265">
        <v>0</v>
      </c>
      <c r="R265">
        <v>0</v>
      </c>
      <c r="S265">
        <v>0</v>
      </c>
      <c r="T265" t="s">
        <v>77</v>
      </c>
      <c r="U265">
        <v>0</v>
      </c>
      <c r="V265">
        <v>0</v>
      </c>
      <c r="W265">
        <v>0</v>
      </c>
      <c r="X265">
        <v>0</v>
      </c>
      <c r="Y265">
        <v>33</v>
      </c>
      <c r="Z265">
        <v>3256</v>
      </c>
      <c r="AC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M265">
        <v>0</v>
      </c>
      <c r="AR265" t="s">
        <v>2049</v>
      </c>
      <c r="AS265" t="s">
        <v>1680</v>
      </c>
      <c r="AT265">
        <v>2024</v>
      </c>
      <c r="AU265">
        <v>9</v>
      </c>
      <c r="AV265" t="s">
        <v>318</v>
      </c>
      <c r="AX265" t="s">
        <v>2112</v>
      </c>
    </row>
    <row r="266" spans="1:50">
      <c r="A266">
        <v>64</v>
      </c>
      <c r="B266">
        <v>61</v>
      </c>
      <c r="C266" t="s">
        <v>74</v>
      </c>
      <c r="D266" t="s">
        <v>1222</v>
      </c>
      <c r="E266" t="s">
        <v>1223</v>
      </c>
      <c r="F266">
        <v>718</v>
      </c>
      <c r="G266" s="23">
        <v>45544</v>
      </c>
      <c r="H266" s="2">
        <v>45544.525937500002</v>
      </c>
      <c r="J266" s="2"/>
      <c r="K266" s="149">
        <v>0</v>
      </c>
      <c r="L266" s="149">
        <v>-1439550</v>
      </c>
      <c r="M266" s="149">
        <v>-273515</v>
      </c>
      <c r="N266" s="149">
        <v>-1713065</v>
      </c>
      <c r="O266">
        <v>0</v>
      </c>
      <c r="P266">
        <v>0</v>
      </c>
      <c r="Q266">
        <v>0</v>
      </c>
      <c r="R266">
        <v>0</v>
      </c>
      <c r="S266">
        <v>0</v>
      </c>
      <c r="T266" t="s">
        <v>77</v>
      </c>
      <c r="U266">
        <v>0</v>
      </c>
      <c r="V266">
        <v>0</v>
      </c>
      <c r="W266">
        <v>0</v>
      </c>
      <c r="X266">
        <v>0</v>
      </c>
      <c r="Y266">
        <v>33</v>
      </c>
      <c r="Z266">
        <v>3268</v>
      </c>
      <c r="AC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M266">
        <v>0</v>
      </c>
      <c r="AR266" t="s">
        <v>2049</v>
      </c>
      <c r="AS266" t="s">
        <v>1680</v>
      </c>
      <c r="AT266">
        <v>2024</v>
      </c>
      <c r="AU266">
        <v>9</v>
      </c>
      <c r="AV266" t="s">
        <v>318</v>
      </c>
      <c r="AX266" t="s">
        <v>2113</v>
      </c>
    </row>
    <row r="267" spans="1:50">
      <c r="A267">
        <v>65</v>
      </c>
      <c r="B267">
        <v>61</v>
      </c>
      <c r="C267" t="s">
        <v>74</v>
      </c>
      <c r="D267" t="s">
        <v>1222</v>
      </c>
      <c r="E267" t="s">
        <v>1223</v>
      </c>
      <c r="F267">
        <v>719</v>
      </c>
      <c r="G267" s="23">
        <v>45546</v>
      </c>
      <c r="H267" s="2">
        <v>45605.685949074075</v>
      </c>
      <c r="K267" s="149">
        <v>0</v>
      </c>
      <c r="L267" s="149">
        <v>-1766460</v>
      </c>
      <c r="M267" s="149">
        <v>-335627</v>
      </c>
      <c r="N267" s="149">
        <v>-2102087</v>
      </c>
      <c r="O267">
        <v>0</v>
      </c>
      <c r="P267">
        <v>0</v>
      </c>
      <c r="Q267">
        <v>0</v>
      </c>
      <c r="R267">
        <v>0</v>
      </c>
      <c r="S267">
        <v>0</v>
      </c>
      <c r="T267" t="s">
        <v>77</v>
      </c>
      <c r="U267">
        <v>0</v>
      </c>
      <c r="V267">
        <v>0</v>
      </c>
      <c r="W267">
        <v>0</v>
      </c>
      <c r="X267">
        <v>0</v>
      </c>
      <c r="Y267">
        <v>33</v>
      </c>
      <c r="Z267">
        <v>3276</v>
      </c>
      <c r="AC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M267">
        <v>0</v>
      </c>
      <c r="AR267" t="s">
        <v>2049</v>
      </c>
      <c r="AS267" t="s">
        <v>1680</v>
      </c>
      <c r="AT267">
        <v>2024</v>
      </c>
      <c r="AU267">
        <v>9</v>
      </c>
      <c r="AV267" t="s">
        <v>318</v>
      </c>
      <c r="AX267" t="s">
        <v>2114</v>
      </c>
    </row>
    <row r="268" spans="1:50">
      <c r="A268">
        <v>66</v>
      </c>
      <c r="B268">
        <v>61</v>
      </c>
      <c r="C268" t="s">
        <v>74</v>
      </c>
      <c r="D268" t="s">
        <v>1571</v>
      </c>
      <c r="E268" t="s">
        <v>1572</v>
      </c>
      <c r="F268">
        <v>720</v>
      </c>
      <c r="G268" s="23" t="s">
        <v>800</v>
      </c>
      <c r="H268" s="2">
        <v>45635.506516203706</v>
      </c>
      <c r="J268" s="2">
        <v>45635.932326388887</v>
      </c>
      <c r="K268" s="149">
        <v>0</v>
      </c>
      <c r="L268" s="149">
        <v>-10418136</v>
      </c>
      <c r="M268" s="149">
        <v>-1979445</v>
      </c>
      <c r="N268" s="149">
        <v>-12397581</v>
      </c>
      <c r="O268">
        <v>0</v>
      </c>
      <c r="P268">
        <v>0</v>
      </c>
      <c r="Q268">
        <v>0</v>
      </c>
      <c r="R268">
        <v>0</v>
      </c>
      <c r="S268">
        <v>0</v>
      </c>
      <c r="T268" t="s">
        <v>77</v>
      </c>
      <c r="U268">
        <v>0</v>
      </c>
      <c r="V268">
        <v>0</v>
      </c>
      <c r="W268">
        <v>0</v>
      </c>
      <c r="X268">
        <v>0</v>
      </c>
      <c r="Y268">
        <v>33</v>
      </c>
      <c r="Z268">
        <v>3297</v>
      </c>
      <c r="AC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M268">
        <v>0</v>
      </c>
      <c r="AR268" t="s">
        <v>2049</v>
      </c>
      <c r="AS268" t="s">
        <v>1680</v>
      </c>
      <c r="AT268">
        <v>2024</v>
      </c>
      <c r="AU268">
        <v>9</v>
      </c>
      <c r="AV268" t="s">
        <v>318</v>
      </c>
      <c r="AX268" t="s">
        <v>2115</v>
      </c>
    </row>
    <row r="269" spans="1:50">
      <c r="A269">
        <v>67</v>
      </c>
      <c r="B269">
        <v>61</v>
      </c>
      <c r="C269" t="s">
        <v>74</v>
      </c>
      <c r="D269" t="s">
        <v>1222</v>
      </c>
      <c r="E269" t="s">
        <v>1223</v>
      </c>
      <c r="F269">
        <v>721</v>
      </c>
      <c r="G269" s="23" t="s">
        <v>803</v>
      </c>
      <c r="H269" s="2" t="s">
        <v>2042</v>
      </c>
      <c r="J269" s="2"/>
      <c r="K269" s="149">
        <v>0</v>
      </c>
      <c r="L269" s="149">
        <v>-1988230</v>
      </c>
      <c r="M269" s="149">
        <v>-377764</v>
      </c>
      <c r="N269" s="149">
        <v>-2365994</v>
      </c>
      <c r="O269">
        <v>0</v>
      </c>
      <c r="P269">
        <v>0</v>
      </c>
      <c r="Q269">
        <v>0</v>
      </c>
      <c r="R269">
        <v>0</v>
      </c>
      <c r="S269">
        <v>0</v>
      </c>
      <c r="T269" t="s">
        <v>77</v>
      </c>
      <c r="U269">
        <v>0</v>
      </c>
      <c r="V269">
        <v>0</v>
      </c>
      <c r="W269">
        <v>0</v>
      </c>
      <c r="X269">
        <v>0</v>
      </c>
      <c r="Y269">
        <v>33</v>
      </c>
      <c r="Z269">
        <v>3298</v>
      </c>
      <c r="AC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M269">
        <v>0</v>
      </c>
      <c r="AR269" t="s">
        <v>2049</v>
      </c>
      <c r="AS269" t="s">
        <v>1680</v>
      </c>
      <c r="AT269">
        <v>2024</v>
      </c>
      <c r="AU269">
        <v>9</v>
      </c>
      <c r="AV269" t="s">
        <v>318</v>
      </c>
      <c r="AX269" t="s">
        <v>2116</v>
      </c>
    </row>
    <row r="270" spans="1:50">
      <c r="A270">
        <v>68</v>
      </c>
      <c r="B270">
        <v>61</v>
      </c>
      <c r="C270" t="s">
        <v>74</v>
      </c>
      <c r="D270" t="s">
        <v>1571</v>
      </c>
      <c r="E270" t="s">
        <v>1572</v>
      </c>
      <c r="F270">
        <v>722</v>
      </c>
      <c r="G270" s="23" t="s">
        <v>803</v>
      </c>
      <c r="H270" s="2" t="s">
        <v>2043</v>
      </c>
      <c r="I270" s="2"/>
      <c r="K270" s="149">
        <v>0</v>
      </c>
      <c r="L270" s="149">
        <v>-13011653</v>
      </c>
      <c r="M270" s="149">
        <v>-2472214</v>
      </c>
      <c r="N270" s="149">
        <v>-15483867</v>
      </c>
      <c r="O270">
        <v>0</v>
      </c>
      <c r="P270">
        <v>0</v>
      </c>
      <c r="Q270">
        <v>0</v>
      </c>
      <c r="R270">
        <v>0</v>
      </c>
      <c r="S270">
        <v>0</v>
      </c>
      <c r="T270" t="s">
        <v>77</v>
      </c>
      <c r="U270">
        <v>0</v>
      </c>
      <c r="V270">
        <v>0</v>
      </c>
      <c r="W270">
        <v>0</v>
      </c>
      <c r="X270">
        <v>0</v>
      </c>
      <c r="Y270">
        <v>33</v>
      </c>
      <c r="Z270">
        <v>3299</v>
      </c>
      <c r="AC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M270">
        <v>0</v>
      </c>
      <c r="AR270" t="s">
        <v>2049</v>
      </c>
      <c r="AS270" t="s">
        <v>1680</v>
      </c>
      <c r="AT270">
        <v>2024</v>
      </c>
      <c r="AU270">
        <v>9</v>
      </c>
      <c r="AV270" t="s">
        <v>318</v>
      </c>
      <c r="AX270" t="s">
        <v>2117</v>
      </c>
    </row>
    <row r="271" spans="1:50">
      <c r="A271">
        <v>69</v>
      </c>
      <c r="B271">
        <v>61</v>
      </c>
      <c r="C271" t="s">
        <v>74</v>
      </c>
      <c r="D271" t="s">
        <v>1222</v>
      </c>
      <c r="E271" t="s">
        <v>1223</v>
      </c>
      <c r="F271">
        <v>723</v>
      </c>
      <c r="G271" s="23" t="s">
        <v>803</v>
      </c>
      <c r="H271" s="2" t="s">
        <v>2044</v>
      </c>
      <c r="K271" s="149">
        <v>0</v>
      </c>
      <c r="L271" s="149">
        <v>-9408200</v>
      </c>
      <c r="M271" s="149">
        <v>-1787558</v>
      </c>
      <c r="N271" s="149">
        <v>-11195758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77</v>
      </c>
      <c r="U271">
        <v>0</v>
      </c>
      <c r="V271">
        <v>0</v>
      </c>
      <c r="W271">
        <v>0</v>
      </c>
      <c r="X271">
        <v>0</v>
      </c>
      <c r="Y271">
        <v>33</v>
      </c>
      <c r="Z271">
        <v>3301</v>
      </c>
      <c r="AC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M271">
        <v>0</v>
      </c>
      <c r="AR271" t="s">
        <v>2049</v>
      </c>
      <c r="AS271" t="s">
        <v>1680</v>
      </c>
      <c r="AT271">
        <v>2024</v>
      </c>
      <c r="AU271">
        <v>9</v>
      </c>
      <c r="AV271" t="s">
        <v>318</v>
      </c>
      <c r="AX271" t="s">
        <v>2118</v>
      </c>
    </row>
    <row r="272" spans="1:50">
      <c r="A272">
        <v>70</v>
      </c>
      <c r="B272">
        <v>61</v>
      </c>
      <c r="C272" t="s">
        <v>74</v>
      </c>
      <c r="D272" t="s">
        <v>1222</v>
      </c>
      <c r="E272" t="s">
        <v>1223</v>
      </c>
      <c r="F272">
        <v>724</v>
      </c>
      <c r="G272" s="23" t="s">
        <v>803</v>
      </c>
      <c r="H272" s="2" t="s">
        <v>2045</v>
      </c>
      <c r="I272" s="2"/>
      <c r="K272" s="149">
        <v>0</v>
      </c>
      <c r="L272" s="149">
        <v>-10043745</v>
      </c>
      <c r="M272" s="149">
        <v>-1908313</v>
      </c>
      <c r="N272" s="149">
        <v>-11952058</v>
      </c>
      <c r="O272">
        <v>0</v>
      </c>
      <c r="P272">
        <v>0</v>
      </c>
      <c r="Q272">
        <v>0</v>
      </c>
      <c r="R272">
        <v>0</v>
      </c>
      <c r="S272">
        <v>0</v>
      </c>
      <c r="T272" t="s">
        <v>77</v>
      </c>
      <c r="U272">
        <v>0</v>
      </c>
      <c r="V272">
        <v>0</v>
      </c>
      <c r="W272">
        <v>0</v>
      </c>
      <c r="X272">
        <v>0</v>
      </c>
      <c r="Y272">
        <v>33</v>
      </c>
      <c r="Z272">
        <v>3287</v>
      </c>
      <c r="AC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M272">
        <v>0</v>
      </c>
      <c r="AR272" t="s">
        <v>2049</v>
      </c>
      <c r="AS272" t="s">
        <v>1680</v>
      </c>
      <c r="AT272">
        <v>2024</v>
      </c>
      <c r="AU272">
        <v>9</v>
      </c>
      <c r="AV272" t="s">
        <v>318</v>
      </c>
      <c r="AX272" t="s">
        <v>2119</v>
      </c>
    </row>
    <row r="273" spans="1:50">
      <c r="A273">
        <v>71</v>
      </c>
      <c r="B273">
        <v>61</v>
      </c>
      <c r="C273" t="s">
        <v>74</v>
      </c>
      <c r="D273" t="s">
        <v>1222</v>
      </c>
      <c r="E273" t="s">
        <v>1223</v>
      </c>
      <c r="F273">
        <v>725</v>
      </c>
      <c r="G273" s="23" t="s">
        <v>806</v>
      </c>
      <c r="H273" s="2" t="s">
        <v>2046</v>
      </c>
      <c r="I273" s="2"/>
      <c r="K273" s="149">
        <v>0</v>
      </c>
      <c r="L273" s="149">
        <v>-9969220</v>
      </c>
      <c r="M273" s="149">
        <v>-1894152</v>
      </c>
      <c r="N273" s="149">
        <v>-11863372</v>
      </c>
      <c r="O273">
        <v>0</v>
      </c>
      <c r="P273">
        <v>0</v>
      </c>
      <c r="Q273">
        <v>0</v>
      </c>
      <c r="R273">
        <v>0</v>
      </c>
      <c r="S273">
        <v>0</v>
      </c>
      <c r="T273" t="s">
        <v>77</v>
      </c>
      <c r="U273">
        <v>0</v>
      </c>
      <c r="V273">
        <v>0</v>
      </c>
      <c r="W273">
        <v>0</v>
      </c>
      <c r="X273">
        <v>0</v>
      </c>
      <c r="Y273">
        <v>33</v>
      </c>
      <c r="Z273">
        <v>3304</v>
      </c>
      <c r="AC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M273">
        <v>0</v>
      </c>
      <c r="AR273" t="s">
        <v>2049</v>
      </c>
      <c r="AS273" t="s">
        <v>1680</v>
      </c>
      <c r="AT273">
        <v>2024</v>
      </c>
      <c r="AU273">
        <v>9</v>
      </c>
      <c r="AV273" t="s">
        <v>318</v>
      </c>
      <c r="AX273" t="s">
        <v>2120</v>
      </c>
    </row>
    <row r="274" spans="1:50">
      <c r="A274">
        <v>72</v>
      </c>
      <c r="B274">
        <v>61</v>
      </c>
      <c r="C274" t="s">
        <v>74</v>
      </c>
      <c r="D274" t="s">
        <v>1222</v>
      </c>
      <c r="E274" t="s">
        <v>1223</v>
      </c>
      <c r="F274">
        <v>726</v>
      </c>
      <c r="G274" s="23" t="s">
        <v>807</v>
      </c>
      <c r="H274" s="2" t="s">
        <v>2047</v>
      </c>
      <c r="K274" s="149">
        <v>0</v>
      </c>
      <c r="L274" s="149">
        <v>-14721000</v>
      </c>
      <c r="M274" s="149">
        <v>-2796990</v>
      </c>
      <c r="N274" s="149">
        <v>-17517990</v>
      </c>
      <c r="O274">
        <v>0</v>
      </c>
      <c r="P274">
        <v>0</v>
      </c>
      <c r="Q274">
        <v>0</v>
      </c>
      <c r="R274">
        <v>0</v>
      </c>
      <c r="S274">
        <v>0</v>
      </c>
      <c r="T274" t="s">
        <v>77</v>
      </c>
      <c r="U274">
        <v>0</v>
      </c>
      <c r="V274">
        <v>0</v>
      </c>
      <c r="W274">
        <v>0</v>
      </c>
      <c r="X274">
        <v>0</v>
      </c>
      <c r="Y274">
        <v>33</v>
      </c>
      <c r="Z274">
        <v>3303</v>
      </c>
      <c r="AC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M274">
        <v>0</v>
      </c>
      <c r="AR274" t="s">
        <v>2049</v>
      </c>
      <c r="AS274" t="s">
        <v>1680</v>
      </c>
      <c r="AT274">
        <v>2024</v>
      </c>
      <c r="AU274">
        <v>9</v>
      </c>
      <c r="AV274" t="s">
        <v>318</v>
      </c>
      <c r="AX274" t="s">
        <v>2121</v>
      </c>
    </row>
    <row r="275" spans="1:50">
      <c r="A275">
        <v>73</v>
      </c>
      <c r="B275">
        <v>61</v>
      </c>
      <c r="C275" t="s">
        <v>74</v>
      </c>
      <c r="D275" t="s">
        <v>1571</v>
      </c>
      <c r="E275" t="s">
        <v>1572</v>
      </c>
      <c r="F275">
        <v>727</v>
      </c>
      <c r="G275" s="23" t="s">
        <v>807</v>
      </c>
      <c r="H275" s="2" t="s">
        <v>2048</v>
      </c>
      <c r="J275" s="2" t="s">
        <v>2037</v>
      </c>
      <c r="K275" s="149">
        <v>0</v>
      </c>
      <c r="L275" s="149">
        <v>-15544351</v>
      </c>
      <c r="M275" s="149">
        <v>-2953427</v>
      </c>
      <c r="N275" s="149">
        <v>-18497778</v>
      </c>
      <c r="O275">
        <v>0</v>
      </c>
      <c r="P275">
        <v>0</v>
      </c>
      <c r="Q275">
        <v>0</v>
      </c>
      <c r="R275">
        <v>0</v>
      </c>
      <c r="S275">
        <v>0</v>
      </c>
      <c r="T275" t="s">
        <v>77</v>
      </c>
      <c r="U275">
        <v>0</v>
      </c>
      <c r="V275">
        <v>0</v>
      </c>
      <c r="W275">
        <v>0</v>
      </c>
      <c r="X275">
        <v>0</v>
      </c>
      <c r="Y275">
        <v>33</v>
      </c>
      <c r="Z275">
        <v>3327</v>
      </c>
      <c r="AC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M275">
        <v>0</v>
      </c>
      <c r="AR275" t="s">
        <v>2049</v>
      </c>
      <c r="AS275" t="s">
        <v>1680</v>
      </c>
      <c r="AT275">
        <v>2024</v>
      </c>
      <c r="AU275">
        <v>9</v>
      </c>
      <c r="AV275" t="s">
        <v>318</v>
      </c>
      <c r="AX275" t="s">
        <v>2122</v>
      </c>
    </row>
    <row r="276" spans="1:50">
      <c r="A276">
        <v>1</v>
      </c>
      <c r="B276">
        <v>33</v>
      </c>
      <c r="C276" t="s">
        <v>74</v>
      </c>
      <c r="D276" t="s">
        <v>1590</v>
      </c>
      <c r="E276" t="s">
        <v>1591</v>
      </c>
      <c r="F276">
        <v>3331</v>
      </c>
      <c r="G276" s="23">
        <v>45568</v>
      </c>
      <c r="H276" s="2">
        <v>45301.629849537036</v>
      </c>
      <c r="J276" s="2"/>
      <c r="K276" s="149">
        <v>0</v>
      </c>
      <c r="L276" s="149">
        <v>279694</v>
      </c>
      <c r="M276" s="149">
        <v>53142</v>
      </c>
      <c r="N276" s="149">
        <v>332836</v>
      </c>
      <c r="O276">
        <v>0</v>
      </c>
      <c r="P276">
        <v>0</v>
      </c>
      <c r="Q276">
        <v>0</v>
      </c>
      <c r="R276">
        <v>0</v>
      </c>
      <c r="S276">
        <v>0</v>
      </c>
      <c r="T276" t="s">
        <v>77</v>
      </c>
      <c r="U276">
        <v>0</v>
      </c>
      <c r="V276">
        <v>0</v>
      </c>
      <c r="W276">
        <v>0</v>
      </c>
      <c r="X276">
        <v>0</v>
      </c>
      <c r="Y276">
        <v>0</v>
      </c>
      <c r="AC276">
        <v>0</v>
      </c>
      <c r="AE276">
        <v>0</v>
      </c>
      <c r="AF276">
        <v>2</v>
      </c>
      <c r="AG276">
        <v>0</v>
      </c>
      <c r="AH276">
        <v>0</v>
      </c>
      <c r="AI276">
        <v>0</v>
      </c>
      <c r="AM276">
        <v>0</v>
      </c>
      <c r="AR276" t="s">
        <v>2214</v>
      </c>
      <c r="AS276" t="s">
        <v>1680</v>
      </c>
      <c r="AT276">
        <v>2024</v>
      </c>
      <c r="AU276">
        <v>10</v>
      </c>
      <c r="AV276" t="s">
        <v>78</v>
      </c>
      <c r="AX276" t="s">
        <v>2215</v>
      </c>
    </row>
    <row r="277" spans="1:50">
      <c r="A277">
        <v>2</v>
      </c>
      <c r="B277">
        <v>33</v>
      </c>
      <c r="C277" t="s">
        <v>74</v>
      </c>
      <c r="D277" t="s">
        <v>1631</v>
      </c>
      <c r="E277" t="s">
        <v>1632</v>
      </c>
      <c r="F277">
        <v>3332</v>
      </c>
      <c r="G277" s="23">
        <v>45568</v>
      </c>
      <c r="H277" s="2">
        <v>45301.639722222222</v>
      </c>
      <c r="K277" s="149">
        <v>0</v>
      </c>
      <c r="L277" s="149">
        <v>222232</v>
      </c>
      <c r="M277" s="149">
        <v>42223</v>
      </c>
      <c r="N277" s="149">
        <v>264455</v>
      </c>
      <c r="O277">
        <v>0</v>
      </c>
      <c r="P277">
        <v>0</v>
      </c>
      <c r="Q277">
        <v>0</v>
      </c>
      <c r="R277">
        <v>0</v>
      </c>
      <c r="S277">
        <v>0</v>
      </c>
      <c r="T277" t="s">
        <v>77</v>
      </c>
      <c r="U277">
        <v>0</v>
      </c>
      <c r="V277">
        <v>0</v>
      </c>
      <c r="W277">
        <v>0</v>
      </c>
      <c r="X277">
        <v>0</v>
      </c>
      <c r="Y277">
        <v>0</v>
      </c>
      <c r="AC277">
        <v>0</v>
      </c>
      <c r="AE277">
        <v>0</v>
      </c>
      <c r="AF277">
        <v>2</v>
      </c>
      <c r="AG277">
        <v>0</v>
      </c>
      <c r="AH277">
        <v>0</v>
      </c>
      <c r="AI277">
        <v>0</v>
      </c>
      <c r="AM277">
        <v>0</v>
      </c>
      <c r="AR277" t="s">
        <v>2214</v>
      </c>
      <c r="AS277" t="s">
        <v>1680</v>
      </c>
      <c r="AT277">
        <v>2024</v>
      </c>
      <c r="AU277">
        <v>10</v>
      </c>
      <c r="AV277" t="s">
        <v>78</v>
      </c>
      <c r="AX277" t="s">
        <v>2216</v>
      </c>
    </row>
    <row r="278" spans="1:50">
      <c r="A278">
        <v>3</v>
      </c>
      <c r="B278">
        <v>33</v>
      </c>
      <c r="C278" t="s">
        <v>74</v>
      </c>
      <c r="D278" t="s">
        <v>1222</v>
      </c>
      <c r="E278" t="s">
        <v>1223</v>
      </c>
      <c r="F278">
        <v>3333</v>
      </c>
      <c r="G278" s="23">
        <v>45569</v>
      </c>
      <c r="H278" s="2">
        <v>45301.662280092591</v>
      </c>
      <c r="I278" s="2">
        <v>45514.661574074074</v>
      </c>
      <c r="K278" s="149">
        <v>0</v>
      </c>
      <c r="L278" s="149">
        <v>4145490</v>
      </c>
      <c r="M278" s="149">
        <v>787643</v>
      </c>
      <c r="N278" s="149">
        <v>4933133</v>
      </c>
      <c r="O278">
        <v>0</v>
      </c>
      <c r="P278">
        <v>0</v>
      </c>
      <c r="Q278">
        <v>0</v>
      </c>
      <c r="R278">
        <v>0</v>
      </c>
      <c r="S278">
        <v>0</v>
      </c>
      <c r="T278" t="s">
        <v>77</v>
      </c>
      <c r="U278">
        <v>0</v>
      </c>
      <c r="V278">
        <v>0</v>
      </c>
      <c r="W278">
        <v>0</v>
      </c>
      <c r="X278">
        <v>0</v>
      </c>
      <c r="AC278">
        <v>0</v>
      </c>
      <c r="AE278">
        <v>0</v>
      </c>
      <c r="AF278">
        <v>2</v>
      </c>
      <c r="AG278">
        <v>0</v>
      </c>
      <c r="AH278">
        <v>0</v>
      </c>
      <c r="AI278">
        <v>0</v>
      </c>
      <c r="AM278">
        <v>0</v>
      </c>
      <c r="AR278" t="s">
        <v>2214</v>
      </c>
      <c r="AS278" t="s">
        <v>1680</v>
      </c>
      <c r="AT278">
        <v>2024</v>
      </c>
      <c r="AU278">
        <v>10</v>
      </c>
      <c r="AV278" t="s">
        <v>78</v>
      </c>
      <c r="AX278" t="s">
        <v>2217</v>
      </c>
    </row>
    <row r="279" spans="1:50">
      <c r="A279">
        <v>4</v>
      </c>
      <c r="B279">
        <v>33</v>
      </c>
      <c r="C279" t="s">
        <v>74</v>
      </c>
      <c r="D279" t="s">
        <v>1555</v>
      </c>
      <c r="E279" t="s">
        <v>1556</v>
      </c>
      <c r="F279">
        <v>3334</v>
      </c>
      <c r="G279" s="23">
        <v>45568</v>
      </c>
      <c r="H279" s="2">
        <v>45301.701828703706</v>
      </c>
      <c r="I279" s="2">
        <v>45483.722083333334</v>
      </c>
      <c r="K279" s="149">
        <v>0</v>
      </c>
      <c r="L279" s="149">
        <v>2304360</v>
      </c>
      <c r="M279" s="149">
        <v>437828</v>
      </c>
      <c r="N279" s="149">
        <v>2742188</v>
      </c>
      <c r="O279">
        <v>0</v>
      </c>
      <c r="P279">
        <v>0</v>
      </c>
      <c r="Q279">
        <v>0</v>
      </c>
      <c r="R279">
        <v>0</v>
      </c>
      <c r="S279">
        <v>0</v>
      </c>
      <c r="T279" t="s">
        <v>77</v>
      </c>
      <c r="U279">
        <v>0</v>
      </c>
      <c r="V279">
        <v>0</v>
      </c>
      <c r="W279">
        <v>0</v>
      </c>
      <c r="X279">
        <v>0</v>
      </c>
      <c r="AC279">
        <v>0</v>
      </c>
      <c r="AE279">
        <v>0</v>
      </c>
      <c r="AF279">
        <v>2</v>
      </c>
      <c r="AG279">
        <v>0</v>
      </c>
      <c r="AH279">
        <v>0</v>
      </c>
      <c r="AI279">
        <v>0</v>
      </c>
      <c r="AM279">
        <v>0</v>
      </c>
      <c r="AR279" t="s">
        <v>2214</v>
      </c>
      <c r="AS279" t="s">
        <v>1680</v>
      </c>
      <c r="AT279">
        <v>2024</v>
      </c>
      <c r="AU279">
        <v>10</v>
      </c>
      <c r="AV279" t="s">
        <v>78</v>
      </c>
      <c r="AX279" t="s">
        <v>2218</v>
      </c>
    </row>
    <row r="280" spans="1:50">
      <c r="A280">
        <v>5</v>
      </c>
      <c r="B280">
        <v>33</v>
      </c>
      <c r="C280" t="s">
        <v>74</v>
      </c>
      <c r="D280" t="s">
        <v>1581</v>
      </c>
      <c r="E280" t="s">
        <v>1582</v>
      </c>
      <c r="F280">
        <v>3335</v>
      </c>
      <c r="G280" s="23">
        <v>45568</v>
      </c>
      <c r="H280" s="2">
        <v>45332.66128472222</v>
      </c>
      <c r="I280" s="2">
        <v>45392.518483796295</v>
      </c>
      <c r="K280" s="149">
        <v>0</v>
      </c>
      <c r="L280" s="149">
        <v>856660</v>
      </c>
      <c r="M280" s="149">
        <v>162766</v>
      </c>
      <c r="N280" s="149">
        <v>1019426</v>
      </c>
      <c r="O280">
        <v>0</v>
      </c>
      <c r="P280">
        <v>0</v>
      </c>
      <c r="Q280">
        <v>0</v>
      </c>
      <c r="R280">
        <v>0</v>
      </c>
      <c r="S280">
        <v>0</v>
      </c>
      <c r="T280" t="s">
        <v>77</v>
      </c>
      <c r="U280">
        <v>0</v>
      </c>
      <c r="V280">
        <v>0</v>
      </c>
      <c r="W280">
        <v>0</v>
      </c>
      <c r="X280">
        <v>0</v>
      </c>
      <c r="Y280">
        <v>0</v>
      </c>
      <c r="AC280">
        <v>0</v>
      </c>
      <c r="AE280">
        <v>0</v>
      </c>
      <c r="AF280">
        <v>2</v>
      </c>
      <c r="AG280">
        <v>0</v>
      </c>
      <c r="AH280">
        <v>0</v>
      </c>
      <c r="AI280">
        <v>0</v>
      </c>
      <c r="AM280">
        <v>0</v>
      </c>
      <c r="AR280" t="s">
        <v>2214</v>
      </c>
      <c r="AS280" t="s">
        <v>1680</v>
      </c>
      <c r="AT280">
        <v>2024</v>
      </c>
      <c r="AU280">
        <v>10</v>
      </c>
      <c r="AV280" t="s">
        <v>78</v>
      </c>
      <c r="AX280" t="s">
        <v>2219</v>
      </c>
    </row>
    <row r="281" spans="1:50">
      <c r="A281">
        <v>6</v>
      </c>
      <c r="B281">
        <v>33</v>
      </c>
      <c r="C281" t="s">
        <v>74</v>
      </c>
      <c r="D281" t="s">
        <v>1561</v>
      </c>
      <c r="E281" t="s">
        <v>1562</v>
      </c>
      <c r="F281">
        <v>3336</v>
      </c>
      <c r="G281" s="23">
        <v>45569</v>
      </c>
      <c r="H281" s="2">
        <v>45332.689722222225</v>
      </c>
      <c r="K281" s="149">
        <v>0</v>
      </c>
      <c r="L281" s="149">
        <v>12862500</v>
      </c>
      <c r="M281" s="149">
        <v>2443875</v>
      </c>
      <c r="N281" s="149">
        <v>15306375</v>
      </c>
      <c r="O281">
        <v>0</v>
      </c>
      <c r="P281">
        <v>0</v>
      </c>
      <c r="Q281">
        <v>0</v>
      </c>
      <c r="R281">
        <v>0</v>
      </c>
      <c r="S281">
        <v>0</v>
      </c>
      <c r="T281" t="s">
        <v>77</v>
      </c>
      <c r="U281">
        <v>0</v>
      </c>
      <c r="V281">
        <v>0</v>
      </c>
      <c r="W281">
        <v>0</v>
      </c>
      <c r="X281">
        <v>0</v>
      </c>
      <c r="Y281">
        <v>0</v>
      </c>
      <c r="AC281">
        <v>0</v>
      </c>
      <c r="AE281">
        <v>0</v>
      </c>
      <c r="AF281">
        <v>2</v>
      </c>
      <c r="AG281">
        <v>0</v>
      </c>
      <c r="AH281">
        <v>0</v>
      </c>
      <c r="AI281">
        <v>0</v>
      </c>
      <c r="AM281">
        <v>0</v>
      </c>
      <c r="AR281" t="s">
        <v>2214</v>
      </c>
      <c r="AS281" t="s">
        <v>1680</v>
      </c>
      <c r="AT281">
        <v>2024</v>
      </c>
      <c r="AU281">
        <v>10</v>
      </c>
      <c r="AV281" t="s">
        <v>78</v>
      </c>
      <c r="AX281" t="s">
        <v>2220</v>
      </c>
    </row>
    <row r="282" spans="1:50">
      <c r="A282">
        <v>7</v>
      </c>
      <c r="B282">
        <v>33</v>
      </c>
      <c r="C282" t="s">
        <v>74</v>
      </c>
      <c r="D282" t="s">
        <v>1222</v>
      </c>
      <c r="E282" t="s">
        <v>1223</v>
      </c>
      <c r="F282">
        <v>3337</v>
      </c>
      <c r="G282" s="23">
        <v>45569</v>
      </c>
      <c r="H282" s="2">
        <v>45361.419398148151</v>
      </c>
      <c r="I282" s="2">
        <v>45514.661574074074</v>
      </c>
      <c r="K282" s="149">
        <v>0</v>
      </c>
      <c r="L282" s="149">
        <v>8562000</v>
      </c>
      <c r="M282" s="149">
        <v>1626780</v>
      </c>
      <c r="N282" s="149">
        <v>10188780</v>
      </c>
      <c r="O282">
        <v>0</v>
      </c>
      <c r="P282">
        <v>0</v>
      </c>
      <c r="Q282">
        <v>0</v>
      </c>
      <c r="R282">
        <v>0</v>
      </c>
      <c r="S282">
        <v>0</v>
      </c>
      <c r="T282" t="s">
        <v>77</v>
      </c>
      <c r="U282">
        <v>0</v>
      </c>
      <c r="V282">
        <v>0</v>
      </c>
      <c r="W282">
        <v>0</v>
      </c>
      <c r="X282">
        <v>0</v>
      </c>
      <c r="AC282">
        <v>0</v>
      </c>
      <c r="AE282">
        <v>0</v>
      </c>
      <c r="AF282">
        <v>2</v>
      </c>
      <c r="AG282">
        <v>0</v>
      </c>
      <c r="AH282">
        <v>0</v>
      </c>
      <c r="AI282">
        <v>0</v>
      </c>
      <c r="AM282">
        <v>0</v>
      </c>
      <c r="AR282" t="s">
        <v>2214</v>
      </c>
      <c r="AS282" t="s">
        <v>1680</v>
      </c>
      <c r="AT282">
        <v>2024</v>
      </c>
      <c r="AU282">
        <v>10</v>
      </c>
      <c r="AV282" t="s">
        <v>78</v>
      </c>
      <c r="AX282" t="s">
        <v>2221</v>
      </c>
    </row>
    <row r="283" spans="1:50">
      <c r="A283">
        <v>8</v>
      </c>
      <c r="B283">
        <v>33</v>
      </c>
      <c r="C283" t="s">
        <v>74</v>
      </c>
      <c r="D283" t="s">
        <v>1353</v>
      </c>
      <c r="E283" t="s">
        <v>1354</v>
      </c>
      <c r="F283">
        <v>3338</v>
      </c>
      <c r="G283" s="23">
        <v>45569</v>
      </c>
      <c r="H283" s="2">
        <v>45361.443877314814</v>
      </c>
      <c r="I283" s="2">
        <v>45392.472060185188</v>
      </c>
      <c r="K283" s="149">
        <v>0</v>
      </c>
      <c r="L283" s="149">
        <v>3329044</v>
      </c>
      <c r="M283" s="149">
        <v>632518</v>
      </c>
      <c r="N283" s="149">
        <v>3961562</v>
      </c>
      <c r="O283">
        <v>0</v>
      </c>
      <c r="P283">
        <v>0</v>
      </c>
      <c r="Q283">
        <v>0</v>
      </c>
      <c r="R283">
        <v>0</v>
      </c>
      <c r="S283">
        <v>0</v>
      </c>
      <c r="T283" t="s">
        <v>77</v>
      </c>
      <c r="U283">
        <v>0</v>
      </c>
      <c r="V283">
        <v>0</v>
      </c>
      <c r="W283">
        <v>0</v>
      </c>
      <c r="X283">
        <v>0</v>
      </c>
      <c r="Y283">
        <v>0</v>
      </c>
      <c r="AC283">
        <v>0</v>
      </c>
      <c r="AE283">
        <v>0</v>
      </c>
      <c r="AF283">
        <v>2</v>
      </c>
      <c r="AG283">
        <v>0</v>
      </c>
      <c r="AH283">
        <v>0</v>
      </c>
      <c r="AI283">
        <v>0</v>
      </c>
      <c r="AM283">
        <v>0</v>
      </c>
      <c r="AR283" t="s">
        <v>2214</v>
      </c>
      <c r="AS283" t="s">
        <v>1680</v>
      </c>
      <c r="AT283">
        <v>2024</v>
      </c>
      <c r="AU283">
        <v>10</v>
      </c>
      <c r="AV283" t="s">
        <v>78</v>
      </c>
      <c r="AX283" t="s">
        <v>2222</v>
      </c>
    </row>
    <row r="284" spans="1:50">
      <c r="A284">
        <v>9</v>
      </c>
      <c r="B284">
        <v>33</v>
      </c>
      <c r="C284" t="s">
        <v>74</v>
      </c>
      <c r="D284" t="s">
        <v>1988</v>
      </c>
      <c r="E284" t="s">
        <v>1989</v>
      </c>
      <c r="F284">
        <v>3339</v>
      </c>
      <c r="G284" s="23">
        <v>45573</v>
      </c>
      <c r="H284" s="2">
        <v>45392.650138888886</v>
      </c>
      <c r="I284" s="2">
        <v>45606.44568287037</v>
      </c>
      <c r="K284" s="149">
        <v>0</v>
      </c>
      <c r="L284" s="149">
        <v>1692640</v>
      </c>
      <c r="M284" s="149">
        <v>321601</v>
      </c>
      <c r="N284" s="149">
        <v>2014241</v>
      </c>
      <c r="O284">
        <v>0</v>
      </c>
      <c r="P284">
        <v>0</v>
      </c>
      <c r="Q284">
        <v>0</v>
      </c>
      <c r="R284">
        <v>0</v>
      </c>
      <c r="S284">
        <v>0</v>
      </c>
      <c r="T284" t="s">
        <v>77</v>
      </c>
      <c r="U284">
        <v>0</v>
      </c>
      <c r="V284">
        <v>0</v>
      </c>
      <c r="W284">
        <v>0</v>
      </c>
      <c r="X284">
        <v>0</v>
      </c>
      <c r="AC284">
        <v>0</v>
      </c>
      <c r="AE284">
        <v>0</v>
      </c>
      <c r="AF284">
        <v>2</v>
      </c>
      <c r="AG284">
        <v>0</v>
      </c>
      <c r="AH284">
        <v>0</v>
      </c>
      <c r="AI284">
        <v>0</v>
      </c>
      <c r="AM284">
        <v>0</v>
      </c>
      <c r="AR284" t="s">
        <v>2214</v>
      </c>
      <c r="AS284" t="s">
        <v>1680</v>
      </c>
      <c r="AT284">
        <v>2024</v>
      </c>
      <c r="AU284">
        <v>10</v>
      </c>
      <c r="AV284" t="s">
        <v>78</v>
      </c>
      <c r="AX284" t="s">
        <v>2223</v>
      </c>
    </row>
    <row r="285" spans="1:50">
      <c r="A285">
        <v>10</v>
      </c>
      <c r="B285">
        <v>33</v>
      </c>
      <c r="C285" t="s">
        <v>74</v>
      </c>
      <c r="D285" t="s">
        <v>1561</v>
      </c>
      <c r="E285" t="s">
        <v>1562</v>
      </c>
      <c r="F285">
        <v>3340</v>
      </c>
      <c r="G285" s="23">
        <v>45573</v>
      </c>
      <c r="H285" s="2">
        <v>45392.664120370369</v>
      </c>
      <c r="J285" s="2"/>
      <c r="K285" s="149">
        <v>0</v>
      </c>
      <c r="L285" s="149">
        <v>10290000</v>
      </c>
      <c r="M285" s="149">
        <v>1955100</v>
      </c>
      <c r="N285" s="149">
        <v>12245100</v>
      </c>
      <c r="O285">
        <v>0</v>
      </c>
      <c r="P285">
        <v>0</v>
      </c>
      <c r="Q285">
        <v>0</v>
      </c>
      <c r="R285">
        <v>0</v>
      </c>
      <c r="S285">
        <v>0</v>
      </c>
      <c r="T285" t="s">
        <v>77</v>
      </c>
      <c r="U285">
        <v>0</v>
      </c>
      <c r="V285">
        <v>0</v>
      </c>
      <c r="W285">
        <v>0</v>
      </c>
      <c r="X285">
        <v>0</v>
      </c>
      <c r="Y285">
        <v>0</v>
      </c>
      <c r="AC285">
        <v>0</v>
      </c>
      <c r="AE285">
        <v>0</v>
      </c>
      <c r="AF285">
        <v>2</v>
      </c>
      <c r="AG285">
        <v>0</v>
      </c>
      <c r="AH285">
        <v>0</v>
      </c>
      <c r="AI285">
        <v>0</v>
      </c>
      <c r="AM285">
        <v>0</v>
      </c>
      <c r="AR285" t="s">
        <v>2214</v>
      </c>
      <c r="AS285" t="s">
        <v>1680</v>
      </c>
      <c r="AT285">
        <v>2024</v>
      </c>
      <c r="AU285">
        <v>10</v>
      </c>
      <c r="AV285" t="s">
        <v>78</v>
      </c>
      <c r="AX285" t="s">
        <v>2224</v>
      </c>
    </row>
    <row r="286" spans="1:50">
      <c r="A286">
        <v>11</v>
      </c>
      <c r="B286">
        <v>33</v>
      </c>
      <c r="C286" t="s">
        <v>74</v>
      </c>
      <c r="D286" t="s">
        <v>1222</v>
      </c>
      <c r="E286" t="s">
        <v>1223</v>
      </c>
      <c r="F286">
        <v>3341</v>
      </c>
      <c r="G286" s="23">
        <v>45574</v>
      </c>
      <c r="H286" s="2">
        <v>45392.672164351854</v>
      </c>
      <c r="I286" s="2">
        <v>45575.495532407411</v>
      </c>
      <c r="K286" s="149">
        <v>0</v>
      </c>
      <c r="L286" s="149">
        <v>6666000</v>
      </c>
      <c r="M286" s="149">
        <v>1266540</v>
      </c>
      <c r="N286" s="149">
        <v>7932540</v>
      </c>
      <c r="O286">
        <v>0</v>
      </c>
      <c r="P286">
        <v>0</v>
      </c>
      <c r="Q286">
        <v>0</v>
      </c>
      <c r="R286">
        <v>0</v>
      </c>
      <c r="S286">
        <v>0</v>
      </c>
      <c r="T286" t="s">
        <v>77</v>
      </c>
      <c r="U286">
        <v>0</v>
      </c>
      <c r="V286">
        <v>0</v>
      </c>
      <c r="W286">
        <v>0</v>
      </c>
      <c r="X286">
        <v>0</v>
      </c>
      <c r="AC286">
        <v>0</v>
      </c>
      <c r="AE286">
        <v>0</v>
      </c>
      <c r="AF286">
        <v>2</v>
      </c>
      <c r="AG286">
        <v>0</v>
      </c>
      <c r="AH286">
        <v>0</v>
      </c>
      <c r="AI286">
        <v>0</v>
      </c>
      <c r="AM286">
        <v>0</v>
      </c>
      <c r="AR286" t="s">
        <v>2214</v>
      </c>
      <c r="AS286" t="s">
        <v>1680</v>
      </c>
      <c r="AT286">
        <v>2024</v>
      </c>
      <c r="AU286">
        <v>10</v>
      </c>
      <c r="AV286" t="s">
        <v>78</v>
      </c>
      <c r="AX286" t="s">
        <v>2225</v>
      </c>
    </row>
    <row r="287" spans="1:50">
      <c r="A287">
        <v>12</v>
      </c>
      <c r="B287">
        <v>33</v>
      </c>
      <c r="C287" t="s">
        <v>74</v>
      </c>
      <c r="D287" t="s">
        <v>1564</v>
      </c>
      <c r="E287" t="s">
        <v>1565</v>
      </c>
      <c r="F287">
        <v>3342</v>
      </c>
      <c r="G287" s="23">
        <v>45573</v>
      </c>
      <c r="H287" s="2">
        <v>45392.710648148146</v>
      </c>
      <c r="I287" s="2"/>
      <c r="J287" s="2"/>
      <c r="K287" s="149">
        <v>0</v>
      </c>
      <c r="L287" s="149">
        <v>973372</v>
      </c>
      <c r="M287" s="149">
        <v>184942</v>
      </c>
      <c r="N287" s="149">
        <v>1158314</v>
      </c>
      <c r="O287">
        <v>0</v>
      </c>
      <c r="P287">
        <v>0</v>
      </c>
      <c r="Q287">
        <v>0</v>
      </c>
      <c r="R287">
        <v>0</v>
      </c>
      <c r="S287">
        <v>0</v>
      </c>
      <c r="T287" t="s">
        <v>77</v>
      </c>
      <c r="U287">
        <v>0</v>
      </c>
      <c r="V287">
        <v>0</v>
      </c>
      <c r="W287">
        <v>0</v>
      </c>
      <c r="X287">
        <v>0</v>
      </c>
      <c r="Y287">
        <v>0</v>
      </c>
      <c r="AC287">
        <v>0</v>
      </c>
      <c r="AE287">
        <v>0</v>
      </c>
      <c r="AF287">
        <v>2</v>
      </c>
      <c r="AG287">
        <v>0</v>
      </c>
      <c r="AH287">
        <v>0</v>
      </c>
      <c r="AI287">
        <v>0</v>
      </c>
      <c r="AM287">
        <v>0</v>
      </c>
      <c r="AR287" t="s">
        <v>2214</v>
      </c>
      <c r="AS287" t="s">
        <v>1680</v>
      </c>
      <c r="AT287">
        <v>2024</v>
      </c>
      <c r="AU287">
        <v>10</v>
      </c>
      <c r="AV287" t="s">
        <v>78</v>
      </c>
      <c r="AX287" t="s">
        <v>2226</v>
      </c>
    </row>
    <row r="288" spans="1:50">
      <c r="A288">
        <v>13</v>
      </c>
      <c r="B288">
        <v>33</v>
      </c>
      <c r="C288" t="s">
        <v>74</v>
      </c>
      <c r="D288" t="s">
        <v>1600</v>
      </c>
      <c r="E288" t="s">
        <v>1601</v>
      </c>
      <c r="F288">
        <v>3343</v>
      </c>
      <c r="G288" s="23">
        <v>45573</v>
      </c>
      <c r="H288" s="2">
        <v>45483.533877314818</v>
      </c>
      <c r="I288" s="2"/>
      <c r="K288" s="149">
        <v>0</v>
      </c>
      <c r="L288" s="149">
        <v>18320</v>
      </c>
      <c r="M288" s="149">
        <v>3481</v>
      </c>
      <c r="N288" s="149">
        <v>21801</v>
      </c>
      <c r="O288">
        <v>0</v>
      </c>
      <c r="P288">
        <v>0</v>
      </c>
      <c r="Q288">
        <v>0</v>
      </c>
      <c r="R288">
        <v>0</v>
      </c>
      <c r="S288">
        <v>0</v>
      </c>
      <c r="T288" t="s">
        <v>77</v>
      </c>
      <c r="U288">
        <v>0</v>
      </c>
      <c r="V288">
        <v>0</v>
      </c>
      <c r="W288">
        <v>0</v>
      </c>
      <c r="X288">
        <v>0</v>
      </c>
      <c r="Y288">
        <v>0</v>
      </c>
      <c r="AC288">
        <v>0</v>
      </c>
      <c r="AE288">
        <v>0</v>
      </c>
      <c r="AF288">
        <v>2</v>
      </c>
      <c r="AG288">
        <v>0</v>
      </c>
      <c r="AH288">
        <v>0</v>
      </c>
      <c r="AI288">
        <v>0</v>
      </c>
      <c r="AM288">
        <v>0</v>
      </c>
      <c r="AR288" t="s">
        <v>2214</v>
      </c>
      <c r="AS288" t="s">
        <v>1680</v>
      </c>
      <c r="AT288">
        <v>2024</v>
      </c>
      <c r="AU288">
        <v>10</v>
      </c>
      <c r="AV288" t="s">
        <v>78</v>
      </c>
      <c r="AX288" t="s">
        <v>2227</v>
      </c>
    </row>
    <row r="289" spans="1:50">
      <c r="A289">
        <v>14</v>
      </c>
      <c r="B289">
        <v>33</v>
      </c>
      <c r="C289" t="s">
        <v>74</v>
      </c>
      <c r="D289" t="s">
        <v>1222</v>
      </c>
      <c r="E289" t="s">
        <v>1223</v>
      </c>
      <c r="F289">
        <v>3344</v>
      </c>
      <c r="G289" s="23">
        <v>45574</v>
      </c>
      <c r="H289" s="2">
        <v>45483.692858796298</v>
      </c>
      <c r="I289" s="2">
        <v>45575.495532407411</v>
      </c>
      <c r="K289" s="149">
        <v>0</v>
      </c>
      <c r="L289" s="149">
        <v>8040940</v>
      </c>
      <c r="M289" s="149">
        <v>1527780</v>
      </c>
      <c r="N289" s="149">
        <v>9568720</v>
      </c>
      <c r="O289">
        <v>0</v>
      </c>
      <c r="P289">
        <v>0</v>
      </c>
      <c r="Q289">
        <v>0</v>
      </c>
      <c r="R289">
        <v>0</v>
      </c>
      <c r="S289">
        <v>0</v>
      </c>
      <c r="T289" t="s">
        <v>77</v>
      </c>
      <c r="U289">
        <v>0</v>
      </c>
      <c r="V289">
        <v>0</v>
      </c>
      <c r="W289">
        <v>0</v>
      </c>
      <c r="X289">
        <v>0</v>
      </c>
      <c r="AC289">
        <v>0</v>
      </c>
      <c r="AE289">
        <v>0</v>
      </c>
      <c r="AF289">
        <v>2</v>
      </c>
      <c r="AG289">
        <v>0</v>
      </c>
      <c r="AH289">
        <v>0</v>
      </c>
      <c r="AI289">
        <v>0</v>
      </c>
      <c r="AM289">
        <v>0</v>
      </c>
      <c r="AR289" t="s">
        <v>2214</v>
      </c>
      <c r="AS289" t="s">
        <v>1680</v>
      </c>
      <c r="AT289">
        <v>2024</v>
      </c>
      <c r="AU289">
        <v>10</v>
      </c>
      <c r="AV289" t="s">
        <v>78</v>
      </c>
      <c r="AX289" t="s">
        <v>2228</v>
      </c>
    </row>
    <row r="290" spans="1:50">
      <c r="A290">
        <v>15</v>
      </c>
      <c r="B290">
        <v>33</v>
      </c>
      <c r="C290" t="s">
        <v>74</v>
      </c>
      <c r="D290" t="s">
        <v>1353</v>
      </c>
      <c r="E290" t="s">
        <v>1354</v>
      </c>
      <c r="F290">
        <v>3345</v>
      </c>
      <c r="G290" s="23">
        <v>45575</v>
      </c>
      <c r="H290" s="2">
        <v>45545.448750000003</v>
      </c>
      <c r="I290" s="2">
        <v>45545.566562499997</v>
      </c>
      <c r="K290" s="149">
        <v>0</v>
      </c>
      <c r="L290" s="149">
        <v>2653858</v>
      </c>
      <c r="M290" s="149">
        <v>504232</v>
      </c>
      <c r="N290" s="149">
        <v>3158090</v>
      </c>
      <c r="O290">
        <v>0</v>
      </c>
      <c r="P290">
        <v>0</v>
      </c>
      <c r="Q290">
        <v>0</v>
      </c>
      <c r="R290">
        <v>0</v>
      </c>
      <c r="S290">
        <v>0</v>
      </c>
      <c r="T290" t="s">
        <v>77</v>
      </c>
      <c r="U290">
        <v>0</v>
      </c>
      <c r="V290">
        <v>0</v>
      </c>
      <c r="W290">
        <v>0</v>
      </c>
      <c r="X290">
        <v>0</v>
      </c>
      <c r="Y290">
        <v>0</v>
      </c>
      <c r="AC290">
        <v>0</v>
      </c>
      <c r="AE290">
        <v>0</v>
      </c>
      <c r="AF290">
        <v>2</v>
      </c>
      <c r="AG290">
        <v>0</v>
      </c>
      <c r="AH290">
        <v>0</v>
      </c>
      <c r="AI290">
        <v>0</v>
      </c>
      <c r="AM290">
        <v>0</v>
      </c>
      <c r="AR290" t="s">
        <v>2214</v>
      </c>
      <c r="AS290" t="s">
        <v>1680</v>
      </c>
      <c r="AT290">
        <v>2024</v>
      </c>
      <c r="AU290">
        <v>10</v>
      </c>
      <c r="AV290" t="s">
        <v>78</v>
      </c>
      <c r="AX290" t="s">
        <v>2229</v>
      </c>
    </row>
    <row r="291" spans="1:50">
      <c r="A291">
        <v>16</v>
      </c>
      <c r="B291">
        <v>33</v>
      </c>
      <c r="C291" t="s">
        <v>74</v>
      </c>
      <c r="D291" t="s">
        <v>1573</v>
      </c>
      <c r="E291" t="s">
        <v>1574</v>
      </c>
      <c r="F291">
        <v>3346</v>
      </c>
      <c r="G291" s="23">
        <v>45575</v>
      </c>
      <c r="H291" s="2">
        <v>45545.4609375</v>
      </c>
      <c r="K291" s="149">
        <v>0</v>
      </c>
      <c r="L291" s="149">
        <v>259412</v>
      </c>
      <c r="M291" s="149">
        <v>49288</v>
      </c>
      <c r="N291" s="149">
        <v>308700</v>
      </c>
      <c r="O291">
        <v>0</v>
      </c>
      <c r="P291">
        <v>0</v>
      </c>
      <c r="Q291">
        <v>0</v>
      </c>
      <c r="R291">
        <v>0</v>
      </c>
      <c r="S291">
        <v>0</v>
      </c>
      <c r="T291" t="s">
        <v>77</v>
      </c>
      <c r="U291">
        <v>0</v>
      </c>
      <c r="V291">
        <v>0</v>
      </c>
      <c r="W291">
        <v>0</v>
      </c>
      <c r="X291">
        <v>0</v>
      </c>
      <c r="Y291">
        <v>0</v>
      </c>
      <c r="AC291">
        <v>0</v>
      </c>
      <c r="AE291">
        <v>0</v>
      </c>
      <c r="AF291">
        <v>2</v>
      </c>
      <c r="AG291">
        <v>0</v>
      </c>
      <c r="AH291">
        <v>0</v>
      </c>
      <c r="AI291">
        <v>0</v>
      </c>
      <c r="AM291">
        <v>0</v>
      </c>
      <c r="AR291" t="s">
        <v>2214</v>
      </c>
      <c r="AS291" t="s">
        <v>1680</v>
      </c>
      <c r="AT291">
        <v>2024</v>
      </c>
      <c r="AU291">
        <v>10</v>
      </c>
      <c r="AV291" t="s">
        <v>78</v>
      </c>
      <c r="AX291" t="s">
        <v>2230</v>
      </c>
    </row>
    <row r="292" spans="1:50">
      <c r="A292">
        <v>17</v>
      </c>
      <c r="B292">
        <v>33</v>
      </c>
      <c r="C292" t="s">
        <v>74</v>
      </c>
      <c r="D292" t="s">
        <v>1581</v>
      </c>
      <c r="E292" t="s">
        <v>1582</v>
      </c>
      <c r="F292">
        <v>3347</v>
      </c>
      <c r="G292" s="23">
        <v>45575</v>
      </c>
      <c r="H292" s="2">
        <v>45545.483263888891</v>
      </c>
      <c r="I292" t="s">
        <v>2123</v>
      </c>
      <c r="K292" s="149">
        <v>0</v>
      </c>
      <c r="L292" s="149">
        <v>794340</v>
      </c>
      <c r="M292" s="149">
        <v>150925</v>
      </c>
      <c r="N292" s="149">
        <v>945265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77</v>
      </c>
      <c r="U292">
        <v>0</v>
      </c>
      <c r="V292">
        <v>0</v>
      </c>
      <c r="W292">
        <v>0</v>
      </c>
      <c r="X292">
        <v>0</v>
      </c>
      <c r="Y292">
        <v>0</v>
      </c>
      <c r="AC292">
        <v>0</v>
      </c>
      <c r="AE292">
        <v>0</v>
      </c>
      <c r="AF292">
        <v>2</v>
      </c>
      <c r="AG292">
        <v>0</v>
      </c>
      <c r="AH292">
        <v>0</v>
      </c>
      <c r="AI292">
        <v>0</v>
      </c>
      <c r="AM292">
        <v>0</v>
      </c>
      <c r="AR292" t="s">
        <v>2214</v>
      </c>
      <c r="AS292" t="s">
        <v>1680</v>
      </c>
      <c r="AT292">
        <v>2024</v>
      </c>
      <c r="AU292">
        <v>10</v>
      </c>
      <c r="AV292" t="s">
        <v>78</v>
      </c>
      <c r="AX292" t="s">
        <v>2231</v>
      </c>
    </row>
    <row r="293" spans="1:50">
      <c r="A293">
        <v>18</v>
      </c>
      <c r="B293">
        <v>33</v>
      </c>
      <c r="C293" t="s">
        <v>74</v>
      </c>
      <c r="D293" t="s">
        <v>1612</v>
      </c>
      <c r="E293" t="s">
        <v>1613</v>
      </c>
      <c r="F293">
        <v>3348</v>
      </c>
      <c r="G293" s="23">
        <v>45575</v>
      </c>
      <c r="H293" s="2">
        <v>45545.490937499999</v>
      </c>
      <c r="K293" s="149">
        <v>0</v>
      </c>
      <c r="L293" s="149">
        <v>345915</v>
      </c>
      <c r="M293" s="149">
        <v>65724</v>
      </c>
      <c r="N293" s="149">
        <v>411639</v>
      </c>
      <c r="O293">
        <v>0</v>
      </c>
      <c r="P293">
        <v>0</v>
      </c>
      <c r="Q293">
        <v>0</v>
      </c>
      <c r="R293">
        <v>0</v>
      </c>
      <c r="S293">
        <v>0</v>
      </c>
      <c r="T293" t="s">
        <v>77</v>
      </c>
      <c r="U293">
        <v>0</v>
      </c>
      <c r="V293">
        <v>0</v>
      </c>
      <c r="W293">
        <v>0</v>
      </c>
      <c r="X293">
        <v>0</v>
      </c>
      <c r="Y293">
        <v>0</v>
      </c>
      <c r="AC293">
        <v>0</v>
      </c>
      <c r="AE293">
        <v>0</v>
      </c>
      <c r="AF293">
        <v>2</v>
      </c>
      <c r="AG293">
        <v>0</v>
      </c>
      <c r="AH293">
        <v>0</v>
      </c>
      <c r="AI293">
        <v>0</v>
      </c>
      <c r="AM293">
        <v>0</v>
      </c>
      <c r="AR293" t="s">
        <v>2214</v>
      </c>
      <c r="AS293" t="s">
        <v>1680</v>
      </c>
      <c r="AT293">
        <v>2024</v>
      </c>
      <c r="AU293">
        <v>10</v>
      </c>
      <c r="AV293" t="s">
        <v>78</v>
      </c>
      <c r="AX293" t="s">
        <v>2232</v>
      </c>
    </row>
    <row r="294" spans="1:50">
      <c r="A294">
        <v>19</v>
      </c>
      <c r="B294">
        <v>33</v>
      </c>
      <c r="C294" t="s">
        <v>74</v>
      </c>
      <c r="D294" t="s">
        <v>1222</v>
      </c>
      <c r="E294" t="s">
        <v>1223</v>
      </c>
      <c r="F294">
        <v>3349</v>
      </c>
      <c r="G294" s="23">
        <v>45576</v>
      </c>
      <c r="H294" s="2">
        <v>45545.499155092592</v>
      </c>
      <c r="I294" s="2" t="s">
        <v>2124</v>
      </c>
      <c r="K294" s="149">
        <v>0</v>
      </c>
      <c r="L294" s="149">
        <v>2052400</v>
      </c>
      <c r="M294" s="149">
        <v>389956</v>
      </c>
      <c r="N294" s="149">
        <v>2442356</v>
      </c>
      <c r="O294">
        <v>0</v>
      </c>
      <c r="P294">
        <v>0</v>
      </c>
      <c r="Q294">
        <v>0</v>
      </c>
      <c r="R294">
        <v>0</v>
      </c>
      <c r="S294">
        <v>0</v>
      </c>
      <c r="T294" t="s">
        <v>77</v>
      </c>
      <c r="U294">
        <v>0</v>
      </c>
      <c r="V294">
        <v>0</v>
      </c>
      <c r="W294">
        <v>0</v>
      </c>
      <c r="X294">
        <v>0</v>
      </c>
      <c r="AC294">
        <v>0</v>
      </c>
      <c r="AE294">
        <v>0</v>
      </c>
      <c r="AF294">
        <v>2</v>
      </c>
      <c r="AG294">
        <v>0</v>
      </c>
      <c r="AH294">
        <v>0</v>
      </c>
      <c r="AI294">
        <v>0</v>
      </c>
      <c r="AM294">
        <v>0</v>
      </c>
      <c r="AR294" t="s">
        <v>2214</v>
      </c>
      <c r="AS294" t="s">
        <v>1680</v>
      </c>
      <c r="AT294">
        <v>2024</v>
      </c>
      <c r="AU294">
        <v>10</v>
      </c>
      <c r="AV294" t="s">
        <v>78</v>
      </c>
      <c r="AX294" t="s">
        <v>2233</v>
      </c>
    </row>
    <row r="295" spans="1:50">
      <c r="A295">
        <v>20</v>
      </c>
      <c r="B295">
        <v>33</v>
      </c>
      <c r="C295" t="s">
        <v>74</v>
      </c>
      <c r="D295" t="s">
        <v>1579</v>
      </c>
      <c r="E295" t="s">
        <v>1580</v>
      </c>
      <c r="F295">
        <v>3350</v>
      </c>
      <c r="G295" s="23" t="s">
        <v>808</v>
      </c>
      <c r="H295" s="2">
        <v>45575.717962962961</v>
      </c>
      <c r="K295" s="149">
        <v>0</v>
      </c>
      <c r="L295" s="149">
        <v>5433240</v>
      </c>
      <c r="M295" s="149">
        <v>1032315</v>
      </c>
      <c r="N295" s="149">
        <v>6465555</v>
      </c>
      <c r="O295">
        <v>0</v>
      </c>
      <c r="P295">
        <v>0</v>
      </c>
      <c r="Q295">
        <v>0</v>
      </c>
      <c r="R295">
        <v>0</v>
      </c>
      <c r="S295">
        <v>0</v>
      </c>
      <c r="T295" t="s">
        <v>77</v>
      </c>
      <c r="U295">
        <v>0</v>
      </c>
      <c r="V295">
        <v>0</v>
      </c>
      <c r="W295">
        <v>0</v>
      </c>
      <c r="X295">
        <v>0</v>
      </c>
      <c r="Y295">
        <v>0</v>
      </c>
      <c r="AC295">
        <v>0</v>
      </c>
      <c r="AE295">
        <v>0</v>
      </c>
      <c r="AF295">
        <v>2</v>
      </c>
      <c r="AG295">
        <v>0</v>
      </c>
      <c r="AH295">
        <v>0</v>
      </c>
      <c r="AI295">
        <v>0</v>
      </c>
      <c r="AM295">
        <v>0</v>
      </c>
      <c r="AR295" t="s">
        <v>2214</v>
      </c>
      <c r="AS295" t="s">
        <v>1680</v>
      </c>
      <c r="AT295">
        <v>2024</v>
      </c>
      <c r="AU295">
        <v>10</v>
      </c>
      <c r="AV295" t="s">
        <v>78</v>
      </c>
      <c r="AX295" t="s">
        <v>2234</v>
      </c>
    </row>
    <row r="296" spans="1:50">
      <c r="A296">
        <v>21</v>
      </c>
      <c r="B296">
        <v>33</v>
      </c>
      <c r="C296" t="s">
        <v>74</v>
      </c>
      <c r="D296" t="s">
        <v>1600</v>
      </c>
      <c r="E296" t="s">
        <v>1601</v>
      </c>
      <c r="F296">
        <v>3351</v>
      </c>
      <c r="G296" s="23" t="s">
        <v>808</v>
      </c>
      <c r="H296" s="2">
        <v>45575.746782407405</v>
      </c>
      <c r="K296" s="149">
        <v>10000</v>
      </c>
      <c r="L296" s="149">
        <v>20000</v>
      </c>
      <c r="M296" s="149">
        <v>3800</v>
      </c>
      <c r="N296" s="149">
        <v>33800</v>
      </c>
      <c r="O296">
        <v>0</v>
      </c>
      <c r="P296">
        <v>0</v>
      </c>
      <c r="Q296">
        <v>0</v>
      </c>
      <c r="R296">
        <v>0</v>
      </c>
      <c r="S296">
        <v>0</v>
      </c>
      <c r="T296" t="s">
        <v>77</v>
      </c>
      <c r="U296">
        <v>0</v>
      </c>
      <c r="V296">
        <v>0</v>
      </c>
      <c r="W296">
        <v>0</v>
      </c>
      <c r="X296">
        <v>0</v>
      </c>
      <c r="Y296">
        <v>0</v>
      </c>
      <c r="AC296">
        <v>0</v>
      </c>
      <c r="AE296">
        <v>0</v>
      </c>
      <c r="AF296">
        <v>2</v>
      </c>
      <c r="AG296">
        <v>0</v>
      </c>
      <c r="AH296">
        <v>0</v>
      </c>
      <c r="AI296">
        <v>0</v>
      </c>
      <c r="AM296">
        <v>0</v>
      </c>
      <c r="AR296" t="s">
        <v>2214</v>
      </c>
      <c r="AS296" t="s">
        <v>1680</v>
      </c>
      <c r="AT296">
        <v>2024</v>
      </c>
      <c r="AU296">
        <v>10</v>
      </c>
      <c r="AV296" t="s">
        <v>78</v>
      </c>
      <c r="AX296" t="s">
        <v>2235</v>
      </c>
    </row>
    <row r="297" spans="1:50">
      <c r="A297">
        <v>22</v>
      </c>
      <c r="B297">
        <v>33</v>
      </c>
      <c r="C297" t="s">
        <v>74</v>
      </c>
      <c r="D297" t="s">
        <v>1222</v>
      </c>
      <c r="E297" t="s">
        <v>1223</v>
      </c>
      <c r="F297">
        <v>3352</v>
      </c>
      <c r="G297" s="23" t="s">
        <v>810</v>
      </c>
      <c r="H297" s="2">
        <v>45606.704189814816</v>
      </c>
      <c r="K297" s="149">
        <v>0</v>
      </c>
      <c r="L297" s="149">
        <v>15790800</v>
      </c>
      <c r="M297" s="149">
        <v>3000252</v>
      </c>
      <c r="N297" s="149">
        <v>18791052</v>
      </c>
      <c r="O297">
        <v>0</v>
      </c>
      <c r="P297">
        <v>0</v>
      </c>
      <c r="Q297">
        <v>0</v>
      </c>
      <c r="R297">
        <v>0</v>
      </c>
      <c r="S297">
        <v>0</v>
      </c>
      <c r="T297" t="s">
        <v>77</v>
      </c>
      <c r="U297">
        <v>0</v>
      </c>
      <c r="V297">
        <v>0</v>
      </c>
      <c r="W297">
        <v>0</v>
      </c>
      <c r="X297">
        <v>0</v>
      </c>
      <c r="AC297">
        <v>0</v>
      </c>
      <c r="AE297">
        <v>0</v>
      </c>
      <c r="AF297">
        <v>2</v>
      </c>
      <c r="AG297">
        <v>0</v>
      </c>
      <c r="AH297">
        <v>0</v>
      </c>
      <c r="AI297">
        <v>0</v>
      </c>
      <c r="AM297">
        <v>0</v>
      </c>
      <c r="AR297" t="s">
        <v>2214</v>
      </c>
      <c r="AS297" t="s">
        <v>1680</v>
      </c>
      <c r="AT297">
        <v>2024</v>
      </c>
      <c r="AU297">
        <v>10</v>
      </c>
      <c r="AV297" t="s">
        <v>78</v>
      </c>
      <c r="AX297" t="s">
        <v>2236</v>
      </c>
    </row>
    <row r="298" spans="1:50">
      <c r="A298">
        <v>23</v>
      </c>
      <c r="B298">
        <v>33</v>
      </c>
      <c r="C298" t="s">
        <v>74</v>
      </c>
      <c r="D298" t="s">
        <v>1561</v>
      </c>
      <c r="E298" t="s">
        <v>1562</v>
      </c>
      <c r="F298">
        <v>3353</v>
      </c>
      <c r="G298" s="23" t="s">
        <v>809</v>
      </c>
      <c r="H298" s="2">
        <v>45606.728425925925</v>
      </c>
      <c r="K298" s="149">
        <v>0</v>
      </c>
      <c r="L298" s="149">
        <v>18621000</v>
      </c>
      <c r="M298" s="149">
        <v>3537990</v>
      </c>
      <c r="N298" s="149">
        <v>22158990</v>
      </c>
      <c r="O298">
        <v>0</v>
      </c>
      <c r="P298">
        <v>0</v>
      </c>
      <c r="Q298">
        <v>0</v>
      </c>
      <c r="R298">
        <v>0</v>
      </c>
      <c r="S298">
        <v>0</v>
      </c>
      <c r="T298" t="s">
        <v>77</v>
      </c>
      <c r="U298">
        <v>0</v>
      </c>
      <c r="V298">
        <v>0</v>
      </c>
      <c r="W298">
        <v>0</v>
      </c>
      <c r="X298">
        <v>0</v>
      </c>
      <c r="Y298">
        <v>0</v>
      </c>
      <c r="AC298">
        <v>0</v>
      </c>
      <c r="AE298">
        <v>0</v>
      </c>
      <c r="AF298">
        <v>2</v>
      </c>
      <c r="AG298">
        <v>0</v>
      </c>
      <c r="AH298">
        <v>0</v>
      </c>
      <c r="AI298">
        <v>0</v>
      </c>
      <c r="AM298">
        <v>0</v>
      </c>
      <c r="AR298" t="s">
        <v>2214</v>
      </c>
      <c r="AS298" t="s">
        <v>1680</v>
      </c>
      <c r="AT298">
        <v>2024</v>
      </c>
      <c r="AU298">
        <v>10</v>
      </c>
      <c r="AV298" t="s">
        <v>78</v>
      </c>
      <c r="AX298" t="s">
        <v>2237</v>
      </c>
    </row>
    <row r="299" spans="1:50">
      <c r="A299">
        <v>24</v>
      </c>
      <c r="B299">
        <v>33</v>
      </c>
      <c r="C299" t="s">
        <v>74</v>
      </c>
      <c r="D299" t="s">
        <v>1592</v>
      </c>
      <c r="E299" t="s">
        <v>1593</v>
      </c>
      <c r="F299">
        <v>3354</v>
      </c>
      <c r="G299" s="23" t="s">
        <v>809</v>
      </c>
      <c r="H299" s="2" t="s">
        <v>2125</v>
      </c>
      <c r="K299" s="149">
        <v>0</v>
      </c>
      <c r="L299" s="149">
        <v>202310</v>
      </c>
      <c r="M299" s="149">
        <v>38439</v>
      </c>
      <c r="N299" s="149">
        <v>240749</v>
      </c>
      <c r="O299">
        <v>0</v>
      </c>
      <c r="P299">
        <v>0</v>
      </c>
      <c r="Q299">
        <v>0</v>
      </c>
      <c r="R299">
        <v>0</v>
      </c>
      <c r="S299">
        <v>0</v>
      </c>
      <c r="T299" t="s">
        <v>77</v>
      </c>
      <c r="U299">
        <v>0</v>
      </c>
      <c r="V299">
        <v>0</v>
      </c>
      <c r="W299">
        <v>0</v>
      </c>
      <c r="X299">
        <v>0</v>
      </c>
      <c r="Y299">
        <v>0</v>
      </c>
      <c r="AC299">
        <v>0</v>
      </c>
      <c r="AE299">
        <v>0</v>
      </c>
      <c r="AF299">
        <v>2</v>
      </c>
      <c r="AG299">
        <v>0</v>
      </c>
      <c r="AH299">
        <v>0</v>
      </c>
      <c r="AI299">
        <v>0</v>
      </c>
      <c r="AM299">
        <v>0</v>
      </c>
      <c r="AR299" t="s">
        <v>2214</v>
      </c>
      <c r="AS299" t="s">
        <v>1680</v>
      </c>
      <c r="AT299">
        <v>2024</v>
      </c>
      <c r="AU299">
        <v>10</v>
      </c>
      <c r="AV299" t="s">
        <v>78</v>
      </c>
      <c r="AX299" t="s">
        <v>2238</v>
      </c>
    </row>
    <row r="300" spans="1:50">
      <c r="A300">
        <v>25</v>
      </c>
      <c r="B300">
        <v>33</v>
      </c>
      <c r="C300" t="s">
        <v>74</v>
      </c>
      <c r="D300" t="s">
        <v>1555</v>
      </c>
      <c r="E300" t="s">
        <v>1556</v>
      </c>
      <c r="F300">
        <v>3355</v>
      </c>
      <c r="G300" s="23" t="s">
        <v>809</v>
      </c>
      <c r="H300" s="2" t="s">
        <v>2126</v>
      </c>
      <c r="I300" s="2" t="s">
        <v>2127</v>
      </c>
      <c r="K300" s="149">
        <v>0</v>
      </c>
      <c r="L300" s="149">
        <v>3286900</v>
      </c>
      <c r="M300" s="149">
        <v>624511</v>
      </c>
      <c r="N300" s="149">
        <v>3911411</v>
      </c>
      <c r="O300">
        <v>0</v>
      </c>
      <c r="P300">
        <v>0</v>
      </c>
      <c r="Q300">
        <v>0</v>
      </c>
      <c r="R300">
        <v>0</v>
      </c>
      <c r="S300">
        <v>0</v>
      </c>
      <c r="T300" t="s">
        <v>77</v>
      </c>
      <c r="U300">
        <v>0</v>
      </c>
      <c r="V300">
        <v>0</v>
      </c>
      <c r="W300">
        <v>0</v>
      </c>
      <c r="X300">
        <v>0</v>
      </c>
      <c r="AC300">
        <v>0</v>
      </c>
      <c r="AE300">
        <v>0</v>
      </c>
      <c r="AF300">
        <v>2</v>
      </c>
      <c r="AG300">
        <v>0</v>
      </c>
      <c r="AH300">
        <v>0</v>
      </c>
      <c r="AI300">
        <v>0</v>
      </c>
      <c r="AM300">
        <v>0</v>
      </c>
      <c r="AR300" t="s">
        <v>2214</v>
      </c>
      <c r="AS300" t="s">
        <v>1680</v>
      </c>
      <c r="AT300">
        <v>2024</v>
      </c>
      <c r="AU300">
        <v>10</v>
      </c>
      <c r="AV300" t="s">
        <v>78</v>
      </c>
      <c r="AX300" t="s">
        <v>2239</v>
      </c>
    </row>
    <row r="301" spans="1:50">
      <c r="A301">
        <v>26</v>
      </c>
      <c r="B301">
        <v>33</v>
      </c>
      <c r="C301" t="s">
        <v>74</v>
      </c>
      <c r="D301" t="s">
        <v>1597</v>
      </c>
      <c r="E301" t="s">
        <v>1598</v>
      </c>
      <c r="F301">
        <v>3356</v>
      </c>
      <c r="G301" s="23" t="s">
        <v>809</v>
      </c>
      <c r="H301" s="2" t="s">
        <v>2128</v>
      </c>
      <c r="I301" s="2" t="s">
        <v>2129</v>
      </c>
      <c r="K301" s="149">
        <v>0</v>
      </c>
      <c r="L301" s="149">
        <v>219840</v>
      </c>
      <c r="M301" s="149">
        <v>41768</v>
      </c>
      <c r="N301" s="149">
        <v>261608</v>
      </c>
      <c r="O301">
        <v>0</v>
      </c>
      <c r="P301">
        <v>0</v>
      </c>
      <c r="Q301">
        <v>0</v>
      </c>
      <c r="R301">
        <v>0</v>
      </c>
      <c r="S301">
        <v>0</v>
      </c>
      <c r="T301" t="s">
        <v>77</v>
      </c>
      <c r="U301">
        <v>0</v>
      </c>
      <c r="V301">
        <v>0</v>
      </c>
      <c r="W301">
        <v>0</v>
      </c>
      <c r="X301">
        <v>0</v>
      </c>
      <c r="Y301">
        <v>0</v>
      </c>
      <c r="AC301">
        <v>0</v>
      </c>
      <c r="AE301">
        <v>0</v>
      </c>
      <c r="AF301">
        <v>2</v>
      </c>
      <c r="AG301">
        <v>0</v>
      </c>
      <c r="AH301">
        <v>0</v>
      </c>
      <c r="AI301">
        <v>0</v>
      </c>
      <c r="AM301">
        <v>0</v>
      </c>
      <c r="AR301" t="s">
        <v>2214</v>
      </c>
      <c r="AS301" t="s">
        <v>1680</v>
      </c>
      <c r="AT301">
        <v>2024</v>
      </c>
      <c r="AU301">
        <v>10</v>
      </c>
      <c r="AV301" t="s">
        <v>78</v>
      </c>
      <c r="AX301" t="s">
        <v>2240</v>
      </c>
    </row>
    <row r="302" spans="1:50">
      <c r="A302">
        <v>27</v>
      </c>
      <c r="B302">
        <v>33</v>
      </c>
      <c r="C302" t="s">
        <v>74</v>
      </c>
      <c r="D302" t="s">
        <v>1988</v>
      </c>
      <c r="E302" t="s">
        <v>1989</v>
      </c>
      <c r="F302">
        <v>3357</v>
      </c>
      <c r="G302" s="23" t="s">
        <v>810</v>
      </c>
      <c r="H302" s="2" t="s">
        <v>2130</v>
      </c>
      <c r="I302" t="s">
        <v>2131</v>
      </c>
      <c r="K302" s="149">
        <v>0</v>
      </c>
      <c r="L302" s="149">
        <v>628350</v>
      </c>
      <c r="M302" s="149">
        <v>119387</v>
      </c>
      <c r="N302" s="149">
        <v>747737</v>
      </c>
      <c r="O302">
        <v>0</v>
      </c>
      <c r="P302">
        <v>0</v>
      </c>
      <c r="Q302">
        <v>0</v>
      </c>
      <c r="R302">
        <v>0</v>
      </c>
      <c r="S302">
        <v>0</v>
      </c>
      <c r="T302" t="s">
        <v>77</v>
      </c>
      <c r="U302">
        <v>0</v>
      </c>
      <c r="V302">
        <v>0</v>
      </c>
      <c r="W302">
        <v>0</v>
      </c>
      <c r="X302">
        <v>0</v>
      </c>
      <c r="AC302">
        <v>0</v>
      </c>
      <c r="AE302">
        <v>0</v>
      </c>
      <c r="AF302">
        <v>2</v>
      </c>
      <c r="AG302">
        <v>0</v>
      </c>
      <c r="AH302">
        <v>0</v>
      </c>
      <c r="AI302">
        <v>0</v>
      </c>
      <c r="AM302">
        <v>0</v>
      </c>
      <c r="AR302" t="s">
        <v>2214</v>
      </c>
      <c r="AS302" t="s">
        <v>1680</v>
      </c>
      <c r="AT302">
        <v>2024</v>
      </c>
      <c r="AU302">
        <v>10</v>
      </c>
      <c r="AV302" t="s">
        <v>78</v>
      </c>
      <c r="AX302" t="s">
        <v>2241</v>
      </c>
    </row>
    <row r="303" spans="1:50">
      <c r="A303">
        <v>28</v>
      </c>
      <c r="B303">
        <v>33</v>
      </c>
      <c r="C303" t="s">
        <v>74</v>
      </c>
      <c r="D303" t="s">
        <v>1222</v>
      </c>
      <c r="E303" t="s">
        <v>1223</v>
      </c>
      <c r="F303">
        <v>3358</v>
      </c>
      <c r="G303" s="23" t="s">
        <v>808</v>
      </c>
      <c r="H303" s="2" t="s">
        <v>2132</v>
      </c>
      <c r="I303" t="s">
        <v>2133</v>
      </c>
      <c r="K303" s="149">
        <v>0</v>
      </c>
      <c r="L303" s="149">
        <v>380000</v>
      </c>
      <c r="M303" s="149">
        <v>72200</v>
      </c>
      <c r="N303" s="149">
        <v>452200</v>
      </c>
      <c r="O303">
        <v>0</v>
      </c>
      <c r="P303">
        <v>0</v>
      </c>
      <c r="Q303">
        <v>0</v>
      </c>
      <c r="R303">
        <v>0</v>
      </c>
      <c r="S303">
        <v>0</v>
      </c>
      <c r="T303" t="s">
        <v>77</v>
      </c>
      <c r="U303">
        <v>0</v>
      </c>
      <c r="V303">
        <v>0</v>
      </c>
      <c r="W303">
        <v>0</v>
      </c>
      <c r="X303">
        <v>0</v>
      </c>
      <c r="AC303">
        <v>0</v>
      </c>
      <c r="AE303">
        <v>0</v>
      </c>
      <c r="AF303">
        <v>2</v>
      </c>
      <c r="AG303">
        <v>0</v>
      </c>
      <c r="AH303">
        <v>0</v>
      </c>
      <c r="AI303">
        <v>0</v>
      </c>
      <c r="AM303">
        <v>0</v>
      </c>
      <c r="AR303" t="s">
        <v>2214</v>
      </c>
      <c r="AS303" t="s">
        <v>1680</v>
      </c>
      <c r="AT303">
        <v>2024</v>
      </c>
      <c r="AU303">
        <v>10</v>
      </c>
      <c r="AV303" t="s">
        <v>78</v>
      </c>
      <c r="AX303" t="s">
        <v>2242</v>
      </c>
    </row>
    <row r="304" spans="1:50">
      <c r="A304">
        <v>29</v>
      </c>
      <c r="B304">
        <v>33</v>
      </c>
      <c r="C304" t="s">
        <v>74</v>
      </c>
      <c r="D304" t="s">
        <v>1222</v>
      </c>
      <c r="E304" t="s">
        <v>1223</v>
      </c>
      <c r="F304">
        <v>3359</v>
      </c>
      <c r="G304" s="23" t="s">
        <v>811</v>
      </c>
      <c r="H304" s="2" t="s">
        <v>2134</v>
      </c>
      <c r="I304" t="s">
        <v>2133</v>
      </c>
      <c r="K304" s="149">
        <v>0</v>
      </c>
      <c r="L304" s="149">
        <v>1840425</v>
      </c>
      <c r="M304" s="149">
        <v>349681</v>
      </c>
      <c r="N304" s="149">
        <v>2190106</v>
      </c>
      <c r="O304">
        <v>0</v>
      </c>
      <c r="P304">
        <v>0</v>
      </c>
      <c r="Q304">
        <v>0</v>
      </c>
      <c r="R304">
        <v>0</v>
      </c>
      <c r="S304">
        <v>0</v>
      </c>
      <c r="T304" t="s">
        <v>77</v>
      </c>
      <c r="U304">
        <v>0</v>
      </c>
      <c r="V304">
        <v>0</v>
      </c>
      <c r="W304">
        <v>0</v>
      </c>
      <c r="X304">
        <v>0</v>
      </c>
      <c r="AC304">
        <v>0</v>
      </c>
      <c r="AE304">
        <v>0</v>
      </c>
      <c r="AF304">
        <v>2</v>
      </c>
      <c r="AG304">
        <v>0</v>
      </c>
      <c r="AH304">
        <v>0</v>
      </c>
      <c r="AI304">
        <v>0</v>
      </c>
      <c r="AM304">
        <v>0</v>
      </c>
      <c r="AR304" t="s">
        <v>2214</v>
      </c>
      <c r="AS304" t="s">
        <v>1680</v>
      </c>
      <c r="AT304">
        <v>2024</v>
      </c>
      <c r="AU304">
        <v>10</v>
      </c>
      <c r="AV304" t="s">
        <v>78</v>
      </c>
      <c r="AX304" t="s">
        <v>2243</v>
      </c>
    </row>
    <row r="305" spans="1:50">
      <c r="A305">
        <v>30</v>
      </c>
      <c r="B305">
        <v>33</v>
      </c>
      <c r="C305" t="s">
        <v>74</v>
      </c>
      <c r="D305" t="s">
        <v>1561</v>
      </c>
      <c r="E305" t="s">
        <v>1562</v>
      </c>
      <c r="F305">
        <v>3360</v>
      </c>
      <c r="G305" s="23" t="s">
        <v>811</v>
      </c>
      <c r="H305" s="2" t="s">
        <v>2135</v>
      </c>
      <c r="I305" s="2"/>
      <c r="K305" s="149">
        <v>0</v>
      </c>
      <c r="L305" s="149">
        <v>14986500</v>
      </c>
      <c r="M305" s="149">
        <v>2847435</v>
      </c>
      <c r="N305" s="149">
        <v>17833935</v>
      </c>
      <c r="O305">
        <v>0</v>
      </c>
      <c r="P305">
        <v>0</v>
      </c>
      <c r="Q305">
        <v>0</v>
      </c>
      <c r="R305">
        <v>0</v>
      </c>
      <c r="S305">
        <v>0</v>
      </c>
      <c r="T305" t="s">
        <v>77</v>
      </c>
      <c r="U305">
        <v>0</v>
      </c>
      <c r="V305">
        <v>0</v>
      </c>
      <c r="W305">
        <v>0</v>
      </c>
      <c r="X305">
        <v>0</v>
      </c>
      <c r="Y305">
        <v>0</v>
      </c>
      <c r="AC305">
        <v>0</v>
      </c>
      <c r="AE305">
        <v>0</v>
      </c>
      <c r="AF305">
        <v>2</v>
      </c>
      <c r="AG305">
        <v>0</v>
      </c>
      <c r="AH305">
        <v>0</v>
      </c>
      <c r="AI305">
        <v>0</v>
      </c>
      <c r="AM305">
        <v>0</v>
      </c>
      <c r="AR305" t="s">
        <v>2214</v>
      </c>
      <c r="AS305" t="s">
        <v>1680</v>
      </c>
      <c r="AT305">
        <v>2024</v>
      </c>
      <c r="AU305">
        <v>10</v>
      </c>
      <c r="AV305" t="s">
        <v>78</v>
      </c>
      <c r="AX305" t="s">
        <v>2244</v>
      </c>
    </row>
    <row r="306" spans="1:50">
      <c r="A306">
        <v>31</v>
      </c>
      <c r="B306">
        <v>33</v>
      </c>
      <c r="C306" t="s">
        <v>74</v>
      </c>
      <c r="D306" t="s">
        <v>1353</v>
      </c>
      <c r="E306" t="s">
        <v>1354</v>
      </c>
      <c r="F306">
        <v>3361</v>
      </c>
      <c r="G306" s="23" t="s">
        <v>810</v>
      </c>
      <c r="H306" t="s">
        <v>2136</v>
      </c>
      <c r="I306" t="s">
        <v>2137</v>
      </c>
      <c r="K306" s="149">
        <v>0</v>
      </c>
      <c r="L306" s="149">
        <v>3867683</v>
      </c>
      <c r="M306" s="149">
        <v>734859</v>
      </c>
      <c r="N306" s="149">
        <v>4602542</v>
      </c>
      <c r="O306">
        <v>0</v>
      </c>
      <c r="P306">
        <v>0</v>
      </c>
      <c r="Q306">
        <v>0</v>
      </c>
      <c r="R306">
        <v>0</v>
      </c>
      <c r="S306">
        <v>0</v>
      </c>
      <c r="T306" t="s">
        <v>77</v>
      </c>
      <c r="U306">
        <v>0</v>
      </c>
      <c r="V306">
        <v>0</v>
      </c>
      <c r="W306">
        <v>0</v>
      </c>
      <c r="X306">
        <v>0</v>
      </c>
      <c r="Y306">
        <v>0</v>
      </c>
      <c r="AC306">
        <v>0</v>
      </c>
      <c r="AE306">
        <v>0</v>
      </c>
      <c r="AF306">
        <v>2</v>
      </c>
      <c r="AG306">
        <v>0</v>
      </c>
      <c r="AH306">
        <v>0</v>
      </c>
      <c r="AI306">
        <v>0</v>
      </c>
      <c r="AM306">
        <v>0</v>
      </c>
      <c r="AR306" t="s">
        <v>2214</v>
      </c>
      <c r="AS306" t="s">
        <v>1680</v>
      </c>
      <c r="AT306">
        <v>2024</v>
      </c>
      <c r="AU306">
        <v>10</v>
      </c>
      <c r="AV306" t="s">
        <v>78</v>
      </c>
      <c r="AX306" t="s">
        <v>2245</v>
      </c>
    </row>
    <row r="307" spans="1:50">
      <c r="A307">
        <v>32</v>
      </c>
      <c r="B307">
        <v>33</v>
      </c>
      <c r="C307" t="s">
        <v>74</v>
      </c>
      <c r="D307" t="s">
        <v>1569</v>
      </c>
      <c r="E307" t="s">
        <v>1570</v>
      </c>
      <c r="F307">
        <v>3362</v>
      </c>
      <c r="G307" s="23" t="s">
        <v>811</v>
      </c>
      <c r="H307" t="s">
        <v>2138</v>
      </c>
      <c r="I307" t="s">
        <v>2139</v>
      </c>
      <c r="K307" s="149">
        <v>0</v>
      </c>
      <c r="L307" s="149">
        <v>301740</v>
      </c>
      <c r="M307" s="149">
        <v>57331</v>
      </c>
      <c r="N307" s="149">
        <v>359071</v>
      </c>
      <c r="O307">
        <v>0</v>
      </c>
      <c r="P307">
        <v>0</v>
      </c>
      <c r="Q307">
        <v>0</v>
      </c>
      <c r="R307">
        <v>0</v>
      </c>
      <c r="S307">
        <v>0</v>
      </c>
      <c r="T307" t="s">
        <v>77</v>
      </c>
      <c r="U307">
        <v>0</v>
      </c>
      <c r="V307">
        <v>0</v>
      </c>
      <c r="W307">
        <v>0</v>
      </c>
      <c r="X307">
        <v>0</v>
      </c>
      <c r="Y307">
        <v>0</v>
      </c>
      <c r="AC307">
        <v>0</v>
      </c>
      <c r="AE307">
        <v>0</v>
      </c>
      <c r="AF307">
        <v>2</v>
      </c>
      <c r="AG307">
        <v>0</v>
      </c>
      <c r="AH307">
        <v>0</v>
      </c>
      <c r="AI307">
        <v>0</v>
      </c>
      <c r="AM307">
        <v>0</v>
      </c>
      <c r="AR307" t="s">
        <v>2214</v>
      </c>
      <c r="AS307" t="s">
        <v>1680</v>
      </c>
      <c r="AT307">
        <v>2024</v>
      </c>
      <c r="AU307">
        <v>10</v>
      </c>
      <c r="AV307" t="s">
        <v>78</v>
      </c>
      <c r="AX307" t="s">
        <v>2246</v>
      </c>
    </row>
    <row r="308" spans="1:50">
      <c r="A308">
        <v>33</v>
      </c>
      <c r="B308">
        <v>33</v>
      </c>
      <c r="C308" t="s">
        <v>74</v>
      </c>
      <c r="D308" t="s">
        <v>2140</v>
      </c>
      <c r="E308" t="s">
        <v>2141</v>
      </c>
      <c r="F308">
        <v>3363</v>
      </c>
      <c r="G308" s="23" t="s">
        <v>811</v>
      </c>
      <c r="H308" s="2" t="s">
        <v>2142</v>
      </c>
      <c r="K308" s="149">
        <v>0</v>
      </c>
      <c r="L308" s="149">
        <v>224150</v>
      </c>
      <c r="M308" s="149">
        <v>42589</v>
      </c>
      <c r="N308" s="149">
        <v>266739</v>
      </c>
      <c r="O308">
        <v>0</v>
      </c>
      <c r="P308">
        <v>0</v>
      </c>
      <c r="Q308">
        <v>0</v>
      </c>
      <c r="R308">
        <v>0</v>
      </c>
      <c r="S308">
        <v>0</v>
      </c>
      <c r="T308" t="s">
        <v>77</v>
      </c>
      <c r="U308">
        <v>0</v>
      </c>
      <c r="V308">
        <v>0</v>
      </c>
      <c r="W308">
        <v>0</v>
      </c>
      <c r="X308">
        <v>0</v>
      </c>
      <c r="Y308">
        <v>0</v>
      </c>
      <c r="AC308">
        <v>0</v>
      </c>
      <c r="AE308">
        <v>0</v>
      </c>
      <c r="AF308">
        <v>2</v>
      </c>
      <c r="AG308">
        <v>0</v>
      </c>
      <c r="AH308">
        <v>0</v>
      </c>
      <c r="AI308">
        <v>0</v>
      </c>
      <c r="AM308">
        <v>0</v>
      </c>
      <c r="AR308" t="s">
        <v>2214</v>
      </c>
      <c r="AS308" t="s">
        <v>1680</v>
      </c>
      <c r="AT308">
        <v>2024</v>
      </c>
      <c r="AU308">
        <v>10</v>
      </c>
      <c r="AV308" t="s">
        <v>78</v>
      </c>
      <c r="AX308" t="s">
        <v>2247</v>
      </c>
    </row>
    <row r="309" spans="1:50">
      <c r="A309">
        <v>34</v>
      </c>
      <c r="B309">
        <v>33</v>
      </c>
      <c r="C309" t="s">
        <v>74</v>
      </c>
      <c r="D309" t="s">
        <v>1222</v>
      </c>
      <c r="E309" t="s">
        <v>1223</v>
      </c>
      <c r="F309">
        <v>3364</v>
      </c>
      <c r="G309" s="23" t="s">
        <v>812</v>
      </c>
      <c r="H309" t="s">
        <v>2143</v>
      </c>
      <c r="I309" t="s">
        <v>2133</v>
      </c>
      <c r="K309" s="149">
        <v>0</v>
      </c>
      <c r="L309" s="149">
        <v>7125000</v>
      </c>
      <c r="M309" s="149">
        <v>1353750</v>
      </c>
      <c r="N309" s="149">
        <v>8478750</v>
      </c>
      <c r="O309">
        <v>0</v>
      </c>
      <c r="P309">
        <v>0</v>
      </c>
      <c r="Q309">
        <v>0</v>
      </c>
      <c r="R309">
        <v>0</v>
      </c>
      <c r="S309">
        <v>0</v>
      </c>
      <c r="T309" t="s">
        <v>77</v>
      </c>
      <c r="U309">
        <v>0</v>
      </c>
      <c r="V309">
        <v>0</v>
      </c>
      <c r="W309">
        <v>0</v>
      </c>
      <c r="X309">
        <v>0</v>
      </c>
      <c r="AC309">
        <v>0</v>
      </c>
      <c r="AE309">
        <v>0</v>
      </c>
      <c r="AF309">
        <v>2</v>
      </c>
      <c r="AG309">
        <v>0</v>
      </c>
      <c r="AH309">
        <v>0</v>
      </c>
      <c r="AI309">
        <v>0</v>
      </c>
      <c r="AM309">
        <v>0</v>
      </c>
      <c r="AR309" t="s">
        <v>2214</v>
      </c>
      <c r="AS309" t="s">
        <v>1680</v>
      </c>
      <c r="AT309">
        <v>2024</v>
      </c>
      <c r="AU309">
        <v>10</v>
      </c>
      <c r="AV309" t="s">
        <v>78</v>
      </c>
      <c r="AX309" t="s">
        <v>2248</v>
      </c>
    </row>
    <row r="310" spans="1:50">
      <c r="A310">
        <v>35</v>
      </c>
      <c r="B310">
        <v>33</v>
      </c>
      <c r="C310" t="s">
        <v>74</v>
      </c>
      <c r="D310" t="s">
        <v>1600</v>
      </c>
      <c r="E310" t="s">
        <v>1601</v>
      </c>
      <c r="F310">
        <v>3365</v>
      </c>
      <c r="G310" s="23" t="s">
        <v>811</v>
      </c>
      <c r="H310" t="s">
        <v>2144</v>
      </c>
      <c r="K310" s="149">
        <v>0</v>
      </c>
      <c r="L310" s="149">
        <v>34169</v>
      </c>
      <c r="M310" s="149">
        <v>6492</v>
      </c>
      <c r="N310" s="149">
        <v>40661</v>
      </c>
      <c r="O310">
        <v>0</v>
      </c>
      <c r="P310">
        <v>0</v>
      </c>
      <c r="Q310">
        <v>0</v>
      </c>
      <c r="R310">
        <v>0</v>
      </c>
      <c r="S310">
        <v>0</v>
      </c>
      <c r="T310" t="s">
        <v>77</v>
      </c>
      <c r="U310">
        <v>0</v>
      </c>
      <c r="V310">
        <v>0</v>
      </c>
      <c r="W310">
        <v>0</v>
      </c>
      <c r="X310">
        <v>0</v>
      </c>
      <c r="Y310">
        <v>0</v>
      </c>
      <c r="AC310">
        <v>0</v>
      </c>
      <c r="AE310">
        <v>0</v>
      </c>
      <c r="AF310">
        <v>2</v>
      </c>
      <c r="AG310">
        <v>0</v>
      </c>
      <c r="AH310">
        <v>0</v>
      </c>
      <c r="AI310">
        <v>0</v>
      </c>
      <c r="AM310">
        <v>0</v>
      </c>
      <c r="AR310" t="s">
        <v>2214</v>
      </c>
      <c r="AS310" t="s">
        <v>1680</v>
      </c>
      <c r="AT310">
        <v>2024</v>
      </c>
      <c r="AU310">
        <v>10</v>
      </c>
      <c r="AV310" t="s">
        <v>78</v>
      </c>
      <c r="AX310" t="s">
        <v>2249</v>
      </c>
    </row>
    <row r="311" spans="1:50">
      <c r="A311">
        <v>36</v>
      </c>
      <c r="B311">
        <v>33</v>
      </c>
      <c r="C311" t="s">
        <v>74</v>
      </c>
      <c r="D311" t="s">
        <v>1581</v>
      </c>
      <c r="E311" t="s">
        <v>1582</v>
      </c>
      <c r="F311">
        <v>3366</v>
      </c>
      <c r="G311" s="23" t="s">
        <v>813</v>
      </c>
      <c r="H311" t="s">
        <v>2145</v>
      </c>
      <c r="I311" t="s">
        <v>2146</v>
      </c>
      <c r="K311" s="149">
        <v>0</v>
      </c>
      <c r="L311" s="149">
        <v>1488035</v>
      </c>
      <c r="M311" s="149">
        <v>282727</v>
      </c>
      <c r="N311" s="149">
        <v>1770762</v>
      </c>
      <c r="O311">
        <v>0</v>
      </c>
      <c r="P311">
        <v>0</v>
      </c>
      <c r="Q311">
        <v>0</v>
      </c>
      <c r="R311">
        <v>0</v>
      </c>
      <c r="S311">
        <v>0</v>
      </c>
      <c r="T311" t="s">
        <v>77</v>
      </c>
      <c r="U311">
        <v>0</v>
      </c>
      <c r="V311">
        <v>0</v>
      </c>
      <c r="W311">
        <v>0</v>
      </c>
      <c r="X311">
        <v>0</v>
      </c>
      <c r="Y311">
        <v>0</v>
      </c>
      <c r="AC311">
        <v>0</v>
      </c>
      <c r="AE311">
        <v>0</v>
      </c>
      <c r="AF311">
        <v>2</v>
      </c>
      <c r="AG311">
        <v>0</v>
      </c>
      <c r="AH311">
        <v>0</v>
      </c>
      <c r="AI311">
        <v>0</v>
      </c>
      <c r="AM311">
        <v>0</v>
      </c>
      <c r="AR311" t="s">
        <v>2214</v>
      </c>
      <c r="AS311" t="s">
        <v>1680</v>
      </c>
      <c r="AT311">
        <v>2024</v>
      </c>
      <c r="AU311">
        <v>10</v>
      </c>
      <c r="AV311" t="s">
        <v>78</v>
      </c>
      <c r="AX311" t="s">
        <v>2250</v>
      </c>
    </row>
    <row r="312" spans="1:50">
      <c r="A312">
        <v>37</v>
      </c>
      <c r="B312">
        <v>33</v>
      </c>
      <c r="C312" t="s">
        <v>74</v>
      </c>
      <c r="D312" t="s">
        <v>1579</v>
      </c>
      <c r="E312" t="s">
        <v>1580</v>
      </c>
      <c r="F312">
        <v>3367</v>
      </c>
      <c r="G312" s="23" t="s">
        <v>813</v>
      </c>
      <c r="H312" t="s">
        <v>2147</v>
      </c>
      <c r="I312" t="s">
        <v>2148</v>
      </c>
      <c r="K312" s="149">
        <v>0</v>
      </c>
      <c r="L312" s="149">
        <v>15409340</v>
      </c>
      <c r="M312" s="149">
        <v>2927775</v>
      </c>
      <c r="N312" s="149">
        <v>18337115</v>
      </c>
      <c r="O312">
        <v>0</v>
      </c>
      <c r="P312">
        <v>0</v>
      </c>
      <c r="Q312">
        <v>0</v>
      </c>
      <c r="R312">
        <v>0</v>
      </c>
      <c r="S312">
        <v>0</v>
      </c>
      <c r="T312" t="s">
        <v>77</v>
      </c>
      <c r="U312">
        <v>0</v>
      </c>
      <c r="V312">
        <v>0</v>
      </c>
      <c r="W312">
        <v>0</v>
      </c>
      <c r="X312">
        <v>0</v>
      </c>
      <c r="Y312">
        <v>0</v>
      </c>
      <c r="AC312">
        <v>0</v>
      </c>
      <c r="AE312">
        <v>0</v>
      </c>
      <c r="AF312">
        <v>2</v>
      </c>
      <c r="AG312">
        <v>0</v>
      </c>
      <c r="AH312">
        <v>0</v>
      </c>
      <c r="AI312">
        <v>0</v>
      </c>
      <c r="AM312">
        <v>0</v>
      </c>
      <c r="AR312" t="s">
        <v>2214</v>
      </c>
      <c r="AS312" t="s">
        <v>1680</v>
      </c>
      <c r="AT312">
        <v>2024</v>
      </c>
      <c r="AU312">
        <v>10</v>
      </c>
      <c r="AV312" t="s">
        <v>78</v>
      </c>
      <c r="AX312" t="s">
        <v>2251</v>
      </c>
    </row>
    <row r="313" spans="1:50">
      <c r="A313">
        <v>38</v>
      </c>
      <c r="B313">
        <v>33</v>
      </c>
      <c r="C313" t="s">
        <v>74</v>
      </c>
      <c r="D313" t="s">
        <v>1579</v>
      </c>
      <c r="E313" t="s">
        <v>1580</v>
      </c>
      <c r="F313">
        <v>3368</v>
      </c>
      <c r="G313" s="23" t="s">
        <v>813</v>
      </c>
      <c r="H313" t="s">
        <v>2149</v>
      </c>
      <c r="I313" t="s">
        <v>2150</v>
      </c>
      <c r="K313" s="149">
        <v>0</v>
      </c>
      <c r="L313" s="149">
        <v>3456000</v>
      </c>
      <c r="M313" s="149">
        <v>656640</v>
      </c>
      <c r="N313" s="149">
        <v>4112640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77</v>
      </c>
      <c r="U313">
        <v>0</v>
      </c>
      <c r="V313">
        <v>0</v>
      </c>
      <c r="W313">
        <v>0</v>
      </c>
      <c r="X313">
        <v>0</v>
      </c>
      <c r="Y313">
        <v>0</v>
      </c>
      <c r="AC313">
        <v>0</v>
      </c>
      <c r="AE313">
        <v>0</v>
      </c>
      <c r="AF313">
        <v>2</v>
      </c>
      <c r="AG313">
        <v>0</v>
      </c>
      <c r="AH313">
        <v>0</v>
      </c>
      <c r="AI313">
        <v>0</v>
      </c>
      <c r="AM313">
        <v>0</v>
      </c>
      <c r="AR313" t="s">
        <v>2214</v>
      </c>
      <c r="AS313" t="s">
        <v>1680</v>
      </c>
      <c r="AT313">
        <v>2024</v>
      </c>
      <c r="AU313">
        <v>10</v>
      </c>
      <c r="AV313" t="s">
        <v>78</v>
      </c>
      <c r="AX313" t="s">
        <v>2252</v>
      </c>
    </row>
    <row r="314" spans="1:50">
      <c r="A314">
        <v>39</v>
      </c>
      <c r="B314">
        <v>33</v>
      </c>
      <c r="C314" t="s">
        <v>74</v>
      </c>
      <c r="D314" t="s">
        <v>1579</v>
      </c>
      <c r="E314" t="s">
        <v>1580</v>
      </c>
      <c r="F314">
        <v>3369</v>
      </c>
      <c r="G314" s="23" t="s">
        <v>813</v>
      </c>
      <c r="H314" s="2" t="s">
        <v>2151</v>
      </c>
      <c r="I314" t="s">
        <v>2148</v>
      </c>
      <c r="K314" s="149">
        <v>0</v>
      </c>
      <c r="L314" s="149">
        <v>3456000</v>
      </c>
      <c r="M314" s="149">
        <v>656640</v>
      </c>
      <c r="N314" s="149">
        <v>4112640</v>
      </c>
      <c r="O314">
        <v>0</v>
      </c>
      <c r="P314">
        <v>0</v>
      </c>
      <c r="Q314">
        <v>0</v>
      </c>
      <c r="R314">
        <v>0</v>
      </c>
      <c r="S314">
        <v>0</v>
      </c>
      <c r="T314" t="s">
        <v>77</v>
      </c>
      <c r="U314">
        <v>0</v>
      </c>
      <c r="V314">
        <v>0</v>
      </c>
      <c r="W314">
        <v>0</v>
      </c>
      <c r="X314">
        <v>0</v>
      </c>
      <c r="Y314">
        <v>0</v>
      </c>
      <c r="AC314">
        <v>0</v>
      </c>
      <c r="AE314">
        <v>0</v>
      </c>
      <c r="AF314">
        <v>2</v>
      </c>
      <c r="AG314">
        <v>0</v>
      </c>
      <c r="AH314">
        <v>0</v>
      </c>
      <c r="AI314">
        <v>0</v>
      </c>
      <c r="AM314">
        <v>0</v>
      </c>
      <c r="AR314" t="s">
        <v>2214</v>
      </c>
      <c r="AS314" t="s">
        <v>1680</v>
      </c>
      <c r="AT314">
        <v>2024</v>
      </c>
      <c r="AU314">
        <v>10</v>
      </c>
      <c r="AV314" t="s">
        <v>78</v>
      </c>
      <c r="AX314" t="s">
        <v>2253</v>
      </c>
    </row>
    <row r="315" spans="1:50">
      <c r="A315">
        <v>40</v>
      </c>
      <c r="B315">
        <v>33</v>
      </c>
      <c r="C315" t="s">
        <v>74</v>
      </c>
      <c r="D315" t="s">
        <v>1579</v>
      </c>
      <c r="E315" t="s">
        <v>1580</v>
      </c>
      <c r="F315">
        <v>3370</v>
      </c>
      <c r="G315" s="23" t="s">
        <v>813</v>
      </c>
      <c r="H315" s="2" t="s">
        <v>2152</v>
      </c>
      <c r="I315" t="s">
        <v>2153</v>
      </c>
      <c r="K315" s="149">
        <v>0</v>
      </c>
      <c r="L315" s="149">
        <v>3456000</v>
      </c>
      <c r="M315" s="149">
        <v>656640</v>
      </c>
      <c r="N315" s="149">
        <v>4112640</v>
      </c>
      <c r="O315">
        <v>0</v>
      </c>
      <c r="P315">
        <v>0</v>
      </c>
      <c r="Q315">
        <v>0</v>
      </c>
      <c r="R315">
        <v>0</v>
      </c>
      <c r="S315">
        <v>0</v>
      </c>
      <c r="T315" t="s">
        <v>77</v>
      </c>
      <c r="U315">
        <v>0</v>
      </c>
      <c r="V315">
        <v>0</v>
      </c>
      <c r="W315">
        <v>0</v>
      </c>
      <c r="X315">
        <v>0</v>
      </c>
      <c r="Y315">
        <v>0</v>
      </c>
      <c r="AC315">
        <v>0</v>
      </c>
      <c r="AE315">
        <v>0</v>
      </c>
      <c r="AF315">
        <v>2</v>
      </c>
      <c r="AG315">
        <v>0</v>
      </c>
      <c r="AH315">
        <v>0</v>
      </c>
      <c r="AI315">
        <v>0</v>
      </c>
      <c r="AM315">
        <v>0</v>
      </c>
      <c r="AR315" t="s">
        <v>2214</v>
      </c>
      <c r="AS315" t="s">
        <v>1680</v>
      </c>
      <c r="AT315">
        <v>2024</v>
      </c>
      <c r="AU315">
        <v>10</v>
      </c>
      <c r="AV315" t="s">
        <v>78</v>
      </c>
      <c r="AX315" t="s">
        <v>2254</v>
      </c>
    </row>
    <row r="316" spans="1:50">
      <c r="A316">
        <v>41</v>
      </c>
      <c r="B316">
        <v>33</v>
      </c>
      <c r="C316" t="s">
        <v>74</v>
      </c>
      <c r="D316" t="s">
        <v>1353</v>
      </c>
      <c r="E316" t="s">
        <v>1354</v>
      </c>
      <c r="F316">
        <v>3371</v>
      </c>
      <c r="G316" s="23" t="s">
        <v>813</v>
      </c>
      <c r="H316" s="2" t="s">
        <v>2154</v>
      </c>
      <c r="I316" t="s">
        <v>2155</v>
      </c>
      <c r="K316" s="149">
        <v>0</v>
      </c>
      <c r="L316" s="149">
        <v>2989218</v>
      </c>
      <c r="M316" s="149">
        <v>567951</v>
      </c>
      <c r="N316" s="149">
        <v>3557169</v>
      </c>
      <c r="O316">
        <v>0</v>
      </c>
      <c r="P316">
        <v>0</v>
      </c>
      <c r="Q316">
        <v>0</v>
      </c>
      <c r="R316">
        <v>0</v>
      </c>
      <c r="S316">
        <v>0</v>
      </c>
      <c r="T316" t="s">
        <v>77</v>
      </c>
      <c r="U316">
        <v>0</v>
      </c>
      <c r="V316">
        <v>0</v>
      </c>
      <c r="W316">
        <v>0</v>
      </c>
      <c r="X316">
        <v>0</v>
      </c>
      <c r="Y316">
        <v>0</v>
      </c>
      <c r="AC316">
        <v>0</v>
      </c>
      <c r="AE316">
        <v>0</v>
      </c>
      <c r="AF316">
        <v>2</v>
      </c>
      <c r="AG316">
        <v>0</v>
      </c>
      <c r="AH316">
        <v>0</v>
      </c>
      <c r="AI316">
        <v>0</v>
      </c>
      <c r="AM316">
        <v>0</v>
      </c>
      <c r="AR316" t="s">
        <v>2214</v>
      </c>
      <c r="AS316" t="s">
        <v>1680</v>
      </c>
      <c r="AT316">
        <v>2024</v>
      </c>
      <c r="AU316">
        <v>10</v>
      </c>
      <c r="AV316" t="s">
        <v>78</v>
      </c>
      <c r="AX316" t="s">
        <v>2255</v>
      </c>
    </row>
    <row r="317" spans="1:50">
      <c r="A317">
        <v>42</v>
      </c>
      <c r="B317">
        <v>33</v>
      </c>
      <c r="C317" t="s">
        <v>74</v>
      </c>
      <c r="D317" t="s">
        <v>1353</v>
      </c>
      <c r="E317" t="s">
        <v>1354</v>
      </c>
      <c r="F317">
        <v>3372</v>
      </c>
      <c r="G317" s="23" t="s">
        <v>813</v>
      </c>
      <c r="H317" s="2" t="s">
        <v>2156</v>
      </c>
      <c r="I317" t="s">
        <v>2157</v>
      </c>
      <c r="K317" s="149">
        <v>0</v>
      </c>
      <c r="L317" s="149">
        <v>2999751</v>
      </c>
      <c r="M317" s="149">
        <v>569952</v>
      </c>
      <c r="N317" s="149">
        <v>3569703</v>
      </c>
      <c r="O317">
        <v>0</v>
      </c>
      <c r="P317">
        <v>0</v>
      </c>
      <c r="Q317">
        <v>0</v>
      </c>
      <c r="R317">
        <v>0</v>
      </c>
      <c r="S317">
        <v>0</v>
      </c>
      <c r="T317" t="s">
        <v>77</v>
      </c>
      <c r="U317">
        <v>0</v>
      </c>
      <c r="V317">
        <v>0</v>
      </c>
      <c r="W317">
        <v>0</v>
      </c>
      <c r="X317">
        <v>0</v>
      </c>
      <c r="Y317">
        <v>0</v>
      </c>
      <c r="AC317">
        <v>0</v>
      </c>
      <c r="AE317">
        <v>0</v>
      </c>
      <c r="AF317">
        <v>2</v>
      </c>
      <c r="AG317">
        <v>0</v>
      </c>
      <c r="AH317">
        <v>0</v>
      </c>
      <c r="AI317">
        <v>0</v>
      </c>
      <c r="AM317">
        <v>0</v>
      </c>
      <c r="AR317" t="s">
        <v>2214</v>
      </c>
      <c r="AS317" t="s">
        <v>1680</v>
      </c>
      <c r="AT317">
        <v>2024</v>
      </c>
      <c r="AU317">
        <v>10</v>
      </c>
      <c r="AV317" t="s">
        <v>78</v>
      </c>
      <c r="AX317" t="s">
        <v>2256</v>
      </c>
    </row>
    <row r="318" spans="1:50">
      <c r="A318">
        <v>43</v>
      </c>
      <c r="B318">
        <v>33</v>
      </c>
      <c r="C318" t="s">
        <v>74</v>
      </c>
      <c r="D318" t="s">
        <v>1222</v>
      </c>
      <c r="E318" t="s">
        <v>1223</v>
      </c>
      <c r="F318">
        <v>3373</v>
      </c>
      <c r="G318" s="23" t="s">
        <v>814</v>
      </c>
      <c r="H318" s="2" t="s">
        <v>2158</v>
      </c>
      <c r="K318" s="149">
        <v>0</v>
      </c>
      <c r="L318" s="149">
        <v>9128800</v>
      </c>
      <c r="M318" s="149">
        <v>1734472</v>
      </c>
      <c r="N318" s="149">
        <v>10863272</v>
      </c>
      <c r="O318">
        <v>0</v>
      </c>
      <c r="P318">
        <v>0</v>
      </c>
      <c r="Q318">
        <v>0</v>
      </c>
      <c r="R318">
        <v>0</v>
      </c>
      <c r="S318">
        <v>0</v>
      </c>
      <c r="T318" t="s">
        <v>77</v>
      </c>
      <c r="U318">
        <v>0</v>
      </c>
      <c r="V318">
        <v>0</v>
      </c>
      <c r="W318">
        <v>0</v>
      </c>
      <c r="X318">
        <v>0</v>
      </c>
      <c r="AC318">
        <v>0</v>
      </c>
      <c r="AE318">
        <v>0</v>
      </c>
      <c r="AF318">
        <v>2</v>
      </c>
      <c r="AG318">
        <v>0</v>
      </c>
      <c r="AH318">
        <v>0</v>
      </c>
      <c r="AI318">
        <v>0</v>
      </c>
      <c r="AM318">
        <v>0</v>
      </c>
      <c r="AR318" t="s">
        <v>2214</v>
      </c>
      <c r="AS318" t="s">
        <v>1680</v>
      </c>
      <c r="AT318">
        <v>2024</v>
      </c>
      <c r="AU318">
        <v>10</v>
      </c>
      <c r="AV318" t="s">
        <v>78</v>
      </c>
      <c r="AX318" t="s">
        <v>2257</v>
      </c>
    </row>
    <row r="319" spans="1:50">
      <c r="A319">
        <v>44</v>
      </c>
      <c r="B319">
        <v>33</v>
      </c>
      <c r="C319" t="s">
        <v>74</v>
      </c>
      <c r="D319" t="s">
        <v>1222</v>
      </c>
      <c r="E319" t="s">
        <v>1223</v>
      </c>
      <c r="F319">
        <v>3374</v>
      </c>
      <c r="G319" s="23" t="s">
        <v>814</v>
      </c>
      <c r="H319" s="2" t="s">
        <v>2159</v>
      </c>
      <c r="J319" t="s">
        <v>2160</v>
      </c>
      <c r="K319" s="149">
        <v>0</v>
      </c>
      <c r="L319" s="149">
        <v>474000</v>
      </c>
      <c r="M319" s="149">
        <v>90060</v>
      </c>
      <c r="N319" s="149">
        <v>564060</v>
      </c>
      <c r="O319">
        <v>0</v>
      </c>
      <c r="P319">
        <v>0</v>
      </c>
      <c r="Q319">
        <v>0</v>
      </c>
      <c r="R319">
        <v>0</v>
      </c>
      <c r="S319">
        <v>0</v>
      </c>
      <c r="T319" t="s">
        <v>77</v>
      </c>
      <c r="U319">
        <v>0</v>
      </c>
      <c r="V319">
        <v>0</v>
      </c>
      <c r="W319">
        <v>0</v>
      </c>
      <c r="X319">
        <v>0</v>
      </c>
      <c r="AC319">
        <v>0</v>
      </c>
      <c r="AE319">
        <v>0</v>
      </c>
      <c r="AF319">
        <v>2</v>
      </c>
      <c r="AG319">
        <v>0</v>
      </c>
      <c r="AH319">
        <v>0</v>
      </c>
      <c r="AI319">
        <v>0</v>
      </c>
      <c r="AM319">
        <v>0</v>
      </c>
      <c r="AR319" t="s">
        <v>2214</v>
      </c>
      <c r="AS319" t="s">
        <v>1680</v>
      </c>
      <c r="AT319">
        <v>2024</v>
      </c>
      <c r="AU319">
        <v>10</v>
      </c>
      <c r="AV319" t="s">
        <v>78</v>
      </c>
      <c r="AX319" t="s">
        <v>2258</v>
      </c>
    </row>
    <row r="320" spans="1:50">
      <c r="A320">
        <v>45</v>
      </c>
      <c r="B320">
        <v>33</v>
      </c>
      <c r="C320" t="s">
        <v>74</v>
      </c>
      <c r="D320" t="s">
        <v>1561</v>
      </c>
      <c r="E320" t="s">
        <v>1562</v>
      </c>
      <c r="F320">
        <v>3375</v>
      </c>
      <c r="G320" s="23" t="s">
        <v>814</v>
      </c>
      <c r="H320" s="2" t="s">
        <v>2161</v>
      </c>
      <c r="I320" t="s">
        <v>2162</v>
      </c>
      <c r="K320" s="149">
        <v>0</v>
      </c>
      <c r="L320" s="149">
        <v>8779500</v>
      </c>
      <c r="M320" s="149">
        <v>1668105</v>
      </c>
      <c r="N320" s="149">
        <v>10447605</v>
      </c>
      <c r="O320">
        <v>0</v>
      </c>
      <c r="P320">
        <v>0</v>
      </c>
      <c r="Q320">
        <v>0</v>
      </c>
      <c r="R320">
        <v>0</v>
      </c>
      <c r="S320">
        <v>0</v>
      </c>
      <c r="T320" t="s">
        <v>77</v>
      </c>
      <c r="U320">
        <v>0</v>
      </c>
      <c r="V320">
        <v>0</v>
      </c>
      <c r="W320">
        <v>0</v>
      </c>
      <c r="X320">
        <v>0</v>
      </c>
      <c r="Y320">
        <v>0</v>
      </c>
      <c r="AC320">
        <v>0</v>
      </c>
      <c r="AE320">
        <v>0</v>
      </c>
      <c r="AF320">
        <v>2</v>
      </c>
      <c r="AG320">
        <v>0</v>
      </c>
      <c r="AH320">
        <v>0</v>
      </c>
      <c r="AI320">
        <v>0</v>
      </c>
      <c r="AM320">
        <v>0</v>
      </c>
      <c r="AR320" t="s">
        <v>2214</v>
      </c>
      <c r="AS320" t="s">
        <v>1680</v>
      </c>
      <c r="AT320">
        <v>2024</v>
      </c>
      <c r="AU320">
        <v>10</v>
      </c>
      <c r="AV320" t="s">
        <v>78</v>
      </c>
      <c r="AX320" t="s">
        <v>2259</v>
      </c>
    </row>
    <row r="321" spans="1:50">
      <c r="A321">
        <v>46</v>
      </c>
      <c r="B321">
        <v>33</v>
      </c>
      <c r="C321" t="s">
        <v>74</v>
      </c>
      <c r="D321" t="s">
        <v>1222</v>
      </c>
      <c r="E321" t="s">
        <v>1223</v>
      </c>
      <c r="F321">
        <v>3376</v>
      </c>
      <c r="G321" s="23" t="s">
        <v>815</v>
      </c>
      <c r="H321" s="2" t="s">
        <v>2163</v>
      </c>
      <c r="I321" t="s">
        <v>2164</v>
      </c>
      <c r="K321" s="149">
        <v>0</v>
      </c>
      <c r="L321" s="149">
        <v>4374864</v>
      </c>
      <c r="M321" s="149">
        <v>831224</v>
      </c>
      <c r="N321" s="149">
        <v>5206088</v>
      </c>
      <c r="O321">
        <v>0</v>
      </c>
      <c r="P321">
        <v>0</v>
      </c>
      <c r="Q321">
        <v>0</v>
      </c>
      <c r="R321">
        <v>0</v>
      </c>
      <c r="S321">
        <v>0</v>
      </c>
      <c r="T321" t="s">
        <v>77</v>
      </c>
      <c r="U321">
        <v>0</v>
      </c>
      <c r="V321">
        <v>0</v>
      </c>
      <c r="W321">
        <v>0</v>
      </c>
      <c r="X321">
        <v>0</v>
      </c>
      <c r="AC321">
        <v>0</v>
      </c>
      <c r="AE321">
        <v>0</v>
      </c>
      <c r="AF321">
        <v>2</v>
      </c>
      <c r="AG321">
        <v>0</v>
      </c>
      <c r="AH321">
        <v>0</v>
      </c>
      <c r="AI321">
        <v>0</v>
      </c>
      <c r="AM321">
        <v>0</v>
      </c>
      <c r="AR321" t="s">
        <v>2214</v>
      </c>
      <c r="AS321" t="s">
        <v>1680</v>
      </c>
      <c r="AT321">
        <v>2024</v>
      </c>
      <c r="AU321">
        <v>10</v>
      </c>
      <c r="AV321" t="s">
        <v>78</v>
      </c>
      <c r="AX321" t="s">
        <v>2260</v>
      </c>
    </row>
    <row r="322" spans="1:50">
      <c r="A322">
        <v>47</v>
      </c>
      <c r="B322">
        <v>33</v>
      </c>
      <c r="C322" t="s">
        <v>74</v>
      </c>
      <c r="D322" t="s">
        <v>1564</v>
      </c>
      <c r="E322" t="s">
        <v>1565</v>
      </c>
      <c r="F322">
        <v>3377</v>
      </c>
      <c r="G322" s="23" t="s">
        <v>814</v>
      </c>
      <c r="H322" s="2" t="s">
        <v>2165</v>
      </c>
      <c r="K322" s="149">
        <v>0</v>
      </c>
      <c r="L322" s="149">
        <v>359315</v>
      </c>
      <c r="M322" s="149">
        <v>68270</v>
      </c>
      <c r="N322" s="149">
        <v>427585</v>
      </c>
      <c r="O322">
        <v>0</v>
      </c>
      <c r="P322">
        <v>0</v>
      </c>
      <c r="Q322">
        <v>0</v>
      </c>
      <c r="R322">
        <v>0</v>
      </c>
      <c r="S322">
        <v>0</v>
      </c>
      <c r="T322" t="s">
        <v>77</v>
      </c>
      <c r="U322">
        <v>0</v>
      </c>
      <c r="V322">
        <v>0</v>
      </c>
      <c r="W322">
        <v>0</v>
      </c>
      <c r="X322">
        <v>0</v>
      </c>
      <c r="Y322">
        <v>0</v>
      </c>
      <c r="AC322">
        <v>0</v>
      </c>
      <c r="AE322">
        <v>0</v>
      </c>
      <c r="AF322">
        <v>2</v>
      </c>
      <c r="AG322">
        <v>0</v>
      </c>
      <c r="AH322">
        <v>0</v>
      </c>
      <c r="AI322">
        <v>0</v>
      </c>
      <c r="AM322">
        <v>0</v>
      </c>
      <c r="AR322" t="s">
        <v>2214</v>
      </c>
      <c r="AS322" t="s">
        <v>1680</v>
      </c>
      <c r="AT322">
        <v>2024</v>
      </c>
      <c r="AU322">
        <v>10</v>
      </c>
      <c r="AV322" t="s">
        <v>78</v>
      </c>
      <c r="AX322" t="s">
        <v>2261</v>
      </c>
    </row>
    <row r="323" spans="1:50">
      <c r="A323">
        <v>48</v>
      </c>
      <c r="B323">
        <v>33</v>
      </c>
      <c r="C323" t="s">
        <v>74</v>
      </c>
      <c r="D323" t="s">
        <v>2166</v>
      </c>
      <c r="E323" t="s">
        <v>2167</v>
      </c>
      <c r="F323">
        <v>3378</v>
      </c>
      <c r="G323" s="23" t="s">
        <v>814</v>
      </c>
      <c r="H323" s="2" t="s">
        <v>2168</v>
      </c>
      <c r="K323" s="149">
        <v>0</v>
      </c>
      <c r="L323" s="149">
        <v>228500</v>
      </c>
      <c r="M323" s="149">
        <v>43415</v>
      </c>
      <c r="N323" s="149">
        <v>271915</v>
      </c>
      <c r="O323">
        <v>0</v>
      </c>
      <c r="P323">
        <v>0</v>
      </c>
      <c r="Q323">
        <v>0</v>
      </c>
      <c r="R323">
        <v>0</v>
      </c>
      <c r="S323">
        <v>0</v>
      </c>
      <c r="T323" t="s">
        <v>77</v>
      </c>
      <c r="U323">
        <v>0</v>
      </c>
      <c r="V323">
        <v>0</v>
      </c>
      <c r="W323">
        <v>0</v>
      </c>
      <c r="X323">
        <v>0</v>
      </c>
      <c r="Y323">
        <v>0</v>
      </c>
      <c r="AC323">
        <v>0</v>
      </c>
      <c r="AE323">
        <v>0</v>
      </c>
      <c r="AF323">
        <v>2</v>
      </c>
      <c r="AG323">
        <v>0</v>
      </c>
      <c r="AH323">
        <v>0</v>
      </c>
      <c r="AI323">
        <v>0</v>
      </c>
      <c r="AM323">
        <v>0</v>
      </c>
      <c r="AR323" t="s">
        <v>2214</v>
      </c>
      <c r="AS323" t="s">
        <v>1680</v>
      </c>
      <c r="AT323">
        <v>2024</v>
      </c>
      <c r="AU323">
        <v>10</v>
      </c>
      <c r="AV323" t="s">
        <v>78</v>
      </c>
      <c r="AX323" t="s">
        <v>2262</v>
      </c>
    </row>
    <row r="324" spans="1:50">
      <c r="A324">
        <v>49</v>
      </c>
      <c r="B324">
        <v>33</v>
      </c>
      <c r="C324" t="s">
        <v>74</v>
      </c>
      <c r="D324" t="s">
        <v>1558</v>
      </c>
      <c r="E324" t="s">
        <v>1559</v>
      </c>
      <c r="F324">
        <v>3379</v>
      </c>
      <c r="G324" s="23" t="s">
        <v>814</v>
      </c>
      <c r="H324" s="2" t="s">
        <v>2169</v>
      </c>
      <c r="I324" t="s">
        <v>2170</v>
      </c>
      <c r="K324" s="149">
        <v>0</v>
      </c>
      <c r="L324" s="149">
        <v>170400</v>
      </c>
      <c r="M324" s="149">
        <v>32376</v>
      </c>
      <c r="N324" s="149">
        <v>202776</v>
      </c>
      <c r="O324">
        <v>0</v>
      </c>
      <c r="P324">
        <v>0</v>
      </c>
      <c r="Q324">
        <v>0</v>
      </c>
      <c r="R324">
        <v>0</v>
      </c>
      <c r="S324">
        <v>0</v>
      </c>
      <c r="T324" t="s">
        <v>77</v>
      </c>
      <c r="U324">
        <v>0</v>
      </c>
      <c r="V324">
        <v>0</v>
      </c>
      <c r="W324">
        <v>0</v>
      </c>
      <c r="X324">
        <v>0</v>
      </c>
      <c r="Y324">
        <v>0</v>
      </c>
      <c r="AC324">
        <v>0</v>
      </c>
      <c r="AE324">
        <v>0</v>
      </c>
      <c r="AF324">
        <v>2</v>
      </c>
      <c r="AG324">
        <v>0</v>
      </c>
      <c r="AH324">
        <v>0</v>
      </c>
      <c r="AI324">
        <v>0</v>
      </c>
      <c r="AM324">
        <v>0</v>
      </c>
      <c r="AR324" t="s">
        <v>2214</v>
      </c>
      <c r="AS324" t="s">
        <v>1680</v>
      </c>
      <c r="AT324">
        <v>2024</v>
      </c>
      <c r="AU324">
        <v>10</v>
      </c>
      <c r="AV324" t="s">
        <v>78</v>
      </c>
      <c r="AX324" t="s">
        <v>2263</v>
      </c>
    </row>
    <row r="325" spans="1:50">
      <c r="A325">
        <v>50</v>
      </c>
      <c r="B325">
        <v>33</v>
      </c>
      <c r="C325" t="s">
        <v>74</v>
      </c>
      <c r="D325" t="s">
        <v>1588</v>
      </c>
      <c r="E325" t="s">
        <v>1589</v>
      </c>
      <c r="F325">
        <v>3380</v>
      </c>
      <c r="G325" s="23" t="s">
        <v>814</v>
      </c>
      <c r="H325" s="2" t="s">
        <v>2171</v>
      </c>
      <c r="K325" s="149">
        <v>0</v>
      </c>
      <c r="L325" s="149">
        <v>3205200</v>
      </c>
      <c r="M325" s="149">
        <v>608988</v>
      </c>
      <c r="N325" s="149">
        <v>3814188</v>
      </c>
      <c r="O325">
        <v>0</v>
      </c>
      <c r="P325">
        <v>0</v>
      </c>
      <c r="Q325">
        <v>0</v>
      </c>
      <c r="R325">
        <v>0</v>
      </c>
      <c r="S325">
        <v>0</v>
      </c>
      <c r="T325" t="s">
        <v>77</v>
      </c>
      <c r="U325">
        <v>0</v>
      </c>
      <c r="V325">
        <v>0</v>
      </c>
      <c r="W325">
        <v>0</v>
      </c>
      <c r="X325">
        <v>0</v>
      </c>
      <c r="Y325">
        <v>0</v>
      </c>
      <c r="AC325">
        <v>0</v>
      </c>
      <c r="AE325">
        <v>0</v>
      </c>
      <c r="AF325">
        <v>2</v>
      </c>
      <c r="AG325">
        <v>0</v>
      </c>
      <c r="AH325">
        <v>0</v>
      </c>
      <c r="AI325">
        <v>0</v>
      </c>
      <c r="AM325">
        <v>0</v>
      </c>
      <c r="AR325" t="s">
        <v>2214</v>
      </c>
      <c r="AS325" t="s">
        <v>1680</v>
      </c>
      <c r="AT325">
        <v>2024</v>
      </c>
      <c r="AU325">
        <v>10</v>
      </c>
      <c r="AV325" t="s">
        <v>78</v>
      </c>
      <c r="AX325" t="s">
        <v>2264</v>
      </c>
    </row>
    <row r="326" spans="1:50">
      <c r="A326">
        <v>51</v>
      </c>
      <c r="B326">
        <v>33</v>
      </c>
      <c r="C326" t="s">
        <v>74</v>
      </c>
      <c r="D326" t="s">
        <v>1222</v>
      </c>
      <c r="E326" t="s">
        <v>1223</v>
      </c>
      <c r="F326">
        <v>3381</v>
      </c>
      <c r="G326" s="23" t="s">
        <v>814</v>
      </c>
      <c r="H326" s="2" t="s">
        <v>2172</v>
      </c>
      <c r="I326" t="s">
        <v>2173</v>
      </c>
      <c r="K326" s="149">
        <v>0</v>
      </c>
      <c r="L326" s="149">
        <v>474000</v>
      </c>
      <c r="M326" s="149">
        <v>90060</v>
      </c>
      <c r="N326" s="149">
        <v>564060</v>
      </c>
      <c r="O326">
        <v>0</v>
      </c>
      <c r="P326">
        <v>0</v>
      </c>
      <c r="Q326">
        <v>0</v>
      </c>
      <c r="R326">
        <v>0</v>
      </c>
      <c r="S326">
        <v>0</v>
      </c>
      <c r="T326" t="s">
        <v>77</v>
      </c>
      <c r="U326">
        <v>0</v>
      </c>
      <c r="V326">
        <v>0</v>
      </c>
      <c r="W326">
        <v>0</v>
      </c>
      <c r="X326">
        <v>0</v>
      </c>
      <c r="AC326">
        <v>0</v>
      </c>
      <c r="AE326">
        <v>0</v>
      </c>
      <c r="AF326">
        <v>2</v>
      </c>
      <c r="AG326">
        <v>0</v>
      </c>
      <c r="AH326">
        <v>0</v>
      </c>
      <c r="AI326">
        <v>0</v>
      </c>
      <c r="AM326">
        <v>0</v>
      </c>
      <c r="AR326" t="s">
        <v>2214</v>
      </c>
      <c r="AS326" t="s">
        <v>1680</v>
      </c>
      <c r="AT326">
        <v>2024</v>
      </c>
      <c r="AU326">
        <v>10</v>
      </c>
      <c r="AV326" t="s">
        <v>78</v>
      </c>
      <c r="AX326" t="s">
        <v>2265</v>
      </c>
    </row>
    <row r="327" spans="1:50">
      <c r="A327">
        <v>52</v>
      </c>
      <c r="B327">
        <v>33</v>
      </c>
      <c r="C327" t="s">
        <v>74</v>
      </c>
      <c r="D327" t="s">
        <v>1222</v>
      </c>
      <c r="E327" t="s">
        <v>1223</v>
      </c>
      <c r="F327">
        <v>3382</v>
      </c>
      <c r="G327" s="23" t="s">
        <v>816</v>
      </c>
      <c r="H327" s="2" t="s">
        <v>2174</v>
      </c>
      <c r="I327" t="s">
        <v>2175</v>
      </c>
      <c r="K327" s="149">
        <v>0</v>
      </c>
      <c r="L327" s="149">
        <v>10298491</v>
      </c>
      <c r="M327" s="149">
        <v>1956714</v>
      </c>
      <c r="N327" s="149">
        <v>12255205</v>
      </c>
      <c r="O327">
        <v>0</v>
      </c>
      <c r="P327">
        <v>0</v>
      </c>
      <c r="Q327">
        <v>0</v>
      </c>
      <c r="R327">
        <v>0</v>
      </c>
      <c r="S327">
        <v>0</v>
      </c>
      <c r="T327" t="s">
        <v>77</v>
      </c>
      <c r="U327">
        <v>0</v>
      </c>
      <c r="V327">
        <v>0</v>
      </c>
      <c r="W327">
        <v>0</v>
      </c>
      <c r="X327">
        <v>0</v>
      </c>
      <c r="AC327">
        <v>0</v>
      </c>
      <c r="AE327">
        <v>0</v>
      </c>
      <c r="AF327">
        <v>2</v>
      </c>
      <c r="AG327">
        <v>0</v>
      </c>
      <c r="AH327">
        <v>0</v>
      </c>
      <c r="AI327">
        <v>0</v>
      </c>
      <c r="AM327">
        <v>0</v>
      </c>
      <c r="AR327" t="s">
        <v>2214</v>
      </c>
      <c r="AS327" t="s">
        <v>1680</v>
      </c>
      <c r="AT327">
        <v>2024</v>
      </c>
      <c r="AU327">
        <v>10</v>
      </c>
      <c r="AV327" t="s">
        <v>78</v>
      </c>
      <c r="AX327" t="s">
        <v>2266</v>
      </c>
    </row>
    <row r="328" spans="1:50">
      <c r="A328">
        <v>53</v>
      </c>
      <c r="B328">
        <v>33</v>
      </c>
      <c r="C328" t="s">
        <v>74</v>
      </c>
      <c r="D328" t="s">
        <v>1561</v>
      </c>
      <c r="E328" t="s">
        <v>1562</v>
      </c>
      <c r="F328">
        <v>3383</v>
      </c>
      <c r="G328" s="23" t="s">
        <v>816</v>
      </c>
      <c r="H328" s="2" t="s">
        <v>2176</v>
      </c>
      <c r="K328" s="149">
        <v>0</v>
      </c>
      <c r="L328" s="149">
        <v>5145000</v>
      </c>
      <c r="M328" s="149">
        <v>977550</v>
      </c>
      <c r="N328" s="149">
        <v>6122550</v>
      </c>
      <c r="O328">
        <v>0</v>
      </c>
      <c r="P328">
        <v>0</v>
      </c>
      <c r="Q328">
        <v>0</v>
      </c>
      <c r="R328">
        <v>0</v>
      </c>
      <c r="S328">
        <v>0</v>
      </c>
      <c r="T328" t="s">
        <v>77</v>
      </c>
      <c r="U328">
        <v>0</v>
      </c>
      <c r="V328">
        <v>0</v>
      </c>
      <c r="W328">
        <v>0</v>
      </c>
      <c r="X328">
        <v>0</v>
      </c>
      <c r="Y328">
        <v>0</v>
      </c>
      <c r="AC328">
        <v>0</v>
      </c>
      <c r="AE328">
        <v>0</v>
      </c>
      <c r="AF328">
        <v>2</v>
      </c>
      <c r="AG328">
        <v>0</v>
      </c>
      <c r="AH328">
        <v>0</v>
      </c>
      <c r="AI328">
        <v>0</v>
      </c>
      <c r="AM328">
        <v>0</v>
      </c>
      <c r="AR328" t="s">
        <v>2214</v>
      </c>
      <c r="AS328" t="s">
        <v>1680</v>
      </c>
      <c r="AT328">
        <v>2024</v>
      </c>
      <c r="AU328">
        <v>10</v>
      </c>
      <c r="AV328" t="s">
        <v>78</v>
      </c>
      <c r="AX328" t="s">
        <v>2267</v>
      </c>
    </row>
    <row r="329" spans="1:50">
      <c r="A329">
        <v>54</v>
      </c>
      <c r="B329">
        <v>33</v>
      </c>
      <c r="C329" t="s">
        <v>74</v>
      </c>
      <c r="D329" t="s">
        <v>1581</v>
      </c>
      <c r="E329" t="s">
        <v>1582</v>
      </c>
      <c r="F329">
        <v>3384</v>
      </c>
      <c r="G329" s="23" t="s">
        <v>815</v>
      </c>
      <c r="H329" s="2" t="s">
        <v>2177</v>
      </c>
      <c r="I329" t="s">
        <v>2178</v>
      </c>
      <c r="K329" s="149">
        <v>0</v>
      </c>
      <c r="L329" s="149">
        <v>117600</v>
      </c>
      <c r="M329" s="149">
        <v>22344</v>
      </c>
      <c r="N329" s="149">
        <v>139944</v>
      </c>
      <c r="O329">
        <v>0</v>
      </c>
      <c r="P329">
        <v>0</v>
      </c>
      <c r="Q329">
        <v>0</v>
      </c>
      <c r="R329">
        <v>0</v>
      </c>
      <c r="S329">
        <v>0</v>
      </c>
      <c r="T329" t="s">
        <v>77</v>
      </c>
      <c r="U329">
        <v>0</v>
      </c>
      <c r="V329">
        <v>0</v>
      </c>
      <c r="W329">
        <v>0</v>
      </c>
      <c r="X329">
        <v>0</v>
      </c>
      <c r="Y329">
        <v>0</v>
      </c>
      <c r="AC329">
        <v>0</v>
      </c>
      <c r="AE329">
        <v>0</v>
      </c>
      <c r="AF329">
        <v>2</v>
      </c>
      <c r="AG329">
        <v>0</v>
      </c>
      <c r="AH329">
        <v>0</v>
      </c>
      <c r="AI329">
        <v>0</v>
      </c>
      <c r="AM329">
        <v>0</v>
      </c>
      <c r="AR329" t="s">
        <v>2214</v>
      </c>
      <c r="AS329" t="s">
        <v>1680</v>
      </c>
      <c r="AT329">
        <v>2024</v>
      </c>
      <c r="AU329">
        <v>10</v>
      </c>
      <c r="AV329" t="s">
        <v>78</v>
      </c>
      <c r="AX329" t="s">
        <v>2268</v>
      </c>
    </row>
    <row r="330" spans="1:50">
      <c r="A330">
        <v>55</v>
      </c>
      <c r="B330">
        <v>33</v>
      </c>
      <c r="C330" t="s">
        <v>74</v>
      </c>
      <c r="D330" t="s">
        <v>1577</v>
      </c>
      <c r="E330" t="s">
        <v>1578</v>
      </c>
      <c r="F330">
        <v>3385</v>
      </c>
      <c r="G330" s="23" t="s">
        <v>816</v>
      </c>
      <c r="H330" s="2" t="s">
        <v>2179</v>
      </c>
      <c r="K330" s="149">
        <v>0</v>
      </c>
      <c r="L330" s="149">
        <v>218918</v>
      </c>
      <c r="M330" s="149">
        <v>41595</v>
      </c>
      <c r="N330" s="149">
        <v>260513</v>
      </c>
      <c r="O330">
        <v>0</v>
      </c>
      <c r="P330">
        <v>0</v>
      </c>
      <c r="Q330">
        <v>0</v>
      </c>
      <c r="R330">
        <v>0</v>
      </c>
      <c r="S330">
        <v>0</v>
      </c>
      <c r="T330" t="s">
        <v>77</v>
      </c>
      <c r="U330">
        <v>0</v>
      </c>
      <c r="V330">
        <v>0</v>
      </c>
      <c r="W330">
        <v>0</v>
      </c>
      <c r="X330">
        <v>0</v>
      </c>
      <c r="Y330">
        <v>0</v>
      </c>
      <c r="AC330">
        <v>0</v>
      </c>
      <c r="AE330">
        <v>0</v>
      </c>
      <c r="AF330">
        <v>2</v>
      </c>
      <c r="AG330">
        <v>0</v>
      </c>
      <c r="AH330">
        <v>0</v>
      </c>
      <c r="AI330">
        <v>0</v>
      </c>
      <c r="AM330">
        <v>0</v>
      </c>
      <c r="AR330" t="s">
        <v>2214</v>
      </c>
      <c r="AS330" t="s">
        <v>1680</v>
      </c>
      <c r="AT330">
        <v>2024</v>
      </c>
      <c r="AU330">
        <v>10</v>
      </c>
      <c r="AV330" t="s">
        <v>78</v>
      </c>
      <c r="AX330" t="s">
        <v>2269</v>
      </c>
    </row>
    <row r="331" spans="1:50">
      <c r="A331">
        <v>56</v>
      </c>
      <c r="B331">
        <v>33</v>
      </c>
      <c r="C331" t="s">
        <v>74</v>
      </c>
      <c r="D331" t="s">
        <v>1988</v>
      </c>
      <c r="E331" t="s">
        <v>1989</v>
      </c>
      <c r="F331">
        <v>3386</v>
      </c>
      <c r="G331" s="23" t="s">
        <v>817</v>
      </c>
      <c r="H331" s="2" t="s">
        <v>2180</v>
      </c>
      <c r="I331" t="s">
        <v>2181</v>
      </c>
      <c r="K331" s="149">
        <v>0</v>
      </c>
      <c r="L331" s="149">
        <v>2182540</v>
      </c>
      <c r="M331" s="149">
        <v>414683</v>
      </c>
      <c r="N331" s="149">
        <v>2597223</v>
      </c>
      <c r="O331">
        <v>0</v>
      </c>
      <c r="P331">
        <v>0</v>
      </c>
      <c r="Q331">
        <v>0</v>
      </c>
      <c r="R331">
        <v>0</v>
      </c>
      <c r="S331">
        <v>0</v>
      </c>
      <c r="T331" t="s">
        <v>77</v>
      </c>
      <c r="U331">
        <v>0</v>
      </c>
      <c r="V331">
        <v>0</v>
      </c>
      <c r="W331">
        <v>0</v>
      </c>
      <c r="X331">
        <v>0</v>
      </c>
      <c r="AC331">
        <v>0</v>
      </c>
      <c r="AE331">
        <v>0</v>
      </c>
      <c r="AF331">
        <v>2</v>
      </c>
      <c r="AG331">
        <v>0</v>
      </c>
      <c r="AH331">
        <v>0</v>
      </c>
      <c r="AI331">
        <v>0</v>
      </c>
      <c r="AM331">
        <v>0</v>
      </c>
      <c r="AR331" t="s">
        <v>2214</v>
      </c>
      <c r="AS331" t="s">
        <v>1680</v>
      </c>
      <c r="AT331">
        <v>2024</v>
      </c>
      <c r="AU331">
        <v>10</v>
      </c>
      <c r="AV331" t="s">
        <v>78</v>
      </c>
      <c r="AX331" t="s">
        <v>2270</v>
      </c>
    </row>
    <row r="332" spans="1:50">
      <c r="A332">
        <v>57</v>
      </c>
      <c r="B332">
        <v>33</v>
      </c>
      <c r="C332" t="s">
        <v>74</v>
      </c>
      <c r="D332" t="s">
        <v>1353</v>
      </c>
      <c r="E332" t="s">
        <v>1354</v>
      </c>
      <c r="F332">
        <v>3387</v>
      </c>
      <c r="G332" s="23" t="s">
        <v>820</v>
      </c>
      <c r="H332" s="2" t="s">
        <v>2182</v>
      </c>
      <c r="I332" t="s">
        <v>2183</v>
      </c>
      <c r="K332" s="149">
        <v>0</v>
      </c>
      <c r="L332" s="149">
        <v>1552522</v>
      </c>
      <c r="M332" s="149">
        <v>294980</v>
      </c>
      <c r="N332" s="149">
        <v>1847502</v>
      </c>
      <c r="O332">
        <v>0</v>
      </c>
      <c r="P332">
        <v>0</v>
      </c>
      <c r="Q332">
        <v>0</v>
      </c>
      <c r="R332">
        <v>0</v>
      </c>
      <c r="S332">
        <v>0</v>
      </c>
      <c r="T332" t="s">
        <v>77</v>
      </c>
      <c r="U332">
        <v>0</v>
      </c>
      <c r="V332">
        <v>0</v>
      </c>
      <c r="W332">
        <v>0</v>
      </c>
      <c r="X332">
        <v>0</v>
      </c>
      <c r="Y332">
        <v>0</v>
      </c>
      <c r="AC332">
        <v>0</v>
      </c>
      <c r="AE332">
        <v>0</v>
      </c>
      <c r="AF332">
        <v>2</v>
      </c>
      <c r="AG332">
        <v>0</v>
      </c>
      <c r="AH332">
        <v>0</v>
      </c>
      <c r="AI332">
        <v>0</v>
      </c>
      <c r="AM332">
        <v>0</v>
      </c>
      <c r="AR332" t="s">
        <v>2214</v>
      </c>
      <c r="AS332" t="s">
        <v>1680</v>
      </c>
      <c r="AT332">
        <v>2024</v>
      </c>
      <c r="AU332">
        <v>10</v>
      </c>
      <c r="AV332" t="s">
        <v>78</v>
      </c>
      <c r="AX332" t="s">
        <v>2271</v>
      </c>
    </row>
    <row r="333" spans="1:50">
      <c r="A333">
        <v>58</v>
      </c>
      <c r="B333">
        <v>33</v>
      </c>
      <c r="C333" t="s">
        <v>74</v>
      </c>
      <c r="D333" t="s">
        <v>1222</v>
      </c>
      <c r="E333" t="s">
        <v>1223</v>
      </c>
      <c r="F333">
        <v>3388</v>
      </c>
      <c r="G333" s="23" t="s">
        <v>820</v>
      </c>
      <c r="H333" s="2" t="s">
        <v>2184</v>
      </c>
      <c r="J333" t="s">
        <v>2185</v>
      </c>
      <c r="K333" s="149">
        <v>0</v>
      </c>
      <c r="L333" s="149">
        <v>8518296</v>
      </c>
      <c r="M333" s="149">
        <v>1618478</v>
      </c>
      <c r="N333" s="149">
        <v>10136774</v>
      </c>
      <c r="O333">
        <v>0</v>
      </c>
      <c r="P333">
        <v>0</v>
      </c>
      <c r="Q333">
        <v>0</v>
      </c>
      <c r="R333">
        <v>0</v>
      </c>
      <c r="S333">
        <v>0</v>
      </c>
      <c r="T333" t="s">
        <v>77</v>
      </c>
      <c r="U333">
        <v>0</v>
      </c>
      <c r="V333">
        <v>0</v>
      </c>
      <c r="W333">
        <v>0</v>
      </c>
      <c r="X333">
        <v>0</v>
      </c>
      <c r="AC333">
        <v>0</v>
      </c>
      <c r="AE333">
        <v>0</v>
      </c>
      <c r="AF333">
        <v>2</v>
      </c>
      <c r="AG333">
        <v>0</v>
      </c>
      <c r="AH333">
        <v>0</v>
      </c>
      <c r="AI333">
        <v>0</v>
      </c>
      <c r="AM333">
        <v>0</v>
      </c>
      <c r="AR333" t="s">
        <v>2214</v>
      </c>
      <c r="AS333" t="s">
        <v>1680</v>
      </c>
      <c r="AT333">
        <v>2024</v>
      </c>
      <c r="AU333">
        <v>10</v>
      </c>
      <c r="AV333" t="s">
        <v>78</v>
      </c>
      <c r="AX333" t="s">
        <v>2272</v>
      </c>
    </row>
    <row r="334" spans="1:50">
      <c r="A334">
        <v>59</v>
      </c>
      <c r="B334">
        <v>33</v>
      </c>
      <c r="C334" t="s">
        <v>74</v>
      </c>
      <c r="D334" t="s">
        <v>1222</v>
      </c>
      <c r="E334" t="s">
        <v>1223</v>
      </c>
      <c r="F334">
        <v>3389</v>
      </c>
      <c r="G334" s="23" t="s">
        <v>820</v>
      </c>
      <c r="H334" s="2" t="s">
        <v>2186</v>
      </c>
      <c r="J334" t="s">
        <v>2187</v>
      </c>
      <c r="K334" s="149">
        <v>0</v>
      </c>
      <c r="L334" s="149">
        <v>17100000</v>
      </c>
      <c r="M334" s="149">
        <v>3249000</v>
      </c>
      <c r="N334" s="149">
        <v>20349000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77</v>
      </c>
      <c r="U334">
        <v>0</v>
      </c>
      <c r="V334">
        <v>0</v>
      </c>
      <c r="W334">
        <v>0</v>
      </c>
      <c r="X334">
        <v>0</v>
      </c>
      <c r="AC334">
        <v>0</v>
      </c>
      <c r="AE334">
        <v>0</v>
      </c>
      <c r="AF334">
        <v>2</v>
      </c>
      <c r="AG334">
        <v>0</v>
      </c>
      <c r="AH334">
        <v>0</v>
      </c>
      <c r="AI334">
        <v>0</v>
      </c>
      <c r="AM334">
        <v>0</v>
      </c>
      <c r="AR334" t="s">
        <v>2214</v>
      </c>
      <c r="AS334" t="s">
        <v>1680</v>
      </c>
      <c r="AT334">
        <v>2024</v>
      </c>
      <c r="AU334">
        <v>10</v>
      </c>
      <c r="AV334" t="s">
        <v>78</v>
      </c>
      <c r="AX334" t="s">
        <v>2273</v>
      </c>
    </row>
    <row r="335" spans="1:50">
      <c r="A335">
        <v>60</v>
      </c>
      <c r="B335">
        <v>33</v>
      </c>
      <c r="C335" t="s">
        <v>74</v>
      </c>
      <c r="D335" t="s">
        <v>1561</v>
      </c>
      <c r="E335" t="s">
        <v>1562</v>
      </c>
      <c r="F335">
        <v>3390</v>
      </c>
      <c r="G335" s="23" t="s">
        <v>820</v>
      </c>
      <c r="H335" s="2" t="s">
        <v>2188</v>
      </c>
      <c r="I335" s="2" t="s">
        <v>2189</v>
      </c>
      <c r="K335" s="149">
        <v>0</v>
      </c>
      <c r="L335" s="149">
        <v>10903500</v>
      </c>
      <c r="M335" s="149">
        <v>2071665</v>
      </c>
      <c r="N335" s="149">
        <v>12975165</v>
      </c>
      <c r="O335">
        <v>0</v>
      </c>
      <c r="P335">
        <v>0</v>
      </c>
      <c r="Q335">
        <v>0</v>
      </c>
      <c r="R335">
        <v>0</v>
      </c>
      <c r="S335">
        <v>0</v>
      </c>
      <c r="T335" t="s">
        <v>77</v>
      </c>
      <c r="U335">
        <v>0</v>
      </c>
      <c r="V335">
        <v>0</v>
      </c>
      <c r="W335">
        <v>0</v>
      </c>
      <c r="X335">
        <v>0</v>
      </c>
      <c r="AC335">
        <v>0</v>
      </c>
      <c r="AE335">
        <v>0</v>
      </c>
      <c r="AF335">
        <v>2</v>
      </c>
      <c r="AG335">
        <v>0</v>
      </c>
      <c r="AH335">
        <v>0</v>
      </c>
      <c r="AI335">
        <v>0</v>
      </c>
      <c r="AM335">
        <v>0</v>
      </c>
      <c r="AR335" t="s">
        <v>2214</v>
      </c>
      <c r="AS335" t="s">
        <v>1680</v>
      </c>
      <c r="AT335">
        <v>2024</v>
      </c>
      <c r="AU335">
        <v>10</v>
      </c>
      <c r="AV335" t="s">
        <v>78</v>
      </c>
      <c r="AX335" t="s">
        <v>2274</v>
      </c>
    </row>
    <row r="336" spans="1:50">
      <c r="A336">
        <v>61</v>
      </c>
      <c r="B336">
        <v>33</v>
      </c>
      <c r="C336" t="s">
        <v>74</v>
      </c>
      <c r="D336" t="s">
        <v>1555</v>
      </c>
      <c r="E336" t="s">
        <v>1556</v>
      </c>
      <c r="F336">
        <v>3391</v>
      </c>
      <c r="G336" s="23" t="s">
        <v>820</v>
      </c>
      <c r="H336" s="2" t="s">
        <v>2190</v>
      </c>
      <c r="I336" s="2" t="s">
        <v>2191</v>
      </c>
      <c r="K336" s="149">
        <v>0</v>
      </c>
      <c r="L336" s="149">
        <v>2210620</v>
      </c>
      <c r="M336" s="149">
        <v>420018</v>
      </c>
      <c r="N336" s="149">
        <v>2630638</v>
      </c>
      <c r="O336">
        <v>0</v>
      </c>
      <c r="P336">
        <v>0</v>
      </c>
      <c r="Q336">
        <v>0</v>
      </c>
      <c r="R336">
        <v>0</v>
      </c>
      <c r="S336">
        <v>0</v>
      </c>
      <c r="T336" t="s">
        <v>77</v>
      </c>
      <c r="U336">
        <v>0</v>
      </c>
      <c r="V336">
        <v>0</v>
      </c>
      <c r="W336">
        <v>0</v>
      </c>
      <c r="X336">
        <v>0</v>
      </c>
      <c r="AC336">
        <v>0</v>
      </c>
      <c r="AE336">
        <v>0</v>
      </c>
      <c r="AF336">
        <v>2</v>
      </c>
      <c r="AG336">
        <v>0</v>
      </c>
      <c r="AH336">
        <v>0</v>
      </c>
      <c r="AI336">
        <v>0</v>
      </c>
      <c r="AM336">
        <v>0</v>
      </c>
      <c r="AR336" t="s">
        <v>2214</v>
      </c>
      <c r="AS336" t="s">
        <v>1680</v>
      </c>
      <c r="AT336">
        <v>2024</v>
      </c>
      <c r="AU336">
        <v>10</v>
      </c>
      <c r="AV336" t="s">
        <v>78</v>
      </c>
      <c r="AX336" t="s">
        <v>2275</v>
      </c>
    </row>
    <row r="337" spans="1:50">
      <c r="A337">
        <v>62</v>
      </c>
      <c r="B337">
        <v>33</v>
      </c>
      <c r="C337" t="s">
        <v>74</v>
      </c>
      <c r="D337" t="s">
        <v>1222</v>
      </c>
      <c r="E337" t="s">
        <v>1223</v>
      </c>
      <c r="F337">
        <v>3392</v>
      </c>
      <c r="G337" s="23" t="s">
        <v>817</v>
      </c>
      <c r="H337" s="2" t="s">
        <v>2192</v>
      </c>
      <c r="K337" s="149">
        <v>0</v>
      </c>
      <c r="L337" s="149">
        <v>474000</v>
      </c>
      <c r="M337" s="149">
        <v>90060</v>
      </c>
      <c r="N337" s="149">
        <v>564060</v>
      </c>
      <c r="O337">
        <v>0</v>
      </c>
      <c r="P337">
        <v>0</v>
      </c>
      <c r="Q337">
        <v>0</v>
      </c>
      <c r="R337">
        <v>0</v>
      </c>
      <c r="S337">
        <v>0</v>
      </c>
      <c r="T337" t="s">
        <v>77</v>
      </c>
      <c r="U337">
        <v>0</v>
      </c>
      <c r="V337">
        <v>0</v>
      </c>
      <c r="W337">
        <v>0</v>
      </c>
      <c r="X337">
        <v>0</v>
      </c>
      <c r="AC337">
        <v>0</v>
      </c>
      <c r="AE337">
        <v>0</v>
      </c>
      <c r="AF337">
        <v>2</v>
      </c>
      <c r="AG337">
        <v>0</v>
      </c>
      <c r="AH337">
        <v>0</v>
      </c>
      <c r="AI337">
        <v>0</v>
      </c>
      <c r="AM337">
        <v>0</v>
      </c>
      <c r="AR337" t="s">
        <v>2214</v>
      </c>
      <c r="AS337" t="s">
        <v>1680</v>
      </c>
      <c r="AT337">
        <v>2024</v>
      </c>
      <c r="AU337">
        <v>10</v>
      </c>
      <c r="AV337" t="s">
        <v>78</v>
      </c>
      <c r="AX337" t="s">
        <v>2276</v>
      </c>
    </row>
    <row r="338" spans="1:50">
      <c r="A338">
        <v>63</v>
      </c>
      <c r="B338">
        <v>33</v>
      </c>
      <c r="C338" t="s">
        <v>74</v>
      </c>
      <c r="D338" t="s">
        <v>1222</v>
      </c>
      <c r="E338" t="s">
        <v>1223</v>
      </c>
      <c r="F338">
        <v>3393</v>
      </c>
      <c r="G338" s="23" t="s">
        <v>821</v>
      </c>
      <c r="H338" s="2" t="s">
        <v>2193</v>
      </c>
      <c r="I338" s="2"/>
      <c r="J338" t="s">
        <v>2194</v>
      </c>
      <c r="K338" s="149">
        <v>0</v>
      </c>
      <c r="L338" s="149">
        <v>2310450</v>
      </c>
      <c r="M338" s="149">
        <v>438986</v>
      </c>
      <c r="N338" s="149">
        <v>2749436</v>
      </c>
      <c r="O338">
        <v>0</v>
      </c>
      <c r="P338">
        <v>0</v>
      </c>
      <c r="Q338">
        <v>0</v>
      </c>
      <c r="R338">
        <v>0</v>
      </c>
      <c r="S338">
        <v>0</v>
      </c>
      <c r="T338" t="s">
        <v>77</v>
      </c>
      <c r="U338">
        <v>0</v>
      </c>
      <c r="V338">
        <v>0</v>
      </c>
      <c r="W338">
        <v>0</v>
      </c>
      <c r="X338">
        <v>0</v>
      </c>
      <c r="AC338">
        <v>0</v>
      </c>
      <c r="AE338">
        <v>0</v>
      </c>
      <c r="AF338">
        <v>2</v>
      </c>
      <c r="AG338">
        <v>0</v>
      </c>
      <c r="AH338">
        <v>0</v>
      </c>
      <c r="AI338">
        <v>0</v>
      </c>
      <c r="AM338">
        <v>0</v>
      </c>
      <c r="AR338" t="s">
        <v>2214</v>
      </c>
      <c r="AS338" t="s">
        <v>1680</v>
      </c>
      <c r="AT338">
        <v>2024</v>
      </c>
      <c r="AU338">
        <v>10</v>
      </c>
      <c r="AV338" t="s">
        <v>78</v>
      </c>
      <c r="AX338" t="s">
        <v>2277</v>
      </c>
    </row>
    <row r="339" spans="1:50">
      <c r="A339">
        <v>64</v>
      </c>
      <c r="B339">
        <v>33</v>
      </c>
      <c r="C339" t="s">
        <v>74</v>
      </c>
      <c r="D339" t="s">
        <v>1222</v>
      </c>
      <c r="E339" t="s">
        <v>1223</v>
      </c>
      <c r="F339">
        <v>3394</v>
      </c>
      <c r="G339" s="23" t="s">
        <v>820</v>
      </c>
      <c r="H339" s="2" t="s">
        <v>2195</v>
      </c>
      <c r="I339" s="2">
        <v>45393.650937500002</v>
      </c>
      <c r="K339" s="149">
        <v>0</v>
      </c>
      <c r="L339" s="149">
        <v>17100000</v>
      </c>
      <c r="M339" s="149">
        <v>3249000</v>
      </c>
      <c r="N339" s="149">
        <v>20349000</v>
      </c>
      <c r="O339">
        <v>0</v>
      </c>
      <c r="P339">
        <v>0</v>
      </c>
      <c r="Q339">
        <v>0</v>
      </c>
      <c r="R339">
        <v>0</v>
      </c>
      <c r="S339">
        <v>0</v>
      </c>
      <c r="T339" t="s">
        <v>77</v>
      </c>
      <c r="U339">
        <v>0</v>
      </c>
      <c r="V339">
        <v>0</v>
      </c>
      <c r="W339">
        <v>0</v>
      </c>
      <c r="X339">
        <v>0</v>
      </c>
      <c r="AC339">
        <v>0</v>
      </c>
      <c r="AE339">
        <v>0</v>
      </c>
      <c r="AF339">
        <v>2</v>
      </c>
      <c r="AG339">
        <v>0</v>
      </c>
      <c r="AH339">
        <v>0</v>
      </c>
      <c r="AI339">
        <v>0</v>
      </c>
      <c r="AM339">
        <v>0</v>
      </c>
      <c r="AR339" t="s">
        <v>2214</v>
      </c>
      <c r="AS339" t="s">
        <v>1680</v>
      </c>
      <c r="AT339">
        <v>2024</v>
      </c>
      <c r="AU339">
        <v>10</v>
      </c>
      <c r="AV339" t="s">
        <v>78</v>
      </c>
      <c r="AX339" t="s">
        <v>2278</v>
      </c>
    </row>
    <row r="340" spans="1:50">
      <c r="A340">
        <v>65</v>
      </c>
      <c r="B340">
        <v>33</v>
      </c>
      <c r="C340" t="s">
        <v>74</v>
      </c>
      <c r="D340" t="s">
        <v>1583</v>
      </c>
      <c r="E340" t="s">
        <v>1584</v>
      </c>
      <c r="F340">
        <v>3395</v>
      </c>
      <c r="G340" s="23" t="s">
        <v>820</v>
      </c>
      <c r="H340" s="2" t="s">
        <v>2196</v>
      </c>
      <c r="J340" s="2"/>
      <c r="K340" s="149">
        <v>0</v>
      </c>
      <c r="L340" s="149">
        <v>298180</v>
      </c>
      <c r="M340" s="149">
        <v>56653</v>
      </c>
      <c r="N340" s="149">
        <v>354833</v>
      </c>
      <c r="O340">
        <v>0</v>
      </c>
      <c r="P340">
        <v>0</v>
      </c>
      <c r="Q340">
        <v>0</v>
      </c>
      <c r="R340">
        <v>0</v>
      </c>
      <c r="S340">
        <v>0</v>
      </c>
      <c r="T340" t="s">
        <v>77</v>
      </c>
      <c r="U340">
        <v>0</v>
      </c>
      <c r="V340">
        <v>0</v>
      </c>
      <c r="W340">
        <v>0</v>
      </c>
      <c r="X340">
        <v>0</v>
      </c>
      <c r="Y340">
        <v>0</v>
      </c>
      <c r="AC340">
        <v>0</v>
      </c>
      <c r="AE340">
        <v>0</v>
      </c>
      <c r="AF340">
        <v>2</v>
      </c>
      <c r="AG340">
        <v>0</v>
      </c>
      <c r="AH340">
        <v>0</v>
      </c>
      <c r="AI340">
        <v>0</v>
      </c>
      <c r="AM340">
        <v>0</v>
      </c>
      <c r="AR340" t="s">
        <v>2214</v>
      </c>
      <c r="AS340" t="s">
        <v>1680</v>
      </c>
      <c r="AT340">
        <v>2024</v>
      </c>
      <c r="AU340">
        <v>10</v>
      </c>
      <c r="AV340" t="s">
        <v>78</v>
      </c>
      <c r="AX340" t="s">
        <v>2279</v>
      </c>
    </row>
    <row r="341" spans="1:50">
      <c r="A341">
        <v>66</v>
      </c>
      <c r="B341">
        <v>33</v>
      </c>
      <c r="C341" t="s">
        <v>74</v>
      </c>
      <c r="D341" t="s">
        <v>1592</v>
      </c>
      <c r="E341" t="s">
        <v>1593</v>
      </c>
      <c r="F341">
        <v>3396</v>
      </c>
      <c r="G341" s="23" t="s">
        <v>820</v>
      </c>
      <c r="H341" s="2" t="s">
        <v>2197</v>
      </c>
      <c r="I341" t="s">
        <v>2198</v>
      </c>
      <c r="K341" s="149">
        <v>0</v>
      </c>
      <c r="L341" s="149">
        <v>242570</v>
      </c>
      <c r="M341" s="149">
        <v>46089</v>
      </c>
      <c r="N341" s="149">
        <v>288659</v>
      </c>
      <c r="O341">
        <v>0</v>
      </c>
      <c r="P341">
        <v>0</v>
      </c>
      <c r="Q341">
        <v>0</v>
      </c>
      <c r="R341">
        <v>0</v>
      </c>
      <c r="S341">
        <v>0</v>
      </c>
      <c r="T341" t="s">
        <v>77</v>
      </c>
      <c r="U341">
        <v>0</v>
      </c>
      <c r="V341">
        <v>0</v>
      </c>
      <c r="W341">
        <v>0</v>
      </c>
      <c r="X341">
        <v>0</v>
      </c>
      <c r="Y341">
        <v>0</v>
      </c>
      <c r="AC341">
        <v>0</v>
      </c>
      <c r="AE341">
        <v>0</v>
      </c>
      <c r="AF341">
        <v>2</v>
      </c>
      <c r="AG341">
        <v>0</v>
      </c>
      <c r="AH341">
        <v>0</v>
      </c>
      <c r="AI341">
        <v>0</v>
      </c>
      <c r="AM341">
        <v>0</v>
      </c>
      <c r="AR341" t="s">
        <v>2214</v>
      </c>
      <c r="AS341" t="s">
        <v>1680</v>
      </c>
      <c r="AT341">
        <v>2024</v>
      </c>
      <c r="AU341">
        <v>10</v>
      </c>
      <c r="AV341" t="s">
        <v>78</v>
      </c>
      <c r="AX341" t="s">
        <v>2280</v>
      </c>
    </row>
    <row r="342" spans="1:50">
      <c r="A342">
        <v>67</v>
      </c>
      <c r="B342">
        <v>33</v>
      </c>
      <c r="C342" t="s">
        <v>74</v>
      </c>
      <c r="D342" t="s">
        <v>1561</v>
      </c>
      <c r="E342" t="s">
        <v>1562</v>
      </c>
      <c r="F342">
        <v>3397</v>
      </c>
      <c r="G342" s="23" t="s">
        <v>821</v>
      </c>
      <c r="H342" s="2" t="s">
        <v>2199</v>
      </c>
      <c r="I342" t="s">
        <v>2200</v>
      </c>
      <c r="K342" s="149">
        <v>0</v>
      </c>
      <c r="L342" s="149">
        <v>2124000</v>
      </c>
      <c r="M342" s="149">
        <v>403560</v>
      </c>
      <c r="N342" s="149">
        <v>2527560</v>
      </c>
      <c r="O342">
        <v>0</v>
      </c>
      <c r="P342">
        <v>0</v>
      </c>
      <c r="Q342">
        <v>0</v>
      </c>
      <c r="R342">
        <v>0</v>
      </c>
      <c r="S342">
        <v>0</v>
      </c>
      <c r="T342" t="s">
        <v>77</v>
      </c>
      <c r="U342">
        <v>0</v>
      </c>
      <c r="V342">
        <v>0</v>
      </c>
      <c r="W342">
        <v>0</v>
      </c>
      <c r="X342">
        <v>0</v>
      </c>
      <c r="AC342">
        <v>0</v>
      </c>
      <c r="AE342">
        <v>0</v>
      </c>
      <c r="AF342">
        <v>2</v>
      </c>
      <c r="AG342">
        <v>0</v>
      </c>
      <c r="AH342">
        <v>0</v>
      </c>
      <c r="AI342">
        <v>0</v>
      </c>
      <c r="AM342">
        <v>0</v>
      </c>
      <c r="AR342" t="s">
        <v>2214</v>
      </c>
      <c r="AS342" t="s">
        <v>1680</v>
      </c>
      <c r="AT342">
        <v>2024</v>
      </c>
      <c r="AU342">
        <v>10</v>
      </c>
      <c r="AV342" t="s">
        <v>78</v>
      </c>
      <c r="AX342" t="s">
        <v>2281</v>
      </c>
    </row>
    <row r="343" spans="1:50">
      <c r="A343">
        <v>68</v>
      </c>
      <c r="B343">
        <v>33</v>
      </c>
      <c r="C343" t="s">
        <v>74</v>
      </c>
      <c r="D343" t="s">
        <v>1571</v>
      </c>
      <c r="E343" t="s">
        <v>1572</v>
      </c>
      <c r="F343">
        <v>3398</v>
      </c>
      <c r="G343" s="23" t="s">
        <v>821</v>
      </c>
      <c r="H343" s="2" t="s">
        <v>2201</v>
      </c>
      <c r="J343" s="2" t="s">
        <v>2202</v>
      </c>
      <c r="K343" s="149">
        <v>0</v>
      </c>
      <c r="L343" s="149">
        <v>6547480</v>
      </c>
      <c r="M343" s="149">
        <v>1244021</v>
      </c>
      <c r="N343" s="149">
        <v>7791501</v>
      </c>
      <c r="O343">
        <v>0</v>
      </c>
      <c r="P343">
        <v>0</v>
      </c>
      <c r="Q343">
        <v>0</v>
      </c>
      <c r="R343">
        <v>0</v>
      </c>
      <c r="S343">
        <v>0</v>
      </c>
      <c r="T343" t="s">
        <v>77</v>
      </c>
      <c r="U343">
        <v>0</v>
      </c>
      <c r="V343">
        <v>0</v>
      </c>
      <c r="W343">
        <v>0</v>
      </c>
      <c r="X343">
        <v>0</v>
      </c>
      <c r="AC343">
        <v>0</v>
      </c>
      <c r="AE343">
        <v>0</v>
      </c>
      <c r="AF343">
        <v>2</v>
      </c>
      <c r="AG343">
        <v>0</v>
      </c>
      <c r="AH343">
        <v>0</v>
      </c>
      <c r="AI343">
        <v>0</v>
      </c>
      <c r="AM343">
        <v>0</v>
      </c>
      <c r="AR343" t="s">
        <v>2214</v>
      </c>
      <c r="AS343" t="s">
        <v>1680</v>
      </c>
      <c r="AT343">
        <v>2024</v>
      </c>
      <c r="AU343">
        <v>10</v>
      </c>
      <c r="AV343" t="s">
        <v>78</v>
      </c>
      <c r="AX343" t="s">
        <v>2282</v>
      </c>
    </row>
    <row r="344" spans="1:50">
      <c r="A344">
        <v>69</v>
      </c>
      <c r="B344">
        <v>33</v>
      </c>
      <c r="C344" t="s">
        <v>74</v>
      </c>
      <c r="D344" t="s">
        <v>1571</v>
      </c>
      <c r="E344" t="s">
        <v>1572</v>
      </c>
      <c r="F344">
        <v>3399</v>
      </c>
      <c r="G344" s="23" t="s">
        <v>821</v>
      </c>
      <c r="H344" s="2" t="s">
        <v>2203</v>
      </c>
      <c r="I344" s="2"/>
      <c r="J344" s="2">
        <v>45393.346516203703</v>
      </c>
      <c r="K344" s="149">
        <v>0</v>
      </c>
      <c r="L344" s="149">
        <v>520800</v>
      </c>
      <c r="M344" s="149">
        <v>98952</v>
      </c>
      <c r="N344" s="149">
        <v>619752</v>
      </c>
      <c r="O344">
        <v>0</v>
      </c>
      <c r="P344">
        <v>0</v>
      </c>
      <c r="Q344">
        <v>0</v>
      </c>
      <c r="R344">
        <v>0</v>
      </c>
      <c r="S344">
        <v>0</v>
      </c>
      <c r="T344" t="s">
        <v>77</v>
      </c>
      <c r="U344">
        <v>0</v>
      </c>
      <c r="V344">
        <v>0</v>
      </c>
      <c r="W344">
        <v>0</v>
      </c>
      <c r="X344">
        <v>0</v>
      </c>
      <c r="AC344">
        <v>0</v>
      </c>
      <c r="AE344">
        <v>0</v>
      </c>
      <c r="AF344">
        <v>2</v>
      </c>
      <c r="AG344">
        <v>0</v>
      </c>
      <c r="AH344">
        <v>0</v>
      </c>
      <c r="AI344">
        <v>0</v>
      </c>
      <c r="AM344">
        <v>0</v>
      </c>
      <c r="AR344" t="s">
        <v>2214</v>
      </c>
      <c r="AS344" t="s">
        <v>1680</v>
      </c>
      <c r="AT344">
        <v>2024</v>
      </c>
      <c r="AU344">
        <v>10</v>
      </c>
      <c r="AV344" t="s">
        <v>78</v>
      </c>
      <c r="AX344" t="s">
        <v>2283</v>
      </c>
    </row>
    <row r="345" spans="1:50">
      <c r="A345">
        <v>70</v>
      </c>
      <c r="B345">
        <v>33</v>
      </c>
      <c r="C345" t="s">
        <v>74</v>
      </c>
      <c r="D345" t="s">
        <v>1571</v>
      </c>
      <c r="E345" t="s">
        <v>1572</v>
      </c>
      <c r="F345">
        <v>3400</v>
      </c>
      <c r="G345" s="23" t="s">
        <v>821</v>
      </c>
      <c r="H345" s="2" t="s">
        <v>2204</v>
      </c>
      <c r="I345" s="2"/>
      <c r="J345" s="2">
        <v>45393.346516203703</v>
      </c>
      <c r="K345" s="149">
        <v>0</v>
      </c>
      <c r="L345" s="149">
        <v>5656260</v>
      </c>
      <c r="M345" s="149">
        <v>1074689</v>
      </c>
      <c r="N345" s="149">
        <v>6730949</v>
      </c>
      <c r="O345">
        <v>0</v>
      </c>
      <c r="P345">
        <v>0</v>
      </c>
      <c r="Q345">
        <v>0</v>
      </c>
      <c r="R345">
        <v>0</v>
      </c>
      <c r="S345">
        <v>0</v>
      </c>
      <c r="T345" t="s">
        <v>77</v>
      </c>
      <c r="U345">
        <v>0</v>
      </c>
      <c r="V345">
        <v>0</v>
      </c>
      <c r="W345">
        <v>0</v>
      </c>
      <c r="X345">
        <v>0</v>
      </c>
      <c r="AC345">
        <v>0</v>
      </c>
      <c r="AE345">
        <v>0</v>
      </c>
      <c r="AF345">
        <v>2</v>
      </c>
      <c r="AG345">
        <v>0</v>
      </c>
      <c r="AH345">
        <v>0</v>
      </c>
      <c r="AI345">
        <v>0</v>
      </c>
      <c r="AM345">
        <v>0</v>
      </c>
      <c r="AR345" t="s">
        <v>2214</v>
      </c>
      <c r="AS345" t="s">
        <v>1680</v>
      </c>
      <c r="AT345">
        <v>2024</v>
      </c>
      <c r="AU345">
        <v>10</v>
      </c>
      <c r="AV345" t="s">
        <v>78</v>
      </c>
      <c r="AX345" t="s">
        <v>2284</v>
      </c>
    </row>
    <row r="346" spans="1:50">
      <c r="A346">
        <v>71</v>
      </c>
      <c r="B346">
        <v>56</v>
      </c>
      <c r="C346" t="s">
        <v>74</v>
      </c>
      <c r="D346" t="s">
        <v>1222</v>
      </c>
      <c r="E346" t="s">
        <v>1223</v>
      </c>
      <c r="F346">
        <v>10</v>
      </c>
      <c r="G346" s="23" t="s">
        <v>820</v>
      </c>
      <c r="H346" s="2" t="s">
        <v>819</v>
      </c>
      <c r="J346" t="s">
        <v>2187</v>
      </c>
      <c r="K346" s="149">
        <v>0</v>
      </c>
      <c r="L346" s="149">
        <v>17100000</v>
      </c>
      <c r="M346" s="149">
        <v>3249000</v>
      </c>
      <c r="N346" s="149">
        <v>20349000</v>
      </c>
      <c r="O346">
        <v>0</v>
      </c>
      <c r="P346">
        <v>0</v>
      </c>
      <c r="Q346">
        <v>0</v>
      </c>
      <c r="R346">
        <v>0</v>
      </c>
      <c r="S346">
        <v>0</v>
      </c>
      <c r="T346" t="s">
        <v>77</v>
      </c>
      <c r="U346">
        <v>0</v>
      </c>
      <c r="V346">
        <v>0</v>
      </c>
      <c r="W346">
        <v>0</v>
      </c>
      <c r="X346">
        <v>0</v>
      </c>
      <c r="Y346">
        <v>61</v>
      </c>
      <c r="Z346">
        <v>736</v>
      </c>
      <c r="AC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M346">
        <v>0</v>
      </c>
      <c r="AR346" t="s">
        <v>2214</v>
      </c>
      <c r="AS346" t="s">
        <v>1680</v>
      </c>
      <c r="AT346">
        <v>2024</v>
      </c>
      <c r="AU346">
        <v>10</v>
      </c>
      <c r="AV346" t="s">
        <v>2285</v>
      </c>
      <c r="AX346" t="s">
        <v>2286</v>
      </c>
    </row>
    <row r="347" spans="1:50">
      <c r="A347">
        <v>72</v>
      </c>
      <c r="B347">
        <v>61</v>
      </c>
      <c r="C347" t="s">
        <v>74</v>
      </c>
      <c r="D347" t="s">
        <v>1555</v>
      </c>
      <c r="E347" t="s">
        <v>1556</v>
      </c>
      <c r="F347">
        <v>728</v>
      </c>
      <c r="G347" s="23">
        <v>45573</v>
      </c>
      <c r="H347" s="2">
        <v>45514.541006944448</v>
      </c>
      <c r="K347" s="149">
        <v>0</v>
      </c>
      <c r="L347" s="149">
        <v>-151800</v>
      </c>
      <c r="M347" s="149">
        <v>-28842</v>
      </c>
      <c r="N347" s="149">
        <v>-180642</v>
      </c>
      <c r="O347">
        <v>0</v>
      </c>
      <c r="P347">
        <v>0</v>
      </c>
      <c r="Q347">
        <v>0</v>
      </c>
      <c r="R347">
        <v>0</v>
      </c>
      <c r="S347">
        <v>0</v>
      </c>
      <c r="T347" t="s">
        <v>77</v>
      </c>
      <c r="U347">
        <v>0</v>
      </c>
      <c r="V347">
        <v>0</v>
      </c>
      <c r="W347">
        <v>0</v>
      </c>
      <c r="X347">
        <v>0</v>
      </c>
      <c r="Y347">
        <v>33</v>
      </c>
      <c r="Z347">
        <v>3334</v>
      </c>
      <c r="AC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M347">
        <v>0</v>
      </c>
      <c r="AR347" t="s">
        <v>2214</v>
      </c>
      <c r="AS347" t="s">
        <v>1680</v>
      </c>
      <c r="AT347">
        <v>2024</v>
      </c>
      <c r="AU347">
        <v>10</v>
      </c>
      <c r="AV347" t="s">
        <v>318</v>
      </c>
      <c r="AX347" t="s">
        <v>2287</v>
      </c>
    </row>
    <row r="348" spans="1:50">
      <c r="A348">
        <v>73</v>
      </c>
      <c r="B348">
        <v>61</v>
      </c>
      <c r="C348" t="s">
        <v>74</v>
      </c>
      <c r="D348" t="s">
        <v>1564</v>
      </c>
      <c r="E348" t="s">
        <v>1565</v>
      </c>
      <c r="F348">
        <v>729</v>
      </c>
      <c r="G348" s="23">
        <v>45574</v>
      </c>
      <c r="H348" s="2">
        <v>45545.52783564815</v>
      </c>
      <c r="K348" s="149">
        <v>0</v>
      </c>
      <c r="L348" s="149">
        <v>-129900</v>
      </c>
      <c r="M348" s="149">
        <v>-24681</v>
      </c>
      <c r="N348" s="149">
        <v>-154581</v>
      </c>
      <c r="O348">
        <v>0</v>
      </c>
      <c r="P348">
        <v>0</v>
      </c>
      <c r="Q348">
        <v>0</v>
      </c>
      <c r="R348">
        <v>0</v>
      </c>
      <c r="S348">
        <v>0</v>
      </c>
      <c r="T348" t="s">
        <v>77</v>
      </c>
      <c r="U348">
        <v>0</v>
      </c>
      <c r="V348">
        <v>0</v>
      </c>
      <c r="W348">
        <v>0</v>
      </c>
      <c r="X348">
        <v>0</v>
      </c>
      <c r="Y348">
        <v>33</v>
      </c>
      <c r="Z348">
        <v>3342</v>
      </c>
      <c r="AC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M348">
        <v>0</v>
      </c>
      <c r="AR348" t="s">
        <v>2214</v>
      </c>
      <c r="AS348" t="s">
        <v>1680</v>
      </c>
      <c r="AT348">
        <v>2024</v>
      </c>
      <c r="AU348">
        <v>10</v>
      </c>
      <c r="AV348" t="s">
        <v>318</v>
      </c>
      <c r="AX348" t="s">
        <v>2288</v>
      </c>
    </row>
    <row r="349" spans="1:50">
      <c r="A349">
        <v>74</v>
      </c>
      <c r="B349">
        <v>61</v>
      </c>
      <c r="C349" t="s">
        <v>74</v>
      </c>
      <c r="D349" t="s">
        <v>1600</v>
      </c>
      <c r="E349" t="s">
        <v>1601</v>
      </c>
      <c r="F349">
        <v>730</v>
      </c>
      <c r="G349" s="23" t="s">
        <v>808</v>
      </c>
      <c r="H349" s="2" t="s">
        <v>2205</v>
      </c>
      <c r="K349" s="149">
        <v>-10000</v>
      </c>
      <c r="L349" s="149">
        <v>-20000</v>
      </c>
      <c r="M349" s="149">
        <v>-3800</v>
      </c>
      <c r="N349" s="149">
        <v>-33800</v>
      </c>
      <c r="O349">
        <v>0</v>
      </c>
      <c r="P349">
        <v>0</v>
      </c>
      <c r="Q349">
        <v>0</v>
      </c>
      <c r="R349">
        <v>0</v>
      </c>
      <c r="S349">
        <v>0</v>
      </c>
      <c r="T349" t="s">
        <v>77</v>
      </c>
      <c r="U349">
        <v>0</v>
      </c>
      <c r="V349">
        <v>0</v>
      </c>
      <c r="W349">
        <v>0</v>
      </c>
      <c r="X349">
        <v>0</v>
      </c>
      <c r="Y349">
        <v>33</v>
      </c>
      <c r="Z349">
        <v>3351</v>
      </c>
      <c r="AC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M349">
        <v>0</v>
      </c>
      <c r="AR349" t="s">
        <v>2214</v>
      </c>
      <c r="AS349" t="s">
        <v>1680</v>
      </c>
      <c r="AT349">
        <v>2024</v>
      </c>
      <c r="AU349">
        <v>10</v>
      </c>
      <c r="AV349" t="s">
        <v>318</v>
      </c>
      <c r="AX349" t="s">
        <v>2289</v>
      </c>
    </row>
    <row r="350" spans="1:50">
      <c r="A350">
        <v>75</v>
      </c>
      <c r="B350">
        <v>61</v>
      </c>
      <c r="C350" t="s">
        <v>74</v>
      </c>
      <c r="D350" t="s">
        <v>1579</v>
      </c>
      <c r="E350" t="s">
        <v>1580</v>
      </c>
      <c r="F350">
        <v>731</v>
      </c>
      <c r="G350" s="23" t="s">
        <v>808</v>
      </c>
      <c r="H350" s="2" t="s">
        <v>2206</v>
      </c>
      <c r="I350" s="2"/>
      <c r="K350" s="149">
        <v>0</v>
      </c>
      <c r="L350" s="149">
        <v>-5433240</v>
      </c>
      <c r="M350" s="149">
        <v>-1032315</v>
      </c>
      <c r="N350" s="149">
        <v>-6465555</v>
      </c>
      <c r="O350">
        <v>0</v>
      </c>
      <c r="P350">
        <v>0</v>
      </c>
      <c r="Q350">
        <v>0</v>
      </c>
      <c r="R350">
        <v>0</v>
      </c>
      <c r="S350">
        <v>0</v>
      </c>
      <c r="T350" t="s">
        <v>77</v>
      </c>
      <c r="U350">
        <v>0</v>
      </c>
      <c r="V350">
        <v>0</v>
      </c>
      <c r="W350">
        <v>0</v>
      </c>
      <c r="X350">
        <v>0</v>
      </c>
      <c r="Y350">
        <v>33</v>
      </c>
      <c r="Z350">
        <v>3350</v>
      </c>
      <c r="AC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M350">
        <v>0</v>
      </c>
      <c r="AR350" t="s">
        <v>2214</v>
      </c>
      <c r="AS350" t="s">
        <v>1680</v>
      </c>
      <c r="AT350">
        <v>2024</v>
      </c>
      <c r="AU350">
        <v>10</v>
      </c>
      <c r="AV350" t="s">
        <v>318</v>
      </c>
      <c r="AX350" t="s">
        <v>2290</v>
      </c>
    </row>
    <row r="351" spans="1:50">
      <c r="A351">
        <v>76</v>
      </c>
      <c r="B351">
        <v>61</v>
      </c>
      <c r="C351" t="s">
        <v>74</v>
      </c>
      <c r="D351" t="s">
        <v>1353</v>
      </c>
      <c r="E351" t="s">
        <v>1354</v>
      </c>
      <c r="F351">
        <v>732</v>
      </c>
      <c r="G351" s="23" t="s">
        <v>813</v>
      </c>
      <c r="H351" s="2" t="s">
        <v>2207</v>
      </c>
      <c r="I351" t="s">
        <v>2155</v>
      </c>
      <c r="K351" s="149">
        <v>0</v>
      </c>
      <c r="L351" s="149">
        <v>-2989218</v>
      </c>
      <c r="M351" s="149">
        <v>-567951</v>
      </c>
      <c r="N351" s="149">
        <v>-3557169</v>
      </c>
      <c r="O351">
        <v>0</v>
      </c>
      <c r="P351">
        <v>0</v>
      </c>
      <c r="Q351">
        <v>0</v>
      </c>
      <c r="R351">
        <v>0</v>
      </c>
      <c r="S351">
        <v>0</v>
      </c>
      <c r="T351" t="s">
        <v>77</v>
      </c>
      <c r="U351">
        <v>0</v>
      </c>
      <c r="V351">
        <v>0</v>
      </c>
      <c r="W351">
        <v>0</v>
      </c>
      <c r="X351">
        <v>0</v>
      </c>
      <c r="Y351">
        <v>33</v>
      </c>
      <c r="Z351">
        <v>3371</v>
      </c>
      <c r="AC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M351">
        <v>0</v>
      </c>
      <c r="AR351" t="s">
        <v>2214</v>
      </c>
      <c r="AS351" t="s">
        <v>1680</v>
      </c>
      <c r="AT351">
        <v>2024</v>
      </c>
      <c r="AU351">
        <v>10</v>
      </c>
      <c r="AV351" t="s">
        <v>318</v>
      </c>
      <c r="AX351" t="s">
        <v>2291</v>
      </c>
    </row>
    <row r="352" spans="1:50">
      <c r="A352">
        <v>77</v>
      </c>
      <c r="B352">
        <v>61</v>
      </c>
      <c r="C352" t="s">
        <v>74</v>
      </c>
      <c r="D352" t="s">
        <v>1222</v>
      </c>
      <c r="E352" t="s">
        <v>1223</v>
      </c>
      <c r="F352">
        <v>733</v>
      </c>
      <c r="G352" s="23" t="s">
        <v>814</v>
      </c>
      <c r="H352" s="2" t="s">
        <v>2208</v>
      </c>
      <c r="J352" t="s">
        <v>2160</v>
      </c>
      <c r="K352" s="149">
        <v>0</v>
      </c>
      <c r="L352" s="149">
        <v>-474000</v>
      </c>
      <c r="M352" s="149">
        <v>-90060</v>
      </c>
      <c r="N352" s="149">
        <v>-564060</v>
      </c>
      <c r="O352">
        <v>0</v>
      </c>
      <c r="P352">
        <v>0</v>
      </c>
      <c r="Q352">
        <v>0</v>
      </c>
      <c r="R352">
        <v>0</v>
      </c>
      <c r="S352">
        <v>0</v>
      </c>
      <c r="T352" t="s">
        <v>77</v>
      </c>
      <c r="U352">
        <v>0</v>
      </c>
      <c r="V352">
        <v>0</v>
      </c>
      <c r="W352">
        <v>0</v>
      </c>
      <c r="X352">
        <v>0</v>
      </c>
      <c r="Y352">
        <v>33</v>
      </c>
      <c r="Z352">
        <v>3374</v>
      </c>
      <c r="AC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M352">
        <v>0</v>
      </c>
      <c r="AR352" t="s">
        <v>2214</v>
      </c>
      <c r="AS352" t="s">
        <v>1680</v>
      </c>
      <c r="AT352">
        <v>2024</v>
      </c>
      <c r="AU352">
        <v>10</v>
      </c>
      <c r="AV352" t="s">
        <v>318</v>
      </c>
      <c r="AX352" t="s">
        <v>2292</v>
      </c>
    </row>
    <row r="353" spans="1:50">
      <c r="A353">
        <v>78</v>
      </c>
      <c r="B353">
        <v>61</v>
      </c>
      <c r="C353" t="s">
        <v>74</v>
      </c>
      <c r="D353" t="s">
        <v>1561</v>
      </c>
      <c r="E353" t="s">
        <v>1562</v>
      </c>
      <c r="F353">
        <v>734</v>
      </c>
      <c r="G353" s="23" t="s">
        <v>813</v>
      </c>
      <c r="H353" s="2" t="s">
        <v>2209</v>
      </c>
      <c r="I353" s="2"/>
      <c r="K353" s="149">
        <v>0</v>
      </c>
      <c r="L353" s="149">
        <v>-12862500</v>
      </c>
      <c r="M353" s="149">
        <v>-2443875</v>
      </c>
      <c r="N353" s="149">
        <v>-15306375</v>
      </c>
      <c r="O353">
        <v>0</v>
      </c>
      <c r="P353">
        <v>0</v>
      </c>
      <c r="Q353">
        <v>0</v>
      </c>
      <c r="R353">
        <v>0</v>
      </c>
      <c r="S353">
        <v>0</v>
      </c>
      <c r="T353" t="s">
        <v>77</v>
      </c>
      <c r="U353">
        <v>0</v>
      </c>
      <c r="V353">
        <v>0</v>
      </c>
      <c r="W353">
        <v>0</v>
      </c>
      <c r="X353">
        <v>0</v>
      </c>
      <c r="Y353">
        <v>33</v>
      </c>
      <c r="Z353">
        <v>3360</v>
      </c>
      <c r="AC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M353">
        <v>0</v>
      </c>
      <c r="AR353" t="s">
        <v>2214</v>
      </c>
      <c r="AS353" t="s">
        <v>1680</v>
      </c>
      <c r="AT353">
        <v>2024</v>
      </c>
      <c r="AU353">
        <v>10</v>
      </c>
      <c r="AV353" t="s">
        <v>318</v>
      </c>
      <c r="AX353" t="s">
        <v>2293</v>
      </c>
    </row>
    <row r="354" spans="1:50">
      <c r="A354">
        <v>79</v>
      </c>
      <c r="B354">
        <v>61</v>
      </c>
      <c r="C354" t="s">
        <v>74</v>
      </c>
      <c r="D354" t="s">
        <v>1581</v>
      </c>
      <c r="E354" t="s">
        <v>1582</v>
      </c>
      <c r="F354">
        <v>735</v>
      </c>
      <c r="G354" s="23" t="s">
        <v>815</v>
      </c>
      <c r="H354" s="2" t="s">
        <v>2210</v>
      </c>
      <c r="K354" s="149">
        <v>0</v>
      </c>
      <c r="L354" s="149">
        <v>-57128</v>
      </c>
      <c r="M354" s="149">
        <v>-10854</v>
      </c>
      <c r="N354" s="149">
        <v>-67982</v>
      </c>
      <c r="O354">
        <v>0</v>
      </c>
      <c r="P354">
        <v>0</v>
      </c>
      <c r="Q354">
        <v>0</v>
      </c>
      <c r="R354">
        <v>0</v>
      </c>
      <c r="S354">
        <v>0</v>
      </c>
      <c r="T354" t="s">
        <v>77</v>
      </c>
      <c r="U354">
        <v>0</v>
      </c>
      <c r="V354">
        <v>0</v>
      </c>
      <c r="W354">
        <v>0</v>
      </c>
      <c r="X354">
        <v>0</v>
      </c>
      <c r="Y354">
        <v>33</v>
      </c>
      <c r="Z354">
        <v>3366</v>
      </c>
      <c r="AC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M354">
        <v>0</v>
      </c>
      <c r="AR354" t="s">
        <v>2214</v>
      </c>
      <c r="AS354" t="s">
        <v>1680</v>
      </c>
      <c r="AT354">
        <v>2024</v>
      </c>
      <c r="AU354">
        <v>10</v>
      </c>
      <c r="AV354" t="s">
        <v>318</v>
      </c>
      <c r="AX354" t="s">
        <v>2294</v>
      </c>
    </row>
    <row r="355" spans="1:50">
      <c r="A355">
        <v>80</v>
      </c>
      <c r="B355">
        <v>61</v>
      </c>
      <c r="C355" t="s">
        <v>74</v>
      </c>
      <c r="D355" t="s">
        <v>1222</v>
      </c>
      <c r="E355" t="s">
        <v>1223</v>
      </c>
      <c r="F355">
        <v>736</v>
      </c>
      <c r="G355" s="23" t="s">
        <v>820</v>
      </c>
      <c r="H355" s="2" t="s">
        <v>2211</v>
      </c>
      <c r="J355" t="s">
        <v>2187</v>
      </c>
      <c r="K355" s="149">
        <v>0</v>
      </c>
      <c r="L355" s="149">
        <v>-17100000</v>
      </c>
      <c r="M355" s="149">
        <v>-3249000</v>
      </c>
      <c r="N355" s="149">
        <v>-20349000</v>
      </c>
      <c r="O355">
        <v>0</v>
      </c>
      <c r="P355">
        <v>0</v>
      </c>
      <c r="Q355">
        <v>0</v>
      </c>
      <c r="R355">
        <v>0</v>
      </c>
      <c r="S355">
        <v>0</v>
      </c>
      <c r="T355" t="s">
        <v>77</v>
      </c>
      <c r="U355">
        <v>0</v>
      </c>
      <c r="V355">
        <v>0</v>
      </c>
      <c r="W355">
        <v>0</v>
      </c>
      <c r="X355">
        <v>0</v>
      </c>
      <c r="Y355">
        <v>33</v>
      </c>
      <c r="Z355">
        <v>3389</v>
      </c>
      <c r="AC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M355">
        <v>0</v>
      </c>
      <c r="AR355" t="s">
        <v>2214</v>
      </c>
      <c r="AS355" t="s">
        <v>1680</v>
      </c>
      <c r="AT355">
        <v>2024</v>
      </c>
      <c r="AU355">
        <v>10</v>
      </c>
      <c r="AV355" t="s">
        <v>318</v>
      </c>
      <c r="AX355" t="s">
        <v>2295</v>
      </c>
    </row>
    <row r="356" spans="1:50">
      <c r="A356">
        <v>81</v>
      </c>
      <c r="B356">
        <v>61</v>
      </c>
      <c r="C356" t="s">
        <v>74</v>
      </c>
      <c r="D356" t="s">
        <v>1222</v>
      </c>
      <c r="E356" t="s">
        <v>1223</v>
      </c>
      <c r="F356">
        <v>737</v>
      </c>
      <c r="G356" s="23" t="s">
        <v>820</v>
      </c>
      <c r="H356" s="2" t="s">
        <v>2212</v>
      </c>
      <c r="J356" t="s">
        <v>2187</v>
      </c>
      <c r="K356" s="149">
        <v>0</v>
      </c>
      <c r="L356" s="149">
        <v>-17100000</v>
      </c>
      <c r="M356" s="149">
        <v>-3249000</v>
      </c>
      <c r="N356" s="149">
        <v>-20349000</v>
      </c>
      <c r="O356">
        <v>0</v>
      </c>
      <c r="P356">
        <v>0</v>
      </c>
      <c r="Q356">
        <v>0</v>
      </c>
      <c r="R356">
        <v>0</v>
      </c>
      <c r="S356">
        <v>0</v>
      </c>
      <c r="T356" t="s">
        <v>77</v>
      </c>
      <c r="U356">
        <v>0</v>
      </c>
      <c r="V356">
        <v>0</v>
      </c>
      <c r="W356">
        <v>0</v>
      </c>
      <c r="X356">
        <v>0</v>
      </c>
      <c r="Y356">
        <v>33</v>
      </c>
      <c r="Z356">
        <v>3389</v>
      </c>
      <c r="AC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M356">
        <v>0</v>
      </c>
      <c r="AR356" t="s">
        <v>2214</v>
      </c>
      <c r="AS356" t="s">
        <v>1680</v>
      </c>
      <c r="AT356">
        <v>2024</v>
      </c>
      <c r="AU356">
        <v>10</v>
      </c>
      <c r="AV356" t="s">
        <v>318</v>
      </c>
      <c r="AX356" t="s">
        <v>2296</v>
      </c>
    </row>
    <row r="357" spans="1:50">
      <c r="A357">
        <v>82</v>
      </c>
      <c r="B357">
        <v>61</v>
      </c>
      <c r="C357" t="s">
        <v>74</v>
      </c>
      <c r="D357" t="s">
        <v>1571</v>
      </c>
      <c r="E357" t="s">
        <v>1572</v>
      </c>
      <c r="F357">
        <v>738</v>
      </c>
      <c r="G357" s="23" t="s">
        <v>821</v>
      </c>
      <c r="H357" s="2" t="s">
        <v>2213</v>
      </c>
      <c r="I357" s="2"/>
      <c r="J357" t="s">
        <v>2202</v>
      </c>
      <c r="K357" s="149">
        <v>0</v>
      </c>
      <c r="L357" s="149">
        <v>-6547480</v>
      </c>
      <c r="M357" s="149">
        <v>-1244021</v>
      </c>
      <c r="N357" s="149">
        <v>-7791501</v>
      </c>
      <c r="O357">
        <v>0</v>
      </c>
      <c r="P357">
        <v>0</v>
      </c>
      <c r="Q357">
        <v>0</v>
      </c>
      <c r="R357">
        <v>0</v>
      </c>
      <c r="S357">
        <v>0</v>
      </c>
      <c r="T357" t="s">
        <v>77</v>
      </c>
      <c r="U357">
        <v>0</v>
      </c>
      <c r="V357">
        <v>0</v>
      </c>
      <c r="W357">
        <v>0</v>
      </c>
      <c r="X357">
        <v>0</v>
      </c>
      <c r="Y357">
        <v>33</v>
      </c>
      <c r="Z357">
        <v>3398</v>
      </c>
      <c r="AC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M357">
        <v>0</v>
      </c>
      <c r="AR357" t="s">
        <v>2214</v>
      </c>
      <c r="AS357" t="s">
        <v>1680</v>
      </c>
      <c r="AT357">
        <v>2024</v>
      </c>
      <c r="AU357">
        <v>10</v>
      </c>
      <c r="AV357" t="s">
        <v>318</v>
      </c>
      <c r="AX357" t="s">
        <v>2297</v>
      </c>
    </row>
    <row r="358" spans="1:50">
      <c r="A358">
        <v>83</v>
      </c>
      <c r="B358">
        <v>61</v>
      </c>
      <c r="C358" t="s">
        <v>74</v>
      </c>
      <c r="D358" t="s">
        <v>1571</v>
      </c>
      <c r="E358" t="s">
        <v>1572</v>
      </c>
      <c r="F358">
        <v>744</v>
      </c>
      <c r="G358" s="23" t="s">
        <v>885</v>
      </c>
      <c r="H358" s="2">
        <v>45484.466134259259</v>
      </c>
      <c r="K358" s="149">
        <v>0</v>
      </c>
      <c r="L358" s="149">
        <v>-520800</v>
      </c>
      <c r="M358" s="149">
        <v>-98952</v>
      </c>
      <c r="N358" s="149">
        <v>-619752</v>
      </c>
      <c r="O358">
        <v>0</v>
      </c>
      <c r="P358">
        <v>0</v>
      </c>
      <c r="Q358">
        <v>0</v>
      </c>
      <c r="R358">
        <v>0</v>
      </c>
      <c r="S358">
        <v>0</v>
      </c>
      <c r="T358" t="s">
        <v>77</v>
      </c>
      <c r="U358">
        <v>0</v>
      </c>
      <c r="V358">
        <v>0</v>
      </c>
      <c r="W358">
        <v>0</v>
      </c>
      <c r="X358">
        <v>0</v>
      </c>
      <c r="Y358">
        <v>33</v>
      </c>
      <c r="Z358">
        <v>3399</v>
      </c>
      <c r="AC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M358">
        <v>0</v>
      </c>
      <c r="AR358" t="s">
        <v>2214</v>
      </c>
      <c r="AS358" t="s">
        <v>1680</v>
      </c>
      <c r="AT358">
        <v>2024</v>
      </c>
      <c r="AU358">
        <v>10</v>
      </c>
      <c r="AV358" t="s">
        <v>318</v>
      </c>
      <c r="AX358" t="s">
        <v>2298</v>
      </c>
    </row>
    <row r="359" spans="1:50">
      <c r="A359">
        <v>84</v>
      </c>
      <c r="B359">
        <v>61</v>
      </c>
      <c r="C359" t="s">
        <v>74</v>
      </c>
      <c r="D359" t="s">
        <v>1571</v>
      </c>
      <c r="E359" t="s">
        <v>1572</v>
      </c>
      <c r="F359">
        <v>745</v>
      </c>
      <c r="G359" s="23" t="s">
        <v>885</v>
      </c>
      <c r="H359" s="2">
        <v>45484.473796296297</v>
      </c>
      <c r="K359" s="149">
        <v>0</v>
      </c>
      <c r="L359" s="149">
        <v>-5656260</v>
      </c>
      <c r="M359" s="149">
        <v>-1074689</v>
      </c>
      <c r="N359" s="149">
        <v>-6730949</v>
      </c>
      <c r="O359">
        <v>0</v>
      </c>
      <c r="P359">
        <v>0</v>
      </c>
      <c r="Q359">
        <v>0</v>
      </c>
      <c r="R359">
        <v>0</v>
      </c>
      <c r="S359">
        <v>0</v>
      </c>
      <c r="T359" t="s">
        <v>77</v>
      </c>
      <c r="U359">
        <v>0</v>
      </c>
      <c r="V359">
        <v>0</v>
      </c>
      <c r="W359">
        <v>0</v>
      </c>
      <c r="X359">
        <v>0</v>
      </c>
      <c r="Y359">
        <v>33</v>
      </c>
      <c r="Z359">
        <v>3400</v>
      </c>
      <c r="AC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M359">
        <v>0</v>
      </c>
      <c r="AR359" t="s">
        <v>2214</v>
      </c>
      <c r="AS359" t="s">
        <v>1680</v>
      </c>
      <c r="AT359">
        <v>2024</v>
      </c>
      <c r="AU359">
        <v>10</v>
      </c>
      <c r="AV359" t="s">
        <v>318</v>
      </c>
      <c r="AX359" t="s">
        <v>2299</v>
      </c>
    </row>
    <row r="360" spans="1:50">
      <c r="A360">
        <v>1</v>
      </c>
      <c r="B360">
        <v>33</v>
      </c>
      <c r="C360" t="s">
        <v>74</v>
      </c>
      <c r="D360" t="s">
        <v>1571</v>
      </c>
      <c r="E360" t="s">
        <v>1572</v>
      </c>
      <c r="F360">
        <v>3401</v>
      </c>
      <c r="G360" s="23">
        <v>45598</v>
      </c>
      <c r="H360" s="2" t="s">
        <v>2300</v>
      </c>
      <c r="I360" s="2">
        <v>45393.861655092594</v>
      </c>
      <c r="K360" s="149">
        <v>0</v>
      </c>
      <c r="L360" s="149">
        <v>2982670</v>
      </c>
      <c r="M360" s="149">
        <v>566708</v>
      </c>
      <c r="N360" s="149">
        <v>3549378</v>
      </c>
      <c r="O360">
        <v>0</v>
      </c>
      <c r="P360">
        <v>0</v>
      </c>
      <c r="Q360">
        <v>0</v>
      </c>
      <c r="R360">
        <v>0</v>
      </c>
      <c r="S360">
        <v>0</v>
      </c>
      <c r="T360" t="s">
        <v>77</v>
      </c>
      <c r="U360">
        <v>0</v>
      </c>
      <c r="V360">
        <v>0</v>
      </c>
      <c r="W360">
        <v>0</v>
      </c>
      <c r="X360">
        <v>0</v>
      </c>
      <c r="AC360">
        <v>0</v>
      </c>
      <c r="AE360">
        <v>0</v>
      </c>
      <c r="AF360">
        <v>2</v>
      </c>
      <c r="AG360">
        <v>0</v>
      </c>
      <c r="AH360">
        <v>0</v>
      </c>
      <c r="AI360">
        <v>0</v>
      </c>
      <c r="AM360">
        <v>0</v>
      </c>
      <c r="AR360" t="s">
        <v>2385</v>
      </c>
      <c r="AS360" t="s">
        <v>1680</v>
      </c>
      <c r="AT360">
        <v>2024</v>
      </c>
      <c r="AU360">
        <v>11</v>
      </c>
      <c r="AV360" t="s">
        <v>78</v>
      </c>
      <c r="AX360" t="s">
        <v>2386</v>
      </c>
    </row>
    <row r="361" spans="1:50">
      <c r="A361">
        <v>2</v>
      </c>
      <c r="B361">
        <v>33</v>
      </c>
      <c r="C361" t="s">
        <v>74</v>
      </c>
      <c r="D361" t="s">
        <v>1571</v>
      </c>
      <c r="E361" t="s">
        <v>1572</v>
      </c>
      <c r="F361">
        <v>3402</v>
      </c>
      <c r="G361" s="23">
        <v>45598</v>
      </c>
      <c r="H361" s="2" t="s">
        <v>2301</v>
      </c>
      <c r="I361" s="2"/>
      <c r="J361" s="2">
        <v>45454.338969907411</v>
      </c>
      <c r="K361" s="149">
        <v>0</v>
      </c>
      <c r="L361" s="149">
        <v>9017940</v>
      </c>
      <c r="M361" s="149">
        <v>1713409</v>
      </c>
      <c r="N361" s="149">
        <v>10731349</v>
      </c>
      <c r="O361">
        <v>0</v>
      </c>
      <c r="P361">
        <v>0</v>
      </c>
      <c r="Q361">
        <v>0</v>
      </c>
      <c r="R361">
        <v>0</v>
      </c>
      <c r="S361">
        <v>0</v>
      </c>
      <c r="T361" t="s">
        <v>77</v>
      </c>
      <c r="U361">
        <v>0</v>
      </c>
      <c r="V361">
        <v>0</v>
      </c>
      <c r="W361">
        <v>0</v>
      </c>
      <c r="X361">
        <v>0</v>
      </c>
      <c r="AC361">
        <v>0</v>
      </c>
      <c r="AE361">
        <v>0</v>
      </c>
      <c r="AF361">
        <v>2</v>
      </c>
      <c r="AG361">
        <v>0</v>
      </c>
      <c r="AH361">
        <v>0</v>
      </c>
      <c r="AI361">
        <v>0</v>
      </c>
      <c r="AM361">
        <v>0</v>
      </c>
      <c r="AR361" t="s">
        <v>2385</v>
      </c>
      <c r="AS361" t="s">
        <v>1680</v>
      </c>
      <c r="AT361">
        <v>2024</v>
      </c>
      <c r="AU361">
        <v>11</v>
      </c>
      <c r="AV361" t="s">
        <v>78</v>
      </c>
      <c r="AX361" t="s">
        <v>2387</v>
      </c>
    </row>
    <row r="362" spans="1:50">
      <c r="A362">
        <v>3</v>
      </c>
      <c r="B362">
        <v>33</v>
      </c>
      <c r="C362" t="s">
        <v>74</v>
      </c>
      <c r="D362" t="s">
        <v>1222</v>
      </c>
      <c r="E362" t="s">
        <v>1223</v>
      </c>
      <c r="F362">
        <v>3403</v>
      </c>
      <c r="G362" s="23">
        <v>45600</v>
      </c>
      <c r="H362" s="2" t="s">
        <v>2302</v>
      </c>
      <c r="I362" s="2"/>
      <c r="J362" s="2">
        <v>45454.701851851853</v>
      </c>
      <c r="K362" s="149">
        <v>0</v>
      </c>
      <c r="L362" s="149">
        <v>13128400</v>
      </c>
      <c r="M362" s="149">
        <v>2494396</v>
      </c>
      <c r="N362" s="149">
        <v>15622796</v>
      </c>
      <c r="O362">
        <v>0</v>
      </c>
      <c r="P362">
        <v>0</v>
      </c>
      <c r="Q362">
        <v>0</v>
      </c>
      <c r="R362">
        <v>0</v>
      </c>
      <c r="S362">
        <v>0</v>
      </c>
      <c r="T362" t="s">
        <v>77</v>
      </c>
      <c r="U362">
        <v>0</v>
      </c>
      <c r="V362">
        <v>0</v>
      </c>
      <c r="W362">
        <v>0</v>
      </c>
      <c r="X362">
        <v>0</v>
      </c>
      <c r="AC362">
        <v>0</v>
      </c>
      <c r="AE362">
        <v>0</v>
      </c>
      <c r="AF362">
        <v>2</v>
      </c>
      <c r="AG362">
        <v>0</v>
      </c>
      <c r="AH362">
        <v>0</v>
      </c>
      <c r="AI362">
        <v>0</v>
      </c>
      <c r="AM362">
        <v>0</v>
      </c>
      <c r="AR362" t="s">
        <v>2385</v>
      </c>
      <c r="AS362" t="s">
        <v>1680</v>
      </c>
      <c r="AT362">
        <v>2024</v>
      </c>
      <c r="AU362">
        <v>11</v>
      </c>
      <c r="AV362" t="s">
        <v>78</v>
      </c>
      <c r="AX362" t="s">
        <v>2388</v>
      </c>
    </row>
    <row r="363" spans="1:50">
      <c r="A363">
        <v>4</v>
      </c>
      <c r="B363">
        <v>33</v>
      </c>
      <c r="C363" t="s">
        <v>74</v>
      </c>
      <c r="D363" t="s">
        <v>1561</v>
      </c>
      <c r="E363" t="s">
        <v>1562</v>
      </c>
      <c r="F363">
        <v>3404</v>
      </c>
      <c r="G363" s="23">
        <v>45601</v>
      </c>
      <c r="H363" s="2" t="s">
        <v>2303</v>
      </c>
      <c r="I363" s="2"/>
      <c r="K363" s="149">
        <v>0</v>
      </c>
      <c r="L363" s="149">
        <v>7717500</v>
      </c>
      <c r="M363" s="149">
        <v>1466325</v>
      </c>
      <c r="N363" s="149">
        <v>9183825</v>
      </c>
      <c r="O363">
        <v>0</v>
      </c>
      <c r="P363">
        <v>0</v>
      </c>
      <c r="Q363">
        <v>0</v>
      </c>
      <c r="R363">
        <v>0</v>
      </c>
      <c r="S363">
        <v>0</v>
      </c>
      <c r="T363" t="s">
        <v>77</v>
      </c>
      <c r="U363">
        <v>0</v>
      </c>
      <c r="V363">
        <v>0</v>
      </c>
      <c r="W363">
        <v>0</v>
      </c>
      <c r="X363">
        <v>0</v>
      </c>
      <c r="AC363">
        <v>0</v>
      </c>
      <c r="AE363">
        <v>0</v>
      </c>
      <c r="AF363">
        <v>2</v>
      </c>
      <c r="AG363">
        <v>0</v>
      </c>
      <c r="AH363">
        <v>0</v>
      </c>
      <c r="AI363">
        <v>0</v>
      </c>
      <c r="AM363">
        <v>0</v>
      </c>
      <c r="AR363" t="s">
        <v>2385</v>
      </c>
      <c r="AS363" t="s">
        <v>1680</v>
      </c>
      <c r="AT363">
        <v>2024</v>
      </c>
      <c r="AU363">
        <v>11</v>
      </c>
      <c r="AV363" t="s">
        <v>78</v>
      </c>
      <c r="AX363" t="s">
        <v>2389</v>
      </c>
    </row>
    <row r="364" spans="1:50">
      <c r="A364">
        <v>5</v>
      </c>
      <c r="B364">
        <v>33</v>
      </c>
      <c r="C364" t="s">
        <v>74</v>
      </c>
      <c r="D364" t="s">
        <v>1581</v>
      </c>
      <c r="E364" t="s">
        <v>1582</v>
      </c>
      <c r="F364">
        <v>3405</v>
      </c>
      <c r="G364" s="23">
        <v>45601</v>
      </c>
      <c r="H364" s="2" t="s">
        <v>2304</v>
      </c>
      <c r="I364" s="2"/>
      <c r="K364" s="149">
        <v>0</v>
      </c>
      <c r="L364" s="149">
        <v>82706</v>
      </c>
      <c r="M364" s="149">
        <v>15714</v>
      </c>
      <c r="N364" s="149">
        <v>98420</v>
      </c>
      <c r="O364">
        <v>0</v>
      </c>
      <c r="P364">
        <v>0</v>
      </c>
      <c r="Q364">
        <v>0</v>
      </c>
      <c r="R364">
        <v>0</v>
      </c>
      <c r="S364">
        <v>0</v>
      </c>
      <c r="T364" t="s">
        <v>77</v>
      </c>
      <c r="U364">
        <v>0</v>
      </c>
      <c r="V364">
        <v>0</v>
      </c>
      <c r="W364">
        <v>0</v>
      </c>
      <c r="X364">
        <v>0</v>
      </c>
      <c r="Y364">
        <v>0</v>
      </c>
      <c r="AC364">
        <v>0</v>
      </c>
      <c r="AE364">
        <v>0</v>
      </c>
      <c r="AF364">
        <v>2</v>
      </c>
      <c r="AG364">
        <v>0</v>
      </c>
      <c r="AH364">
        <v>0</v>
      </c>
      <c r="AI364">
        <v>0</v>
      </c>
      <c r="AM364">
        <v>0</v>
      </c>
      <c r="AR364" t="s">
        <v>2385</v>
      </c>
      <c r="AS364" t="s">
        <v>1680</v>
      </c>
      <c r="AT364">
        <v>2024</v>
      </c>
      <c r="AU364">
        <v>11</v>
      </c>
      <c r="AV364" t="s">
        <v>78</v>
      </c>
      <c r="AX364" t="s">
        <v>2390</v>
      </c>
    </row>
    <row r="365" spans="1:50">
      <c r="A365">
        <v>6</v>
      </c>
      <c r="B365">
        <v>33</v>
      </c>
      <c r="C365" t="s">
        <v>74</v>
      </c>
      <c r="D365" t="s">
        <v>1581</v>
      </c>
      <c r="E365" t="s">
        <v>1582</v>
      </c>
      <c r="F365">
        <v>3406</v>
      </c>
      <c r="G365" s="23">
        <v>45601</v>
      </c>
      <c r="H365" s="2" t="s">
        <v>2305</v>
      </c>
      <c r="I365" s="2">
        <v>45484.465613425928</v>
      </c>
      <c r="K365" s="149">
        <v>0</v>
      </c>
      <c r="L365" s="149">
        <v>182740</v>
      </c>
      <c r="M365" s="149">
        <v>34721</v>
      </c>
      <c r="N365" s="149">
        <v>217461</v>
      </c>
      <c r="O365">
        <v>0</v>
      </c>
      <c r="P365">
        <v>0</v>
      </c>
      <c r="Q365">
        <v>0</v>
      </c>
      <c r="R365">
        <v>0</v>
      </c>
      <c r="S365">
        <v>0</v>
      </c>
      <c r="T365" t="s">
        <v>77</v>
      </c>
      <c r="U365">
        <v>0</v>
      </c>
      <c r="V365">
        <v>0</v>
      </c>
      <c r="W365">
        <v>0</v>
      </c>
      <c r="X365">
        <v>0</v>
      </c>
      <c r="Y365">
        <v>0</v>
      </c>
      <c r="AC365">
        <v>0</v>
      </c>
      <c r="AE365">
        <v>0</v>
      </c>
      <c r="AF365">
        <v>2</v>
      </c>
      <c r="AG365">
        <v>0</v>
      </c>
      <c r="AH365">
        <v>0</v>
      </c>
      <c r="AI365">
        <v>0</v>
      </c>
      <c r="AM365">
        <v>0</v>
      </c>
      <c r="AR365" t="s">
        <v>2385</v>
      </c>
      <c r="AS365" t="s">
        <v>1680</v>
      </c>
      <c r="AT365">
        <v>2024</v>
      </c>
      <c r="AU365">
        <v>11</v>
      </c>
      <c r="AV365" t="s">
        <v>78</v>
      </c>
      <c r="AX365" t="s">
        <v>2391</v>
      </c>
    </row>
    <row r="366" spans="1:50">
      <c r="A366">
        <v>7</v>
      </c>
      <c r="B366">
        <v>33</v>
      </c>
      <c r="C366" t="s">
        <v>74</v>
      </c>
      <c r="D366" t="s">
        <v>1561</v>
      </c>
      <c r="E366" t="s">
        <v>1562</v>
      </c>
      <c r="F366">
        <v>3407</v>
      </c>
      <c r="G366" s="23">
        <v>45601</v>
      </c>
      <c r="H366" s="2">
        <v>45393.42869212963</v>
      </c>
      <c r="I366" s="2"/>
      <c r="K366" s="149">
        <v>0</v>
      </c>
      <c r="L366" s="149">
        <v>4248000</v>
      </c>
      <c r="M366" s="149">
        <v>807120</v>
      </c>
      <c r="N366" s="149">
        <v>5055120</v>
      </c>
      <c r="O366">
        <v>0</v>
      </c>
      <c r="P366">
        <v>0</v>
      </c>
      <c r="Q366">
        <v>0</v>
      </c>
      <c r="R366">
        <v>0</v>
      </c>
      <c r="S366">
        <v>0</v>
      </c>
      <c r="T366" t="s">
        <v>77</v>
      </c>
      <c r="U366">
        <v>0</v>
      </c>
      <c r="V366">
        <v>0</v>
      </c>
      <c r="W366">
        <v>0</v>
      </c>
      <c r="X366">
        <v>0</v>
      </c>
      <c r="AC366">
        <v>0</v>
      </c>
      <c r="AE366">
        <v>0</v>
      </c>
      <c r="AF366">
        <v>2</v>
      </c>
      <c r="AG366">
        <v>0</v>
      </c>
      <c r="AH366">
        <v>0</v>
      </c>
      <c r="AI366">
        <v>0</v>
      </c>
      <c r="AM366">
        <v>0</v>
      </c>
      <c r="AR366" t="s">
        <v>2385</v>
      </c>
      <c r="AS366" t="s">
        <v>1680</v>
      </c>
      <c r="AT366">
        <v>2024</v>
      </c>
      <c r="AU366">
        <v>11</v>
      </c>
      <c r="AV366" t="s">
        <v>78</v>
      </c>
      <c r="AX366" t="s">
        <v>2392</v>
      </c>
    </row>
    <row r="367" spans="1:50">
      <c r="A367">
        <v>8</v>
      </c>
      <c r="B367">
        <v>33</v>
      </c>
      <c r="C367" t="s">
        <v>74</v>
      </c>
      <c r="D367" t="s">
        <v>1571</v>
      </c>
      <c r="E367" t="s">
        <v>1572</v>
      </c>
      <c r="F367">
        <v>3408</v>
      </c>
      <c r="G367" s="23">
        <v>45600</v>
      </c>
      <c r="H367" s="2">
        <v>45393.462326388886</v>
      </c>
      <c r="I367" s="2">
        <v>45393.861712962964</v>
      </c>
      <c r="K367" s="149">
        <v>0</v>
      </c>
      <c r="L367" s="149">
        <v>5656260</v>
      </c>
      <c r="M367" s="149">
        <v>1074689</v>
      </c>
      <c r="N367" s="149">
        <v>6730949</v>
      </c>
      <c r="O367">
        <v>0</v>
      </c>
      <c r="P367">
        <v>0</v>
      </c>
      <c r="Q367">
        <v>0</v>
      </c>
      <c r="R367">
        <v>0</v>
      </c>
      <c r="S367">
        <v>0</v>
      </c>
      <c r="T367" t="s">
        <v>77</v>
      </c>
      <c r="U367">
        <v>0</v>
      </c>
      <c r="V367">
        <v>0</v>
      </c>
      <c r="W367">
        <v>0</v>
      </c>
      <c r="X367">
        <v>0</v>
      </c>
      <c r="AC367">
        <v>0</v>
      </c>
      <c r="AE367">
        <v>0</v>
      </c>
      <c r="AF367">
        <v>2</v>
      </c>
      <c r="AG367">
        <v>0</v>
      </c>
      <c r="AH367">
        <v>0</v>
      </c>
      <c r="AI367">
        <v>0</v>
      </c>
      <c r="AM367">
        <v>0</v>
      </c>
      <c r="AR367" t="s">
        <v>2385</v>
      </c>
      <c r="AS367" t="s">
        <v>1680</v>
      </c>
      <c r="AT367">
        <v>2024</v>
      </c>
      <c r="AU367">
        <v>11</v>
      </c>
      <c r="AV367" t="s">
        <v>78</v>
      </c>
      <c r="AX367" t="s">
        <v>2393</v>
      </c>
    </row>
    <row r="368" spans="1:50">
      <c r="A368">
        <v>9</v>
      </c>
      <c r="B368">
        <v>33</v>
      </c>
      <c r="C368" t="s">
        <v>74</v>
      </c>
      <c r="D368" t="s">
        <v>1571</v>
      </c>
      <c r="E368" t="s">
        <v>1572</v>
      </c>
      <c r="F368">
        <v>3409</v>
      </c>
      <c r="G368" s="23">
        <v>45600</v>
      </c>
      <c r="H368" s="2">
        <v>45393.465196759258</v>
      </c>
      <c r="J368" s="2">
        <v>45607.336805555555</v>
      </c>
      <c r="K368" s="149">
        <v>0</v>
      </c>
      <c r="L368" s="149">
        <v>9913970</v>
      </c>
      <c r="M368" s="149">
        <v>1883655</v>
      </c>
      <c r="N368" s="149">
        <v>11797625</v>
      </c>
      <c r="O368">
        <v>0</v>
      </c>
      <c r="P368">
        <v>0</v>
      </c>
      <c r="Q368">
        <v>0</v>
      </c>
      <c r="R368">
        <v>0</v>
      </c>
      <c r="S368">
        <v>0</v>
      </c>
      <c r="T368" t="s">
        <v>77</v>
      </c>
      <c r="U368">
        <v>0</v>
      </c>
      <c r="V368">
        <v>0</v>
      </c>
      <c r="W368">
        <v>0</v>
      </c>
      <c r="X368">
        <v>0</v>
      </c>
      <c r="AC368">
        <v>0</v>
      </c>
      <c r="AE368">
        <v>0</v>
      </c>
      <c r="AF368">
        <v>2</v>
      </c>
      <c r="AG368">
        <v>0</v>
      </c>
      <c r="AH368">
        <v>0</v>
      </c>
      <c r="AI368">
        <v>0</v>
      </c>
      <c r="AM368">
        <v>0</v>
      </c>
      <c r="AR368" t="s">
        <v>2385</v>
      </c>
      <c r="AS368" t="s">
        <v>1680</v>
      </c>
      <c r="AT368">
        <v>2024</v>
      </c>
      <c r="AU368">
        <v>11</v>
      </c>
      <c r="AV368" t="s">
        <v>78</v>
      </c>
      <c r="AX368" t="s">
        <v>2394</v>
      </c>
    </row>
    <row r="369" spans="1:50">
      <c r="A369">
        <v>10</v>
      </c>
      <c r="B369">
        <v>33</v>
      </c>
      <c r="C369" t="s">
        <v>74</v>
      </c>
      <c r="D369" t="s">
        <v>1586</v>
      </c>
      <c r="E369" t="s">
        <v>1587</v>
      </c>
      <c r="F369">
        <v>3410</v>
      </c>
      <c r="G369" s="23">
        <v>45601</v>
      </c>
      <c r="H369" s="2">
        <v>45393.468449074076</v>
      </c>
      <c r="I369" s="2">
        <v>45515.416886574072</v>
      </c>
      <c r="K369" s="149">
        <v>0</v>
      </c>
      <c r="L369" s="149">
        <v>1089340</v>
      </c>
      <c r="M369" s="149">
        <v>206975</v>
      </c>
      <c r="N369" s="149">
        <v>1296315</v>
      </c>
      <c r="O369">
        <v>0</v>
      </c>
      <c r="P369">
        <v>0</v>
      </c>
      <c r="Q369">
        <v>0</v>
      </c>
      <c r="R369">
        <v>0</v>
      </c>
      <c r="S369">
        <v>0</v>
      </c>
      <c r="T369" t="s">
        <v>77</v>
      </c>
      <c r="U369">
        <v>0</v>
      </c>
      <c r="V369">
        <v>0</v>
      </c>
      <c r="W369">
        <v>0</v>
      </c>
      <c r="X369">
        <v>0</v>
      </c>
      <c r="Y369">
        <v>0</v>
      </c>
      <c r="AC369">
        <v>0</v>
      </c>
      <c r="AE369">
        <v>0</v>
      </c>
      <c r="AF369">
        <v>2</v>
      </c>
      <c r="AG369">
        <v>0</v>
      </c>
      <c r="AH369">
        <v>0</v>
      </c>
      <c r="AI369">
        <v>0</v>
      </c>
      <c r="AM369">
        <v>0</v>
      </c>
      <c r="AR369" t="s">
        <v>2385</v>
      </c>
      <c r="AS369" t="s">
        <v>1680</v>
      </c>
      <c r="AT369">
        <v>2024</v>
      </c>
      <c r="AU369">
        <v>11</v>
      </c>
      <c r="AV369" t="s">
        <v>78</v>
      </c>
      <c r="AX369" t="s">
        <v>2395</v>
      </c>
    </row>
    <row r="370" spans="1:50">
      <c r="A370">
        <v>11</v>
      </c>
      <c r="B370">
        <v>33</v>
      </c>
      <c r="C370" t="s">
        <v>74</v>
      </c>
      <c r="D370" t="s">
        <v>1353</v>
      </c>
      <c r="E370" t="s">
        <v>1354</v>
      </c>
      <c r="F370">
        <v>3411</v>
      </c>
      <c r="G370" s="23">
        <v>45600</v>
      </c>
      <c r="H370" s="2">
        <v>45393.477025462962</v>
      </c>
      <c r="I370" s="2">
        <v>45423.779386574075</v>
      </c>
      <c r="K370" s="149">
        <v>0</v>
      </c>
      <c r="L370" s="149">
        <v>1526423</v>
      </c>
      <c r="M370" s="149">
        <v>290022</v>
      </c>
      <c r="N370" s="149">
        <v>1816445</v>
      </c>
      <c r="O370">
        <v>0</v>
      </c>
      <c r="P370">
        <v>0</v>
      </c>
      <c r="Q370">
        <v>0</v>
      </c>
      <c r="R370">
        <v>0</v>
      </c>
      <c r="S370">
        <v>0</v>
      </c>
      <c r="T370" t="s">
        <v>77</v>
      </c>
      <c r="U370">
        <v>0</v>
      </c>
      <c r="V370">
        <v>0</v>
      </c>
      <c r="W370">
        <v>0</v>
      </c>
      <c r="X370">
        <v>0</v>
      </c>
      <c r="Y370">
        <v>0</v>
      </c>
      <c r="AC370">
        <v>0</v>
      </c>
      <c r="AE370">
        <v>0</v>
      </c>
      <c r="AF370">
        <v>2</v>
      </c>
      <c r="AG370">
        <v>0</v>
      </c>
      <c r="AH370">
        <v>0</v>
      </c>
      <c r="AI370">
        <v>0</v>
      </c>
      <c r="AM370">
        <v>0</v>
      </c>
      <c r="AR370" t="s">
        <v>2385</v>
      </c>
      <c r="AS370" t="s">
        <v>1680</v>
      </c>
      <c r="AT370">
        <v>2024</v>
      </c>
      <c r="AU370">
        <v>11</v>
      </c>
      <c r="AV370" t="s">
        <v>78</v>
      </c>
      <c r="AX370" t="s">
        <v>2396</v>
      </c>
    </row>
    <row r="371" spans="1:50">
      <c r="A371">
        <v>12</v>
      </c>
      <c r="B371">
        <v>33</v>
      </c>
      <c r="C371" t="s">
        <v>74</v>
      </c>
      <c r="D371" t="s">
        <v>1222</v>
      </c>
      <c r="E371" t="s">
        <v>1223</v>
      </c>
      <c r="F371">
        <v>3412</v>
      </c>
      <c r="G371" s="23">
        <v>45602</v>
      </c>
      <c r="H371" s="2">
        <v>45393.537129629629</v>
      </c>
      <c r="I371" s="2">
        <v>45515.672164351854</v>
      </c>
      <c r="K371" s="149">
        <v>0</v>
      </c>
      <c r="L371" s="149">
        <v>5229000</v>
      </c>
      <c r="M371" s="149">
        <v>993510</v>
      </c>
      <c r="N371" s="149">
        <v>6222510</v>
      </c>
      <c r="O371">
        <v>0</v>
      </c>
      <c r="P371">
        <v>0</v>
      </c>
      <c r="Q371">
        <v>0</v>
      </c>
      <c r="R371">
        <v>0</v>
      </c>
      <c r="S371">
        <v>0</v>
      </c>
      <c r="T371" t="s">
        <v>77</v>
      </c>
      <c r="U371">
        <v>0</v>
      </c>
      <c r="V371">
        <v>0</v>
      </c>
      <c r="W371">
        <v>0</v>
      </c>
      <c r="X371">
        <v>0</v>
      </c>
      <c r="AC371">
        <v>0</v>
      </c>
      <c r="AE371">
        <v>0</v>
      </c>
      <c r="AF371">
        <v>2</v>
      </c>
      <c r="AG371">
        <v>0</v>
      </c>
      <c r="AH371">
        <v>0</v>
      </c>
      <c r="AI371">
        <v>0</v>
      </c>
      <c r="AM371">
        <v>0</v>
      </c>
      <c r="AR371" t="s">
        <v>2385</v>
      </c>
      <c r="AS371" t="s">
        <v>1680</v>
      </c>
      <c r="AT371">
        <v>2024</v>
      </c>
      <c r="AU371">
        <v>11</v>
      </c>
      <c r="AV371" t="s">
        <v>78</v>
      </c>
      <c r="AX371" t="s">
        <v>2397</v>
      </c>
    </row>
    <row r="372" spans="1:50">
      <c r="A372">
        <v>13</v>
      </c>
      <c r="B372">
        <v>33</v>
      </c>
      <c r="C372" t="s">
        <v>74</v>
      </c>
      <c r="D372" t="s">
        <v>1222</v>
      </c>
      <c r="E372" t="s">
        <v>1223</v>
      </c>
      <c r="F372">
        <v>3413</v>
      </c>
      <c r="G372" s="23">
        <v>45602</v>
      </c>
      <c r="H372" s="2">
        <v>45393.543854166666</v>
      </c>
      <c r="I372" s="2">
        <v>45515.672164351854</v>
      </c>
      <c r="K372" s="149">
        <v>0</v>
      </c>
      <c r="L372" s="149">
        <v>5706710</v>
      </c>
      <c r="M372" s="149">
        <v>1084275</v>
      </c>
      <c r="N372" s="149">
        <v>6790985</v>
      </c>
      <c r="O372">
        <v>0</v>
      </c>
      <c r="P372">
        <v>0</v>
      </c>
      <c r="Q372">
        <v>0</v>
      </c>
      <c r="R372">
        <v>0</v>
      </c>
      <c r="S372">
        <v>0</v>
      </c>
      <c r="T372" t="s">
        <v>77</v>
      </c>
      <c r="U372">
        <v>0</v>
      </c>
      <c r="V372">
        <v>0</v>
      </c>
      <c r="W372">
        <v>0</v>
      </c>
      <c r="X372">
        <v>0</v>
      </c>
      <c r="AC372">
        <v>0</v>
      </c>
      <c r="AE372">
        <v>0</v>
      </c>
      <c r="AF372">
        <v>2</v>
      </c>
      <c r="AG372">
        <v>0</v>
      </c>
      <c r="AH372">
        <v>0</v>
      </c>
      <c r="AI372">
        <v>0</v>
      </c>
      <c r="AM372">
        <v>0</v>
      </c>
      <c r="AR372" t="s">
        <v>2385</v>
      </c>
      <c r="AS372" t="s">
        <v>1680</v>
      </c>
      <c r="AT372">
        <v>2024</v>
      </c>
      <c r="AU372">
        <v>11</v>
      </c>
      <c r="AV372" t="s">
        <v>78</v>
      </c>
      <c r="AX372" t="s">
        <v>2398</v>
      </c>
    </row>
    <row r="373" spans="1:50">
      <c r="A373">
        <v>14</v>
      </c>
      <c r="B373">
        <v>33</v>
      </c>
      <c r="C373" t="s">
        <v>74</v>
      </c>
      <c r="D373" t="s">
        <v>1785</v>
      </c>
      <c r="E373" t="s">
        <v>1786</v>
      </c>
      <c r="F373">
        <v>3414</v>
      </c>
      <c r="G373" s="23">
        <v>45603</v>
      </c>
      <c r="H373" s="2">
        <v>45393.684537037036</v>
      </c>
      <c r="K373" s="149">
        <v>0</v>
      </c>
      <c r="L373" s="149">
        <v>184082</v>
      </c>
      <c r="M373" s="149">
        <v>34974</v>
      </c>
      <c r="N373" s="149">
        <v>219056</v>
      </c>
      <c r="O373">
        <v>0</v>
      </c>
      <c r="P373">
        <v>0</v>
      </c>
      <c r="Q373">
        <v>0</v>
      </c>
      <c r="R373">
        <v>0</v>
      </c>
      <c r="S373">
        <v>0</v>
      </c>
      <c r="T373" t="s">
        <v>77</v>
      </c>
      <c r="U373">
        <v>0</v>
      </c>
      <c r="V373">
        <v>0</v>
      </c>
      <c r="W373">
        <v>0</v>
      </c>
      <c r="X373">
        <v>0</v>
      </c>
      <c r="Y373">
        <v>0</v>
      </c>
      <c r="AC373">
        <v>0</v>
      </c>
      <c r="AE373">
        <v>0</v>
      </c>
      <c r="AF373">
        <v>2</v>
      </c>
      <c r="AG373">
        <v>0</v>
      </c>
      <c r="AH373">
        <v>0</v>
      </c>
      <c r="AI373">
        <v>0</v>
      </c>
      <c r="AM373">
        <v>0</v>
      </c>
      <c r="AR373" t="s">
        <v>2385</v>
      </c>
      <c r="AS373" t="s">
        <v>1680</v>
      </c>
      <c r="AT373">
        <v>2024</v>
      </c>
      <c r="AU373">
        <v>11</v>
      </c>
      <c r="AV373" t="s">
        <v>78</v>
      </c>
      <c r="AX373" t="s">
        <v>2399</v>
      </c>
    </row>
    <row r="374" spans="1:50">
      <c r="A374">
        <v>15</v>
      </c>
      <c r="B374">
        <v>33</v>
      </c>
      <c r="C374" t="s">
        <v>74</v>
      </c>
      <c r="D374" t="s">
        <v>1581</v>
      </c>
      <c r="E374" t="s">
        <v>1582</v>
      </c>
      <c r="F374">
        <v>3415</v>
      </c>
      <c r="G374" s="23">
        <v>45601</v>
      </c>
      <c r="H374" s="2">
        <v>45423.412928240738</v>
      </c>
      <c r="I374" s="2">
        <v>45484.465613425928</v>
      </c>
      <c r="K374" s="149">
        <v>0</v>
      </c>
      <c r="L374" s="149">
        <v>827060</v>
      </c>
      <c r="M374" s="149">
        <v>157142</v>
      </c>
      <c r="N374" s="149">
        <v>984202</v>
      </c>
      <c r="O374">
        <v>0</v>
      </c>
      <c r="P374">
        <v>0</v>
      </c>
      <c r="Q374">
        <v>0</v>
      </c>
      <c r="R374">
        <v>0</v>
      </c>
      <c r="S374">
        <v>0</v>
      </c>
      <c r="T374" t="s">
        <v>77</v>
      </c>
      <c r="U374">
        <v>0</v>
      </c>
      <c r="V374">
        <v>0</v>
      </c>
      <c r="W374">
        <v>0</v>
      </c>
      <c r="X374">
        <v>0</v>
      </c>
      <c r="Y374">
        <v>0</v>
      </c>
      <c r="AC374">
        <v>0</v>
      </c>
      <c r="AE374">
        <v>0</v>
      </c>
      <c r="AF374">
        <v>2</v>
      </c>
      <c r="AG374">
        <v>0</v>
      </c>
      <c r="AH374">
        <v>0</v>
      </c>
      <c r="AI374">
        <v>0</v>
      </c>
      <c r="AM374">
        <v>0</v>
      </c>
      <c r="AR374" t="s">
        <v>2385</v>
      </c>
      <c r="AS374" t="s">
        <v>1680</v>
      </c>
      <c r="AT374">
        <v>2024</v>
      </c>
      <c r="AU374">
        <v>11</v>
      </c>
      <c r="AV374" t="s">
        <v>78</v>
      </c>
      <c r="AX374" t="s">
        <v>2400</v>
      </c>
    </row>
    <row r="375" spans="1:50">
      <c r="A375">
        <v>16</v>
      </c>
      <c r="B375">
        <v>33</v>
      </c>
      <c r="C375" t="s">
        <v>74</v>
      </c>
      <c r="D375" t="s">
        <v>1353</v>
      </c>
      <c r="E375" t="s">
        <v>1354</v>
      </c>
      <c r="F375">
        <v>3416</v>
      </c>
      <c r="G375" s="23">
        <v>45602</v>
      </c>
      <c r="H375" s="2">
        <v>45423.475138888891</v>
      </c>
      <c r="I375" s="2">
        <v>45423.778900462959</v>
      </c>
      <c r="K375" s="149">
        <v>0</v>
      </c>
      <c r="L375" s="149">
        <v>1549452</v>
      </c>
      <c r="M375" s="149">
        <v>294396</v>
      </c>
      <c r="N375" s="149">
        <v>1843848</v>
      </c>
      <c r="O375">
        <v>0</v>
      </c>
      <c r="P375">
        <v>0</v>
      </c>
      <c r="Q375">
        <v>0</v>
      </c>
      <c r="R375">
        <v>0</v>
      </c>
      <c r="S375">
        <v>0</v>
      </c>
      <c r="T375" t="s">
        <v>77</v>
      </c>
      <c r="U375">
        <v>0</v>
      </c>
      <c r="V375">
        <v>0</v>
      </c>
      <c r="W375">
        <v>0</v>
      </c>
      <c r="X375">
        <v>0</v>
      </c>
      <c r="Y375">
        <v>0</v>
      </c>
      <c r="AC375">
        <v>0</v>
      </c>
      <c r="AE375">
        <v>0</v>
      </c>
      <c r="AF375">
        <v>2</v>
      </c>
      <c r="AG375">
        <v>0</v>
      </c>
      <c r="AH375">
        <v>0</v>
      </c>
      <c r="AI375">
        <v>0</v>
      </c>
      <c r="AM375">
        <v>0</v>
      </c>
      <c r="AR375" t="s">
        <v>2385</v>
      </c>
      <c r="AS375" t="s">
        <v>1680</v>
      </c>
      <c r="AT375">
        <v>2024</v>
      </c>
      <c r="AU375">
        <v>11</v>
      </c>
      <c r="AV375" t="s">
        <v>78</v>
      </c>
      <c r="AX375" t="s">
        <v>2401</v>
      </c>
    </row>
    <row r="376" spans="1:50">
      <c r="A376">
        <v>17</v>
      </c>
      <c r="B376">
        <v>33</v>
      </c>
      <c r="C376" t="s">
        <v>74</v>
      </c>
      <c r="D376" t="s">
        <v>1564</v>
      </c>
      <c r="E376" t="s">
        <v>1565</v>
      </c>
      <c r="F376">
        <v>3417</v>
      </c>
      <c r="G376" s="23">
        <v>45602</v>
      </c>
      <c r="H376" s="2">
        <v>45423.483738425923</v>
      </c>
      <c r="K376" s="149">
        <v>0</v>
      </c>
      <c r="L376" s="149">
        <v>759452</v>
      </c>
      <c r="M376" s="149">
        <v>144296</v>
      </c>
      <c r="N376" s="149">
        <v>903748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77</v>
      </c>
      <c r="U376">
        <v>0</v>
      </c>
      <c r="V376">
        <v>0</v>
      </c>
      <c r="W376">
        <v>0</v>
      </c>
      <c r="X376">
        <v>0</v>
      </c>
      <c r="Y376">
        <v>0</v>
      </c>
      <c r="AC376">
        <v>0</v>
      </c>
      <c r="AE376">
        <v>0</v>
      </c>
      <c r="AF376">
        <v>2</v>
      </c>
      <c r="AG376">
        <v>0</v>
      </c>
      <c r="AH376">
        <v>0</v>
      </c>
      <c r="AI376">
        <v>0</v>
      </c>
      <c r="AM376">
        <v>0</v>
      </c>
      <c r="AR376" t="s">
        <v>2385</v>
      </c>
      <c r="AS376" t="s">
        <v>1680</v>
      </c>
      <c r="AT376">
        <v>2024</v>
      </c>
      <c r="AU376">
        <v>11</v>
      </c>
      <c r="AV376" t="s">
        <v>78</v>
      </c>
      <c r="AX376" t="s">
        <v>2402</v>
      </c>
    </row>
    <row r="377" spans="1:50">
      <c r="A377">
        <v>18</v>
      </c>
      <c r="B377">
        <v>33</v>
      </c>
      <c r="C377" t="s">
        <v>74</v>
      </c>
      <c r="D377" t="s">
        <v>1785</v>
      </c>
      <c r="E377" t="s">
        <v>1786</v>
      </c>
      <c r="F377">
        <v>3418</v>
      </c>
      <c r="G377" s="23">
        <v>45602</v>
      </c>
      <c r="H377" s="2">
        <v>45423.487581018519</v>
      </c>
      <c r="K377" s="149">
        <v>0</v>
      </c>
      <c r="L377" s="149">
        <v>213486</v>
      </c>
      <c r="M377" s="149">
        <v>40561</v>
      </c>
      <c r="N377" s="149">
        <v>254047</v>
      </c>
      <c r="O377">
        <v>0</v>
      </c>
      <c r="P377">
        <v>0</v>
      </c>
      <c r="Q377">
        <v>0</v>
      </c>
      <c r="R377">
        <v>0</v>
      </c>
      <c r="S377">
        <v>0</v>
      </c>
      <c r="T377" t="s">
        <v>77</v>
      </c>
      <c r="U377">
        <v>0</v>
      </c>
      <c r="V377">
        <v>0</v>
      </c>
      <c r="W377">
        <v>0</v>
      </c>
      <c r="X377">
        <v>0</v>
      </c>
      <c r="Y377">
        <v>0</v>
      </c>
      <c r="AC377">
        <v>0</v>
      </c>
      <c r="AE377">
        <v>0</v>
      </c>
      <c r="AF377">
        <v>2</v>
      </c>
      <c r="AG377">
        <v>0</v>
      </c>
      <c r="AH377">
        <v>0</v>
      </c>
      <c r="AI377">
        <v>0</v>
      </c>
      <c r="AM377">
        <v>0</v>
      </c>
      <c r="AR377" t="s">
        <v>2385</v>
      </c>
      <c r="AS377" t="s">
        <v>1680</v>
      </c>
      <c r="AT377">
        <v>2024</v>
      </c>
      <c r="AU377">
        <v>11</v>
      </c>
      <c r="AV377" t="s">
        <v>78</v>
      </c>
      <c r="AX377" t="s">
        <v>2403</v>
      </c>
    </row>
    <row r="378" spans="1:50">
      <c r="A378">
        <v>19</v>
      </c>
      <c r="B378">
        <v>33</v>
      </c>
      <c r="C378" t="s">
        <v>74</v>
      </c>
      <c r="D378" t="s">
        <v>1569</v>
      </c>
      <c r="E378" t="s">
        <v>1570</v>
      </c>
      <c r="F378">
        <v>3419</v>
      </c>
      <c r="G378" s="23">
        <v>45602</v>
      </c>
      <c r="H378" s="2">
        <v>45423.495462962965</v>
      </c>
      <c r="K378" s="149">
        <v>0</v>
      </c>
      <c r="L378" s="149">
        <v>187600</v>
      </c>
      <c r="M378" s="149">
        <v>35644</v>
      </c>
      <c r="N378" s="149">
        <v>223244</v>
      </c>
      <c r="O378">
        <v>0</v>
      </c>
      <c r="P378">
        <v>0</v>
      </c>
      <c r="Q378">
        <v>0</v>
      </c>
      <c r="R378">
        <v>0</v>
      </c>
      <c r="S378">
        <v>0</v>
      </c>
      <c r="T378" t="s">
        <v>77</v>
      </c>
      <c r="U378">
        <v>0</v>
      </c>
      <c r="V378">
        <v>0</v>
      </c>
      <c r="W378">
        <v>0</v>
      </c>
      <c r="X378">
        <v>0</v>
      </c>
      <c r="Y378">
        <v>0</v>
      </c>
      <c r="AC378">
        <v>0</v>
      </c>
      <c r="AE378">
        <v>0</v>
      </c>
      <c r="AF378">
        <v>2</v>
      </c>
      <c r="AG378">
        <v>0</v>
      </c>
      <c r="AH378">
        <v>0</v>
      </c>
      <c r="AI378">
        <v>0</v>
      </c>
      <c r="AM378">
        <v>0</v>
      </c>
      <c r="AR378" t="s">
        <v>2385</v>
      </c>
      <c r="AS378" t="s">
        <v>1680</v>
      </c>
      <c r="AT378">
        <v>2024</v>
      </c>
      <c r="AU378">
        <v>11</v>
      </c>
      <c r="AV378" t="s">
        <v>78</v>
      </c>
      <c r="AX378" t="s">
        <v>2404</v>
      </c>
    </row>
    <row r="379" spans="1:50">
      <c r="A379">
        <v>20</v>
      </c>
      <c r="B379">
        <v>33</v>
      </c>
      <c r="C379" t="s">
        <v>74</v>
      </c>
      <c r="D379" t="s">
        <v>1567</v>
      </c>
      <c r="E379" t="s">
        <v>1568</v>
      </c>
      <c r="F379">
        <v>3420</v>
      </c>
      <c r="G379" s="23">
        <v>45602</v>
      </c>
      <c r="H379" s="2">
        <v>45423.530601851853</v>
      </c>
      <c r="I379" s="2">
        <v>45423.653437499997</v>
      </c>
      <c r="K379" s="149">
        <v>0</v>
      </c>
      <c r="L379" s="149">
        <v>917660</v>
      </c>
      <c r="M379" s="149">
        <v>174355</v>
      </c>
      <c r="N379" s="149">
        <v>1092015</v>
      </c>
      <c r="O379">
        <v>0</v>
      </c>
      <c r="P379">
        <v>0</v>
      </c>
      <c r="Q379">
        <v>0</v>
      </c>
      <c r="R379">
        <v>0</v>
      </c>
      <c r="S379">
        <v>0</v>
      </c>
      <c r="T379" t="s">
        <v>77</v>
      </c>
      <c r="U379">
        <v>0</v>
      </c>
      <c r="V379">
        <v>0</v>
      </c>
      <c r="W379">
        <v>0</v>
      </c>
      <c r="X379">
        <v>0</v>
      </c>
      <c r="Y379">
        <v>0</v>
      </c>
      <c r="AC379">
        <v>0</v>
      </c>
      <c r="AE379">
        <v>0</v>
      </c>
      <c r="AF379">
        <v>2</v>
      </c>
      <c r="AG379">
        <v>0</v>
      </c>
      <c r="AH379">
        <v>0</v>
      </c>
      <c r="AI379">
        <v>0</v>
      </c>
      <c r="AM379">
        <v>0</v>
      </c>
      <c r="AR379" t="s">
        <v>2385</v>
      </c>
      <c r="AS379" t="s">
        <v>1680</v>
      </c>
      <c r="AT379">
        <v>2024</v>
      </c>
      <c r="AU379">
        <v>11</v>
      </c>
      <c r="AV379" t="s">
        <v>78</v>
      </c>
      <c r="AX379" t="s">
        <v>2405</v>
      </c>
    </row>
    <row r="380" spans="1:50">
      <c r="A380">
        <v>21</v>
      </c>
      <c r="B380">
        <v>33</v>
      </c>
      <c r="C380" t="s">
        <v>74</v>
      </c>
      <c r="D380" t="s">
        <v>1353</v>
      </c>
      <c r="E380" t="s">
        <v>1354</v>
      </c>
      <c r="F380">
        <v>3421</v>
      </c>
      <c r="G380" s="23">
        <v>45602</v>
      </c>
      <c r="H380" s="2">
        <v>45423.558113425926</v>
      </c>
      <c r="I380" s="2">
        <v>45423.779016203705</v>
      </c>
      <c r="K380" s="149">
        <v>0</v>
      </c>
      <c r="L380" s="149">
        <v>3602732</v>
      </c>
      <c r="M380" s="149">
        <v>684519</v>
      </c>
      <c r="N380" s="149">
        <v>4287251</v>
      </c>
      <c r="O380">
        <v>0</v>
      </c>
      <c r="P380">
        <v>0</v>
      </c>
      <c r="Q380">
        <v>0</v>
      </c>
      <c r="R380">
        <v>0</v>
      </c>
      <c r="S380">
        <v>0</v>
      </c>
      <c r="T380" t="s">
        <v>77</v>
      </c>
      <c r="U380">
        <v>0</v>
      </c>
      <c r="V380">
        <v>0</v>
      </c>
      <c r="W380">
        <v>0</v>
      </c>
      <c r="X380">
        <v>0</v>
      </c>
      <c r="Y380">
        <v>0</v>
      </c>
      <c r="AC380">
        <v>0</v>
      </c>
      <c r="AE380">
        <v>0</v>
      </c>
      <c r="AF380">
        <v>2</v>
      </c>
      <c r="AG380">
        <v>0</v>
      </c>
      <c r="AH380">
        <v>0</v>
      </c>
      <c r="AI380">
        <v>0</v>
      </c>
      <c r="AM380">
        <v>0</v>
      </c>
      <c r="AR380" t="s">
        <v>2385</v>
      </c>
      <c r="AS380" t="s">
        <v>1680</v>
      </c>
      <c r="AT380">
        <v>2024</v>
      </c>
      <c r="AU380">
        <v>11</v>
      </c>
      <c r="AV380" t="s">
        <v>78</v>
      </c>
      <c r="AX380" t="s">
        <v>2406</v>
      </c>
    </row>
    <row r="381" spans="1:50">
      <c r="A381">
        <v>22</v>
      </c>
      <c r="B381">
        <v>33</v>
      </c>
      <c r="C381" t="s">
        <v>74</v>
      </c>
      <c r="D381" t="s">
        <v>1353</v>
      </c>
      <c r="E381" t="s">
        <v>1354</v>
      </c>
      <c r="F381">
        <v>3422</v>
      </c>
      <c r="G381" s="23">
        <v>45603</v>
      </c>
      <c r="H381" s="2">
        <v>45454.458055555559</v>
      </c>
      <c r="I381" s="2">
        <v>45454.499108796299</v>
      </c>
      <c r="K381" s="149">
        <v>0</v>
      </c>
      <c r="L381" s="149">
        <v>4853520</v>
      </c>
      <c r="M381" s="149">
        <v>922169</v>
      </c>
      <c r="N381" s="149">
        <v>5775689</v>
      </c>
      <c r="O381">
        <v>0</v>
      </c>
      <c r="P381">
        <v>0</v>
      </c>
      <c r="Q381">
        <v>0</v>
      </c>
      <c r="R381">
        <v>0</v>
      </c>
      <c r="S381">
        <v>0</v>
      </c>
      <c r="T381" t="s">
        <v>77</v>
      </c>
      <c r="U381">
        <v>0</v>
      </c>
      <c r="V381">
        <v>0</v>
      </c>
      <c r="W381">
        <v>0</v>
      </c>
      <c r="X381">
        <v>0</v>
      </c>
      <c r="Y381">
        <v>0</v>
      </c>
      <c r="AC381">
        <v>0</v>
      </c>
      <c r="AE381">
        <v>0</v>
      </c>
      <c r="AF381">
        <v>2</v>
      </c>
      <c r="AG381">
        <v>0</v>
      </c>
      <c r="AH381">
        <v>0</v>
      </c>
      <c r="AI381">
        <v>0</v>
      </c>
      <c r="AM381">
        <v>0</v>
      </c>
      <c r="AR381" t="s">
        <v>2385</v>
      </c>
      <c r="AS381" t="s">
        <v>1680</v>
      </c>
      <c r="AT381">
        <v>2024</v>
      </c>
      <c r="AU381">
        <v>11</v>
      </c>
      <c r="AV381" t="s">
        <v>78</v>
      </c>
      <c r="AX381" t="s">
        <v>2407</v>
      </c>
    </row>
    <row r="382" spans="1:50">
      <c r="A382">
        <v>23</v>
      </c>
      <c r="B382">
        <v>33</v>
      </c>
      <c r="C382" t="s">
        <v>74</v>
      </c>
      <c r="D382" t="s">
        <v>1573</v>
      </c>
      <c r="E382" t="s">
        <v>1574</v>
      </c>
      <c r="F382">
        <v>3423</v>
      </c>
      <c r="G382" s="23">
        <v>45603</v>
      </c>
      <c r="H382" s="2">
        <v>45454.498935185184</v>
      </c>
      <c r="K382" s="149">
        <v>0</v>
      </c>
      <c r="L382" s="149">
        <v>409994</v>
      </c>
      <c r="M382" s="149">
        <v>77900</v>
      </c>
      <c r="N382" s="149">
        <v>487894</v>
      </c>
      <c r="O382">
        <v>0</v>
      </c>
      <c r="P382">
        <v>0</v>
      </c>
      <c r="Q382">
        <v>0</v>
      </c>
      <c r="R382">
        <v>0</v>
      </c>
      <c r="S382">
        <v>0</v>
      </c>
      <c r="T382" t="s">
        <v>77</v>
      </c>
      <c r="U382">
        <v>0</v>
      </c>
      <c r="V382">
        <v>0</v>
      </c>
      <c r="W382">
        <v>0</v>
      </c>
      <c r="X382">
        <v>0</v>
      </c>
      <c r="Y382">
        <v>0</v>
      </c>
      <c r="AC382">
        <v>0</v>
      </c>
      <c r="AE382">
        <v>0</v>
      </c>
      <c r="AF382">
        <v>2</v>
      </c>
      <c r="AG382">
        <v>0</v>
      </c>
      <c r="AH382">
        <v>0</v>
      </c>
      <c r="AI382">
        <v>0</v>
      </c>
      <c r="AM382">
        <v>0</v>
      </c>
      <c r="AR382" t="s">
        <v>2385</v>
      </c>
      <c r="AS382" t="s">
        <v>1680</v>
      </c>
      <c r="AT382">
        <v>2024</v>
      </c>
      <c r="AU382">
        <v>11</v>
      </c>
      <c r="AV382" t="s">
        <v>78</v>
      </c>
      <c r="AX382" t="s">
        <v>2408</v>
      </c>
    </row>
    <row r="383" spans="1:50">
      <c r="A383">
        <v>24</v>
      </c>
      <c r="B383">
        <v>33</v>
      </c>
      <c r="C383" t="s">
        <v>74</v>
      </c>
      <c r="D383" t="s">
        <v>1600</v>
      </c>
      <c r="E383" t="s">
        <v>1601</v>
      </c>
      <c r="F383">
        <v>3424</v>
      </c>
      <c r="G383" s="23">
        <v>45603</v>
      </c>
      <c r="H383" s="2">
        <v>45484.553622685184</v>
      </c>
      <c r="K383" s="149">
        <v>0</v>
      </c>
      <c r="L383" s="149">
        <v>10000</v>
      </c>
      <c r="M383" s="149">
        <v>1900</v>
      </c>
      <c r="N383" s="149">
        <v>11900</v>
      </c>
      <c r="O383">
        <v>0</v>
      </c>
      <c r="P383">
        <v>0</v>
      </c>
      <c r="Q383">
        <v>0</v>
      </c>
      <c r="R383">
        <v>0</v>
      </c>
      <c r="S383">
        <v>0</v>
      </c>
      <c r="T383" t="s">
        <v>77</v>
      </c>
      <c r="U383">
        <v>0</v>
      </c>
      <c r="V383">
        <v>0</v>
      </c>
      <c r="W383">
        <v>0</v>
      </c>
      <c r="X383">
        <v>0</v>
      </c>
      <c r="Y383">
        <v>0</v>
      </c>
      <c r="AC383">
        <v>0</v>
      </c>
      <c r="AE383">
        <v>0</v>
      </c>
      <c r="AF383">
        <v>2</v>
      </c>
      <c r="AG383">
        <v>0</v>
      </c>
      <c r="AH383">
        <v>0</v>
      </c>
      <c r="AI383">
        <v>0</v>
      </c>
      <c r="AM383">
        <v>0</v>
      </c>
      <c r="AR383" t="s">
        <v>2385</v>
      </c>
      <c r="AS383" t="s">
        <v>1680</v>
      </c>
      <c r="AT383">
        <v>2024</v>
      </c>
      <c r="AU383">
        <v>11</v>
      </c>
      <c r="AV383" t="s">
        <v>78</v>
      </c>
      <c r="AX383" t="s">
        <v>2409</v>
      </c>
    </row>
    <row r="384" spans="1:50">
      <c r="A384">
        <v>25</v>
      </c>
      <c r="B384">
        <v>33</v>
      </c>
      <c r="C384" t="s">
        <v>74</v>
      </c>
      <c r="D384" t="s">
        <v>1222</v>
      </c>
      <c r="E384" t="s">
        <v>1223</v>
      </c>
      <c r="F384">
        <v>3425</v>
      </c>
      <c r="G384" s="23">
        <v>45607</v>
      </c>
      <c r="H384" s="2">
        <v>45484.577719907407</v>
      </c>
      <c r="I384" t="s">
        <v>2306</v>
      </c>
      <c r="K384" s="149">
        <v>0</v>
      </c>
      <c r="L384" s="149">
        <v>15208000</v>
      </c>
      <c r="M384" s="149">
        <v>2889520</v>
      </c>
      <c r="N384" s="149">
        <v>18097520</v>
      </c>
      <c r="O384">
        <v>0</v>
      </c>
      <c r="P384">
        <v>0</v>
      </c>
      <c r="Q384">
        <v>0</v>
      </c>
      <c r="R384">
        <v>0</v>
      </c>
      <c r="S384">
        <v>0</v>
      </c>
      <c r="T384" t="s">
        <v>77</v>
      </c>
      <c r="U384">
        <v>0</v>
      </c>
      <c r="V384">
        <v>0</v>
      </c>
      <c r="W384">
        <v>0</v>
      </c>
      <c r="X384">
        <v>0</v>
      </c>
      <c r="AC384">
        <v>0</v>
      </c>
      <c r="AE384">
        <v>0</v>
      </c>
      <c r="AF384">
        <v>2</v>
      </c>
      <c r="AG384">
        <v>0</v>
      </c>
      <c r="AH384">
        <v>0</v>
      </c>
      <c r="AI384">
        <v>0</v>
      </c>
      <c r="AM384">
        <v>0</v>
      </c>
      <c r="AR384" t="s">
        <v>2385</v>
      </c>
      <c r="AS384" t="s">
        <v>1680</v>
      </c>
      <c r="AT384">
        <v>2024</v>
      </c>
      <c r="AU384">
        <v>11</v>
      </c>
      <c r="AV384" t="s">
        <v>78</v>
      </c>
      <c r="AX384" t="s">
        <v>2410</v>
      </c>
    </row>
    <row r="385" spans="1:50">
      <c r="A385">
        <v>26</v>
      </c>
      <c r="B385">
        <v>33</v>
      </c>
      <c r="C385" t="s">
        <v>74</v>
      </c>
      <c r="D385" t="s">
        <v>1222</v>
      </c>
      <c r="E385" t="s">
        <v>1223</v>
      </c>
      <c r="F385">
        <v>3426</v>
      </c>
      <c r="G385" s="23">
        <v>45607</v>
      </c>
      <c r="H385" s="2">
        <v>45484.585057870368</v>
      </c>
      <c r="I385" t="s">
        <v>2306</v>
      </c>
      <c r="K385" s="149">
        <v>0</v>
      </c>
      <c r="L385" s="149">
        <v>2499250</v>
      </c>
      <c r="M385" s="149">
        <v>474858</v>
      </c>
      <c r="N385" s="149">
        <v>2974108</v>
      </c>
      <c r="O385">
        <v>0</v>
      </c>
      <c r="P385">
        <v>0</v>
      </c>
      <c r="Q385">
        <v>0</v>
      </c>
      <c r="R385">
        <v>0</v>
      </c>
      <c r="S385">
        <v>0</v>
      </c>
      <c r="T385" t="s">
        <v>77</v>
      </c>
      <c r="U385">
        <v>0</v>
      </c>
      <c r="V385">
        <v>0</v>
      </c>
      <c r="W385">
        <v>0</v>
      </c>
      <c r="X385">
        <v>0</v>
      </c>
      <c r="AC385">
        <v>0</v>
      </c>
      <c r="AE385">
        <v>0</v>
      </c>
      <c r="AF385">
        <v>2</v>
      </c>
      <c r="AG385">
        <v>0</v>
      </c>
      <c r="AH385">
        <v>0</v>
      </c>
      <c r="AI385">
        <v>0</v>
      </c>
      <c r="AM385">
        <v>0</v>
      </c>
      <c r="AR385" t="s">
        <v>2385</v>
      </c>
      <c r="AS385" t="s">
        <v>1680</v>
      </c>
      <c r="AT385">
        <v>2024</v>
      </c>
      <c r="AU385">
        <v>11</v>
      </c>
      <c r="AV385" t="s">
        <v>78</v>
      </c>
      <c r="AX385" t="s">
        <v>2411</v>
      </c>
    </row>
    <row r="386" spans="1:50">
      <c r="A386">
        <v>27</v>
      </c>
      <c r="B386">
        <v>33</v>
      </c>
      <c r="C386" t="s">
        <v>74</v>
      </c>
      <c r="D386" t="s">
        <v>1353</v>
      </c>
      <c r="E386" t="s">
        <v>1354</v>
      </c>
      <c r="F386">
        <v>3427</v>
      </c>
      <c r="G386" s="23">
        <v>45608</v>
      </c>
      <c r="H386" s="2">
        <v>45607.491539351853</v>
      </c>
      <c r="I386" s="2">
        <v>45637.520601851851</v>
      </c>
      <c r="K386" s="149">
        <v>0</v>
      </c>
      <c r="L386" s="149">
        <v>2558994</v>
      </c>
      <c r="M386" s="149">
        <v>486209</v>
      </c>
      <c r="N386" s="149">
        <v>3045203</v>
      </c>
      <c r="O386">
        <v>0</v>
      </c>
      <c r="P386">
        <v>0</v>
      </c>
      <c r="Q386">
        <v>0</v>
      </c>
      <c r="R386">
        <v>0</v>
      </c>
      <c r="S386">
        <v>0</v>
      </c>
      <c r="T386" t="s">
        <v>77</v>
      </c>
      <c r="U386">
        <v>0</v>
      </c>
      <c r="V386">
        <v>0</v>
      </c>
      <c r="W386">
        <v>0</v>
      </c>
      <c r="X386">
        <v>0</v>
      </c>
      <c r="Y386">
        <v>0</v>
      </c>
      <c r="AC386">
        <v>0</v>
      </c>
      <c r="AE386">
        <v>0</v>
      </c>
      <c r="AF386">
        <v>2</v>
      </c>
      <c r="AG386">
        <v>0</v>
      </c>
      <c r="AH386">
        <v>0</v>
      </c>
      <c r="AI386">
        <v>0</v>
      </c>
      <c r="AM386">
        <v>0</v>
      </c>
      <c r="AR386" t="s">
        <v>2385</v>
      </c>
      <c r="AS386" t="s">
        <v>1680</v>
      </c>
      <c r="AT386">
        <v>2024</v>
      </c>
      <c r="AU386">
        <v>11</v>
      </c>
      <c r="AV386" t="s">
        <v>78</v>
      </c>
      <c r="AX386" t="s">
        <v>2412</v>
      </c>
    </row>
    <row r="387" spans="1:50">
      <c r="A387">
        <v>28</v>
      </c>
      <c r="B387">
        <v>33</v>
      </c>
      <c r="C387" t="s">
        <v>74</v>
      </c>
      <c r="D387" t="s">
        <v>1592</v>
      </c>
      <c r="E387" t="s">
        <v>1593</v>
      </c>
      <c r="F387">
        <v>3428</v>
      </c>
      <c r="G387" s="23">
        <v>45608</v>
      </c>
      <c r="H387" s="2">
        <v>45607.496041666665</v>
      </c>
      <c r="K387" s="149">
        <v>0</v>
      </c>
      <c r="L387" s="149">
        <v>204490</v>
      </c>
      <c r="M387" s="149">
        <v>38853</v>
      </c>
      <c r="N387" s="149">
        <v>243343</v>
      </c>
      <c r="O387">
        <v>0</v>
      </c>
      <c r="P387">
        <v>0</v>
      </c>
      <c r="Q387">
        <v>0</v>
      </c>
      <c r="R387">
        <v>0</v>
      </c>
      <c r="S387">
        <v>0</v>
      </c>
      <c r="T387" t="s">
        <v>77</v>
      </c>
      <c r="U387">
        <v>0</v>
      </c>
      <c r="V387">
        <v>0</v>
      </c>
      <c r="W387">
        <v>0</v>
      </c>
      <c r="X387">
        <v>0</v>
      </c>
      <c r="Y387">
        <v>0</v>
      </c>
      <c r="AC387">
        <v>0</v>
      </c>
      <c r="AE387">
        <v>0</v>
      </c>
      <c r="AF387">
        <v>2</v>
      </c>
      <c r="AG387">
        <v>0</v>
      </c>
      <c r="AH387">
        <v>0</v>
      </c>
      <c r="AI387">
        <v>0</v>
      </c>
      <c r="AM387">
        <v>0</v>
      </c>
      <c r="AR387" t="s">
        <v>2385</v>
      </c>
      <c r="AS387" t="s">
        <v>1680</v>
      </c>
      <c r="AT387">
        <v>2024</v>
      </c>
      <c r="AU387">
        <v>11</v>
      </c>
      <c r="AV387" t="s">
        <v>78</v>
      </c>
      <c r="AX387" t="s">
        <v>2413</v>
      </c>
    </row>
    <row r="388" spans="1:50">
      <c r="A388">
        <v>29</v>
      </c>
      <c r="B388">
        <v>33</v>
      </c>
      <c r="C388" t="s">
        <v>74</v>
      </c>
      <c r="D388" t="s">
        <v>1561</v>
      </c>
      <c r="E388" t="s">
        <v>1562</v>
      </c>
      <c r="F388">
        <v>3429</v>
      </c>
      <c r="G388" s="23">
        <v>45608</v>
      </c>
      <c r="H388" s="2">
        <v>45607.505497685182</v>
      </c>
      <c r="J388" s="2"/>
      <c r="K388" s="149">
        <v>0</v>
      </c>
      <c r="L388" s="149">
        <v>9841500</v>
      </c>
      <c r="M388" s="149">
        <v>1869885</v>
      </c>
      <c r="N388" s="149">
        <v>11711385</v>
      </c>
      <c r="O388">
        <v>0</v>
      </c>
      <c r="P388">
        <v>0</v>
      </c>
      <c r="Q388">
        <v>0</v>
      </c>
      <c r="R388">
        <v>0</v>
      </c>
      <c r="S388">
        <v>0</v>
      </c>
      <c r="T388" t="s">
        <v>77</v>
      </c>
      <c r="U388">
        <v>0</v>
      </c>
      <c r="V388">
        <v>0</v>
      </c>
      <c r="W388">
        <v>0</v>
      </c>
      <c r="X388">
        <v>0</v>
      </c>
      <c r="Y388">
        <v>0</v>
      </c>
      <c r="AC388">
        <v>0</v>
      </c>
      <c r="AE388">
        <v>0</v>
      </c>
      <c r="AF388">
        <v>2</v>
      </c>
      <c r="AG388">
        <v>0</v>
      </c>
      <c r="AH388">
        <v>0</v>
      </c>
      <c r="AI388">
        <v>0</v>
      </c>
      <c r="AM388">
        <v>0</v>
      </c>
      <c r="AR388" t="s">
        <v>2385</v>
      </c>
      <c r="AS388" t="s">
        <v>1680</v>
      </c>
      <c r="AT388">
        <v>2024</v>
      </c>
      <c r="AU388">
        <v>11</v>
      </c>
      <c r="AV388" t="s">
        <v>78</v>
      </c>
      <c r="AX388" t="s">
        <v>2414</v>
      </c>
    </row>
    <row r="389" spans="1:50">
      <c r="A389">
        <v>30</v>
      </c>
      <c r="B389">
        <v>33</v>
      </c>
      <c r="C389" t="s">
        <v>74</v>
      </c>
      <c r="D389" t="s">
        <v>1600</v>
      </c>
      <c r="E389" t="s">
        <v>1601</v>
      </c>
      <c r="F389">
        <v>3430</v>
      </c>
      <c r="G389" s="23">
        <v>45607</v>
      </c>
      <c r="H389" s="2">
        <v>45607.509236111109</v>
      </c>
      <c r="K389" s="149">
        <v>0</v>
      </c>
      <c r="L389" s="149">
        <v>88000</v>
      </c>
      <c r="M389" s="149">
        <v>16720</v>
      </c>
      <c r="N389" s="149">
        <v>104720</v>
      </c>
      <c r="O389">
        <v>0</v>
      </c>
      <c r="P389">
        <v>0</v>
      </c>
      <c r="Q389">
        <v>0</v>
      </c>
      <c r="R389">
        <v>0</v>
      </c>
      <c r="S389">
        <v>0</v>
      </c>
      <c r="T389" t="s">
        <v>77</v>
      </c>
      <c r="U389">
        <v>0</v>
      </c>
      <c r="V389">
        <v>0</v>
      </c>
      <c r="W389">
        <v>0</v>
      </c>
      <c r="X389">
        <v>0</v>
      </c>
      <c r="Y389">
        <v>0</v>
      </c>
      <c r="AC389">
        <v>0</v>
      </c>
      <c r="AE389">
        <v>0</v>
      </c>
      <c r="AF389">
        <v>2</v>
      </c>
      <c r="AG389">
        <v>0</v>
      </c>
      <c r="AH389">
        <v>0</v>
      </c>
      <c r="AI389">
        <v>0</v>
      </c>
      <c r="AM389">
        <v>0</v>
      </c>
      <c r="AR389" t="s">
        <v>2385</v>
      </c>
      <c r="AS389" t="s">
        <v>1680</v>
      </c>
      <c r="AT389">
        <v>2024</v>
      </c>
      <c r="AU389">
        <v>11</v>
      </c>
      <c r="AV389" t="s">
        <v>78</v>
      </c>
      <c r="AX389" t="s">
        <v>2415</v>
      </c>
    </row>
    <row r="390" spans="1:50">
      <c r="A390">
        <v>31</v>
      </c>
      <c r="B390">
        <v>33</v>
      </c>
      <c r="C390" t="s">
        <v>74</v>
      </c>
      <c r="D390" t="s">
        <v>1222</v>
      </c>
      <c r="E390" t="s">
        <v>1223</v>
      </c>
      <c r="F390">
        <v>3431</v>
      </c>
      <c r="G390" s="23">
        <v>45608</v>
      </c>
      <c r="H390" s="2">
        <v>45637.494340277779</v>
      </c>
      <c r="I390" t="s">
        <v>2307</v>
      </c>
      <c r="K390" s="149">
        <v>0</v>
      </c>
      <c r="L390" s="149">
        <v>8518296</v>
      </c>
      <c r="M390" s="149">
        <v>1618478</v>
      </c>
      <c r="N390" s="149">
        <v>10136774</v>
      </c>
      <c r="O390">
        <v>0</v>
      </c>
      <c r="P390">
        <v>0</v>
      </c>
      <c r="Q390">
        <v>0</v>
      </c>
      <c r="R390">
        <v>0</v>
      </c>
      <c r="S390">
        <v>0</v>
      </c>
      <c r="T390" t="s">
        <v>77</v>
      </c>
      <c r="U390">
        <v>0</v>
      </c>
      <c r="V390">
        <v>0</v>
      </c>
      <c r="W390">
        <v>0</v>
      </c>
      <c r="X390">
        <v>0</v>
      </c>
      <c r="AC390">
        <v>0</v>
      </c>
      <c r="AE390">
        <v>0</v>
      </c>
      <c r="AF390">
        <v>2</v>
      </c>
      <c r="AG390">
        <v>0</v>
      </c>
      <c r="AH390">
        <v>0</v>
      </c>
      <c r="AI390">
        <v>0</v>
      </c>
      <c r="AM390">
        <v>0</v>
      </c>
      <c r="AR390" t="s">
        <v>2385</v>
      </c>
      <c r="AS390" t="s">
        <v>1680</v>
      </c>
      <c r="AT390">
        <v>2024</v>
      </c>
      <c r="AU390">
        <v>11</v>
      </c>
      <c r="AV390" t="s">
        <v>78</v>
      </c>
      <c r="AX390" t="s">
        <v>2416</v>
      </c>
    </row>
    <row r="391" spans="1:50">
      <c r="A391">
        <v>32</v>
      </c>
      <c r="B391">
        <v>33</v>
      </c>
      <c r="C391" t="s">
        <v>74</v>
      </c>
      <c r="D391" t="s">
        <v>1222</v>
      </c>
      <c r="E391" t="s">
        <v>1223</v>
      </c>
      <c r="F391">
        <v>3432</v>
      </c>
      <c r="G391" s="23">
        <v>45608</v>
      </c>
      <c r="H391" s="2">
        <v>45637.513773148145</v>
      </c>
      <c r="I391" s="2" t="s">
        <v>2307</v>
      </c>
      <c r="K391" s="149">
        <v>0</v>
      </c>
      <c r="L391" s="149">
        <v>2150500</v>
      </c>
      <c r="M391" s="149">
        <v>408595</v>
      </c>
      <c r="N391" s="149">
        <v>2559095</v>
      </c>
      <c r="O391">
        <v>0</v>
      </c>
      <c r="P391">
        <v>0</v>
      </c>
      <c r="Q391">
        <v>0</v>
      </c>
      <c r="R391">
        <v>0</v>
      </c>
      <c r="S391">
        <v>0</v>
      </c>
      <c r="T391" t="s">
        <v>77</v>
      </c>
      <c r="U391">
        <v>0</v>
      </c>
      <c r="V391">
        <v>0</v>
      </c>
      <c r="W391">
        <v>0</v>
      </c>
      <c r="X391">
        <v>0</v>
      </c>
      <c r="AC391">
        <v>0</v>
      </c>
      <c r="AE391">
        <v>0</v>
      </c>
      <c r="AF391">
        <v>2</v>
      </c>
      <c r="AG391">
        <v>0</v>
      </c>
      <c r="AH391">
        <v>0</v>
      </c>
      <c r="AI391">
        <v>0</v>
      </c>
      <c r="AM391">
        <v>0</v>
      </c>
      <c r="AR391" t="s">
        <v>2385</v>
      </c>
      <c r="AS391" t="s">
        <v>1680</v>
      </c>
      <c r="AT391">
        <v>2024</v>
      </c>
      <c r="AU391">
        <v>11</v>
      </c>
      <c r="AV391" t="s">
        <v>78</v>
      </c>
      <c r="AX391" t="s">
        <v>2417</v>
      </c>
    </row>
    <row r="392" spans="1:50">
      <c r="A392">
        <v>33</v>
      </c>
      <c r="B392">
        <v>33</v>
      </c>
      <c r="C392" t="s">
        <v>74</v>
      </c>
      <c r="D392" t="s">
        <v>1222</v>
      </c>
      <c r="E392" t="s">
        <v>1223</v>
      </c>
      <c r="F392">
        <v>3433</v>
      </c>
      <c r="G392" s="23">
        <v>45608</v>
      </c>
      <c r="H392" s="2">
        <v>45637.528773148151</v>
      </c>
      <c r="I392" t="s">
        <v>2307</v>
      </c>
      <c r="K392" s="149">
        <v>0</v>
      </c>
      <c r="L392" s="149">
        <v>13128400</v>
      </c>
      <c r="M392" s="149">
        <v>2494396</v>
      </c>
      <c r="N392" s="149">
        <v>15622796</v>
      </c>
      <c r="O392">
        <v>0</v>
      </c>
      <c r="P392">
        <v>0</v>
      </c>
      <c r="Q392">
        <v>0</v>
      </c>
      <c r="R392">
        <v>0</v>
      </c>
      <c r="S392">
        <v>0</v>
      </c>
      <c r="T392" t="s">
        <v>77</v>
      </c>
      <c r="U392">
        <v>0</v>
      </c>
      <c r="V392">
        <v>0</v>
      </c>
      <c r="W392">
        <v>0</v>
      </c>
      <c r="X392">
        <v>0</v>
      </c>
      <c r="AC392">
        <v>0</v>
      </c>
      <c r="AE392">
        <v>0</v>
      </c>
      <c r="AF392">
        <v>2</v>
      </c>
      <c r="AG392">
        <v>0</v>
      </c>
      <c r="AH392">
        <v>0</v>
      </c>
      <c r="AI392">
        <v>0</v>
      </c>
      <c r="AM392">
        <v>0</v>
      </c>
      <c r="AR392" t="s">
        <v>2385</v>
      </c>
      <c r="AS392" t="s">
        <v>1680</v>
      </c>
      <c r="AT392">
        <v>2024</v>
      </c>
      <c r="AU392">
        <v>11</v>
      </c>
      <c r="AV392" t="s">
        <v>78</v>
      </c>
      <c r="AX392" t="s">
        <v>2418</v>
      </c>
    </row>
    <row r="393" spans="1:50">
      <c r="A393">
        <v>34</v>
      </c>
      <c r="B393">
        <v>33</v>
      </c>
      <c r="C393" t="s">
        <v>74</v>
      </c>
      <c r="D393" t="s">
        <v>1583</v>
      </c>
      <c r="E393" t="s">
        <v>1584</v>
      </c>
      <c r="F393">
        <v>3434</v>
      </c>
      <c r="G393" s="23" t="s">
        <v>822</v>
      </c>
      <c r="H393" s="2">
        <v>45637.731747685182</v>
      </c>
      <c r="K393" s="149">
        <v>0</v>
      </c>
      <c r="L393" s="149">
        <v>278558</v>
      </c>
      <c r="M393" s="149">
        <v>52926</v>
      </c>
      <c r="N393" s="149">
        <v>331484</v>
      </c>
      <c r="O393">
        <v>0</v>
      </c>
      <c r="P393">
        <v>0</v>
      </c>
      <c r="Q393">
        <v>0</v>
      </c>
      <c r="R393">
        <v>0</v>
      </c>
      <c r="S393">
        <v>0</v>
      </c>
      <c r="T393" t="s">
        <v>77</v>
      </c>
      <c r="U393">
        <v>0</v>
      </c>
      <c r="V393">
        <v>0</v>
      </c>
      <c r="W393">
        <v>0</v>
      </c>
      <c r="X393">
        <v>0</v>
      </c>
      <c r="Y393">
        <v>0</v>
      </c>
      <c r="AC393">
        <v>0</v>
      </c>
      <c r="AE393">
        <v>0</v>
      </c>
      <c r="AF393">
        <v>2</v>
      </c>
      <c r="AG393">
        <v>0</v>
      </c>
      <c r="AH393">
        <v>0</v>
      </c>
      <c r="AI393">
        <v>0</v>
      </c>
      <c r="AM393">
        <v>0</v>
      </c>
      <c r="AR393" t="s">
        <v>2385</v>
      </c>
      <c r="AS393" t="s">
        <v>1680</v>
      </c>
      <c r="AT393">
        <v>2024</v>
      </c>
      <c r="AU393">
        <v>11</v>
      </c>
      <c r="AV393" t="s">
        <v>78</v>
      </c>
      <c r="AX393" t="s">
        <v>2419</v>
      </c>
    </row>
    <row r="394" spans="1:50">
      <c r="A394">
        <v>35</v>
      </c>
      <c r="B394">
        <v>33</v>
      </c>
      <c r="C394" t="s">
        <v>74</v>
      </c>
      <c r="D394" t="s">
        <v>2140</v>
      </c>
      <c r="E394" t="s">
        <v>2141</v>
      </c>
      <c r="F394">
        <v>3435</v>
      </c>
      <c r="G394" s="23" t="s">
        <v>822</v>
      </c>
      <c r="H394" s="2">
        <v>45637.740532407406</v>
      </c>
      <c r="I394" s="2"/>
      <c r="K394" s="149">
        <v>0</v>
      </c>
      <c r="L394" s="149">
        <v>175846</v>
      </c>
      <c r="M394" s="149">
        <v>33412</v>
      </c>
      <c r="N394" s="149">
        <v>209258</v>
      </c>
      <c r="O394">
        <v>0</v>
      </c>
      <c r="P394">
        <v>0</v>
      </c>
      <c r="Q394">
        <v>0</v>
      </c>
      <c r="R394">
        <v>0</v>
      </c>
      <c r="S394">
        <v>0</v>
      </c>
      <c r="T394" t="s">
        <v>77</v>
      </c>
      <c r="U394">
        <v>0</v>
      </c>
      <c r="V394">
        <v>0</v>
      </c>
      <c r="W394">
        <v>0</v>
      </c>
      <c r="X394">
        <v>0</v>
      </c>
      <c r="Y394">
        <v>0</v>
      </c>
      <c r="AC394">
        <v>0</v>
      </c>
      <c r="AE394">
        <v>0</v>
      </c>
      <c r="AF394">
        <v>2</v>
      </c>
      <c r="AG394">
        <v>0</v>
      </c>
      <c r="AH394">
        <v>0</v>
      </c>
      <c r="AI394">
        <v>0</v>
      </c>
      <c r="AM394">
        <v>0</v>
      </c>
      <c r="AR394" t="s">
        <v>2385</v>
      </c>
      <c r="AS394" t="s">
        <v>1680</v>
      </c>
      <c r="AT394">
        <v>2024</v>
      </c>
      <c r="AU394">
        <v>11</v>
      </c>
      <c r="AV394" t="s">
        <v>78</v>
      </c>
      <c r="AX394" t="s">
        <v>2420</v>
      </c>
    </row>
    <row r="395" spans="1:50">
      <c r="A395">
        <v>36</v>
      </c>
      <c r="B395">
        <v>33</v>
      </c>
      <c r="C395" t="s">
        <v>74</v>
      </c>
      <c r="D395" t="s">
        <v>1600</v>
      </c>
      <c r="E395" t="s">
        <v>1601</v>
      </c>
      <c r="F395">
        <v>3436</v>
      </c>
      <c r="G395" s="23" t="s">
        <v>822</v>
      </c>
      <c r="H395" s="2">
        <v>45637.746851851851</v>
      </c>
      <c r="I395" s="2"/>
      <c r="K395" s="149">
        <v>0</v>
      </c>
      <c r="L395" s="149">
        <v>21120</v>
      </c>
      <c r="M395" s="149">
        <v>4013</v>
      </c>
      <c r="N395" s="149">
        <v>25133</v>
      </c>
      <c r="O395">
        <v>0</v>
      </c>
      <c r="P395">
        <v>0</v>
      </c>
      <c r="Q395">
        <v>0</v>
      </c>
      <c r="R395">
        <v>0</v>
      </c>
      <c r="S395">
        <v>0</v>
      </c>
      <c r="T395" t="s">
        <v>77</v>
      </c>
      <c r="U395">
        <v>0</v>
      </c>
      <c r="V395">
        <v>0</v>
      </c>
      <c r="W395">
        <v>0</v>
      </c>
      <c r="X395">
        <v>0</v>
      </c>
      <c r="Y395">
        <v>0</v>
      </c>
      <c r="AC395">
        <v>0</v>
      </c>
      <c r="AE395">
        <v>0</v>
      </c>
      <c r="AF395">
        <v>2</v>
      </c>
      <c r="AG395">
        <v>0</v>
      </c>
      <c r="AH395">
        <v>0</v>
      </c>
      <c r="AI395">
        <v>0</v>
      </c>
      <c r="AM395">
        <v>0</v>
      </c>
      <c r="AR395" t="s">
        <v>2385</v>
      </c>
      <c r="AS395" t="s">
        <v>1680</v>
      </c>
      <c r="AT395">
        <v>2024</v>
      </c>
      <c r="AU395">
        <v>11</v>
      </c>
      <c r="AV395" t="s">
        <v>78</v>
      </c>
      <c r="AX395" t="s">
        <v>2421</v>
      </c>
    </row>
    <row r="396" spans="1:50">
      <c r="A396">
        <v>37</v>
      </c>
      <c r="B396">
        <v>33</v>
      </c>
      <c r="C396" t="s">
        <v>74</v>
      </c>
      <c r="D396" t="s">
        <v>1573</v>
      </c>
      <c r="E396" t="s">
        <v>1574</v>
      </c>
      <c r="F396">
        <v>3437</v>
      </c>
      <c r="G396" s="23" t="s">
        <v>822</v>
      </c>
      <c r="H396" s="2" t="s">
        <v>2308</v>
      </c>
      <c r="I396" s="2"/>
      <c r="K396" s="149">
        <v>0</v>
      </c>
      <c r="L396" s="149">
        <v>289838</v>
      </c>
      <c r="M396" s="149">
        <v>55070</v>
      </c>
      <c r="N396" s="149">
        <v>344908</v>
      </c>
      <c r="O396">
        <v>0</v>
      </c>
      <c r="P396">
        <v>0</v>
      </c>
      <c r="Q396">
        <v>0</v>
      </c>
      <c r="R396">
        <v>0</v>
      </c>
      <c r="S396">
        <v>0</v>
      </c>
      <c r="T396" t="s">
        <v>77</v>
      </c>
      <c r="U396">
        <v>0</v>
      </c>
      <c r="V396">
        <v>0</v>
      </c>
      <c r="W396">
        <v>0</v>
      </c>
      <c r="X396">
        <v>0</v>
      </c>
      <c r="Y396">
        <v>0</v>
      </c>
      <c r="AC396">
        <v>0</v>
      </c>
      <c r="AE396">
        <v>0</v>
      </c>
      <c r="AF396">
        <v>2</v>
      </c>
      <c r="AG396">
        <v>0</v>
      </c>
      <c r="AH396">
        <v>0</v>
      </c>
      <c r="AI396">
        <v>0</v>
      </c>
      <c r="AM396">
        <v>0</v>
      </c>
      <c r="AR396" t="s">
        <v>2385</v>
      </c>
      <c r="AS396" t="s">
        <v>1680</v>
      </c>
      <c r="AT396">
        <v>2024</v>
      </c>
      <c r="AU396">
        <v>11</v>
      </c>
      <c r="AV396" t="s">
        <v>78</v>
      </c>
      <c r="AX396" t="s">
        <v>2422</v>
      </c>
    </row>
    <row r="397" spans="1:50">
      <c r="A397">
        <v>38</v>
      </c>
      <c r="B397">
        <v>33</v>
      </c>
      <c r="C397" t="s">
        <v>74</v>
      </c>
      <c r="D397" t="s">
        <v>1571</v>
      </c>
      <c r="E397" t="s">
        <v>1572</v>
      </c>
      <c r="F397">
        <v>3438</v>
      </c>
      <c r="G397" s="23" t="s">
        <v>822</v>
      </c>
      <c r="H397" s="2" t="s">
        <v>2309</v>
      </c>
      <c r="J397" t="s">
        <v>2310</v>
      </c>
      <c r="K397" s="149">
        <v>0</v>
      </c>
      <c r="L397" s="149">
        <v>138960</v>
      </c>
      <c r="M397" s="149">
        <v>26402</v>
      </c>
      <c r="N397" s="149">
        <v>165362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77</v>
      </c>
      <c r="U397">
        <v>0</v>
      </c>
      <c r="V397">
        <v>0</v>
      </c>
      <c r="W397">
        <v>0</v>
      </c>
      <c r="X397">
        <v>0</v>
      </c>
      <c r="Y397">
        <v>0</v>
      </c>
      <c r="AC397">
        <v>0</v>
      </c>
      <c r="AE397">
        <v>0</v>
      </c>
      <c r="AF397">
        <v>2</v>
      </c>
      <c r="AG397">
        <v>0</v>
      </c>
      <c r="AH397">
        <v>0</v>
      </c>
      <c r="AI397">
        <v>0</v>
      </c>
      <c r="AM397">
        <v>0</v>
      </c>
      <c r="AR397" t="s">
        <v>2385</v>
      </c>
      <c r="AS397" t="s">
        <v>1680</v>
      </c>
      <c r="AT397">
        <v>2024</v>
      </c>
      <c r="AU397">
        <v>11</v>
      </c>
      <c r="AV397" t="s">
        <v>78</v>
      </c>
      <c r="AX397" t="s">
        <v>2423</v>
      </c>
    </row>
    <row r="398" spans="1:50">
      <c r="A398">
        <v>39</v>
      </c>
      <c r="B398">
        <v>33</v>
      </c>
      <c r="C398" t="s">
        <v>74</v>
      </c>
      <c r="D398" t="s">
        <v>1581</v>
      </c>
      <c r="E398" t="s">
        <v>1582</v>
      </c>
      <c r="F398">
        <v>3439</v>
      </c>
      <c r="G398" s="23" t="s">
        <v>822</v>
      </c>
      <c r="H398" s="2" t="s">
        <v>2311</v>
      </c>
      <c r="I398" t="s">
        <v>2312</v>
      </c>
      <c r="K398" s="149">
        <v>0</v>
      </c>
      <c r="L398" s="149">
        <v>898835</v>
      </c>
      <c r="M398" s="149">
        <v>170778</v>
      </c>
      <c r="N398" s="149">
        <v>1069613</v>
      </c>
      <c r="O398">
        <v>0</v>
      </c>
      <c r="P398">
        <v>0</v>
      </c>
      <c r="Q398">
        <v>0</v>
      </c>
      <c r="R398">
        <v>0</v>
      </c>
      <c r="S398">
        <v>0</v>
      </c>
      <c r="T398" t="s">
        <v>77</v>
      </c>
      <c r="U398">
        <v>0</v>
      </c>
      <c r="V398">
        <v>0</v>
      </c>
      <c r="W398">
        <v>0</v>
      </c>
      <c r="X398">
        <v>0</v>
      </c>
      <c r="Y398">
        <v>0</v>
      </c>
      <c r="AC398">
        <v>0</v>
      </c>
      <c r="AE398">
        <v>0</v>
      </c>
      <c r="AF398">
        <v>2</v>
      </c>
      <c r="AG398">
        <v>0</v>
      </c>
      <c r="AH398">
        <v>0</v>
      </c>
      <c r="AI398">
        <v>0</v>
      </c>
      <c r="AM398">
        <v>0</v>
      </c>
      <c r="AR398" t="s">
        <v>2385</v>
      </c>
      <c r="AS398" t="s">
        <v>1680</v>
      </c>
      <c r="AT398">
        <v>2024</v>
      </c>
      <c r="AU398">
        <v>11</v>
      </c>
      <c r="AV398" t="s">
        <v>78</v>
      </c>
      <c r="AX398" t="s">
        <v>2424</v>
      </c>
    </row>
    <row r="399" spans="1:50">
      <c r="A399">
        <v>40</v>
      </c>
      <c r="B399">
        <v>33</v>
      </c>
      <c r="C399" t="s">
        <v>74</v>
      </c>
      <c r="D399" t="s">
        <v>1353</v>
      </c>
      <c r="E399" t="s">
        <v>1354</v>
      </c>
      <c r="F399">
        <v>3440</v>
      </c>
      <c r="G399" s="23" t="s">
        <v>823</v>
      </c>
      <c r="H399" s="2" t="s">
        <v>2313</v>
      </c>
      <c r="I399" t="s">
        <v>2314</v>
      </c>
      <c r="K399" s="149">
        <v>0</v>
      </c>
      <c r="L399" s="149">
        <v>3340068</v>
      </c>
      <c r="M399" s="149">
        <v>634613</v>
      </c>
      <c r="N399" s="149">
        <v>3974681</v>
      </c>
      <c r="O399">
        <v>0</v>
      </c>
      <c r="P399">
        <v>0</v>
      </c>
      <c r="Q399">
        <v>0</v>
      </c>
      <c r="R399">
        <v>0</v>
      </c>
      <c r="S399">
        <v>0</v>
      </c>
      <c r="T399" t="s">
        <v>77</v>
      </c>
      <c r="U399">
        <v>0</v>
      </c>
      <c r="V399">
        <v>0</v>
      </c>
      <c r="W399">
        <v>0</v>
      </c>
      <c r="X399">
        <v>0</v>
      </c>
      <c r="Y399">
        <v>0</v>
      </c>
      <c r="AC399">
        <v>0</v>
      </c>
      <c r="AE399">
        <v>0</v>
      </c>
      <c r="AF399">
        <v>2</v>
      </c>
      <c r="AG399">
        <v>0</v>
      </c>
      <c r="AH399">
        <v>0</v>
      </c>
      <c r="AI399">
        <v>0</v>
      </c>
      <c r="AM399">
        <v>0</v>
      </c>
      <c r="AR399" t="s">
        <v>2385</v>
      </c>
      <c r="AS399" t="s">
        <v>1680</v>
      </c>
      <c r="AT399">
        <v>2024</v>
      </c>
      <c r="AU399">
        <v>11</v>
      </c>
      <c r="AV399" t="s">
        <v>78</v>
      </c>
      <c r="AX399" t="s">
        <v>2425</v>
      </c>
    </row>
    <row r="400" spans="1:50">
      <c r="A400">
        <v>41</v>
      </c>
      <c r="B400">
        <v>33</v>
      </c>
      <c r="C400" t="s">
        <v>74</v>
      </c>
      <c r="D400" t="s">
        <v>1353</v>
      </c>
      <c r="E400" t="s">
        <v>1354</v>
      </c>
      <c r="F400">
        <v>3441</v>
      </c>
      <c r="G400" s="23" t="s">
        <v>823</v>
      </c>
      <c r="H400" s="2" t="s">
        <v>2315</v>
      </c>
      <c r="I400" t="s">
        <v>2316</v>
      </c>
      <c r="K400" s="149">
        <v>0</v>
      </c>
      <c r="L400" s="149">
        <v>404400</v>
      </c>
      <c r="M400" s="149">
        <v>76836</v>
      </c>
      <c r="N400" s="149">
        <v>481236</v>
      </c>
      <c r="O400">
        <v>0</v>
      </c>
      <c r="P400">
        <v>0</v>
      </c>
      <c r="Q400">
        <v>0</v>
      </c>
      <c r="R400">
        <v>0</v>
      </c>
      <c r="S400">
        <v>0</v>
      </c>
      <c r="T400" t="s">
        <v>77</v>
      </c>
      <c r="U400">
        <v>0</v>
      </c>
      <c r="V400">
        <v>0</v>
      </c>
      <c r="W400">
        <v>0</v>
      </c>
      <c r="X400">
        <v>0</v>
      </c>
      <c r="Y400">
        <v>0</v>
      </c>
      <c r="AC400">
        <v>0</v>
      </c>
      <c r="AE400">
        <v>0</v>
      </c>
      <c r="AF400">
        <v>2</v>
      </c>
      <c r="AG400">
        <v>0</v>
      </c>
      <c r="AH400">
        <v>0</v>
      </c>
      <c r="AI400">
        <v>0</v>
      </c>
      <c r="AM400">
        <v>0</v>
      </c>
      <c r="AR400" t="s">
        <v>2385</v>
      </c>
      <c r="AS400" t="s">
        <v>1680</v>
      </c>
      <c r="AT400">
        <v>2024</v>
      </c>
      <c r="AU400">
        <v>11</v>
      </c>
      <c r="AV400" t="s">
        <v>78</v>
      </c>
      <c r="AX400" t="s">
        <v>2426</v>
      </c>
    </row>
    <row r="401" spans="1:50">
      <c r="A401">
        <v>42</v>
      </c>
      <c r="B401">
        <v>33</v>
      </c>
      <c r="C401" t="s">
        <v>74</v>
      </c>
      <c r="D401" t="s">
        <v>1353</v>
      </c>
      <c r="E401" t="s">
        <v>1354</v>
      </c>
      <c r="F401">
        <v>3442</v>
      </c>
      <c r="G401" s="23" t="s">
        <v>822</v>
      </c>
      <c r="H401" s="2" t="s">
        <v>2317</v>
      </c>
      <c r="I401" t="s">
        <v>2318</v>
      </c>
      <c r="K401" s="149">
        <v>0</v>
      </c>
      <c r="L401" s="149">
        <v>1155000</v>
      </c>
      <c r="M401" s="149">
        <v>219450</v>
      </c>
      <c r="N401" s="149">
        <v>1374450</v>
      </c>
      <c r="O401">
        <v>0</v>
      </c>
      <c r="P401">
        <v>0</v>
      </c>
      <c r="Q401">
        <v>0</v>
      </c>
      <c r="R401">
        <v>0</v>
      </c>
      <c r="S401">
        <v>0</v>
      </c>
      <c r="T401" t="s">
        <v>77</v>
      </c>
      <c r="U401">
        <v>0</v>
      </c>
      <c r="V401">
        <v>0</v>
      </c>
      <c r="W401">
        <v>0</v>
      </c>
      <c r="X401">
        <v>0</v>
      </c>
      <c r="Y401">
        <v>0</v>
      </c>
      <c r="AC401">
        <v>0</v>
      </c>
      <c r="AE401">
        <v>0</v>
      </c>
      <c r="AF401">
        <v>2</v>
      </c>
      <c r="AG401">
        <v>0</v>
      </c>
      <c r="AH401">
        <v>0</v>
      </c>
      <c r="AI401">
        <v>0</v>
      </c>
      <c r="AM401">
        <v>0</v>
      </c>
      <c r="AR401" t="s">
        <v>2385</v>
      </c>
      <c r="AS401" t="s">
        <v>1680</v>
      </c>
      <c r="AT401">
        <v>2024</v>
      </c>
      <c r="AU401">
        <v>11</v>
      </c>
      <c r="AV401" t="s">
        <v>78</v>
      </c>
      <c r="AX401" t="s">
        <v>2427</v>
      </c>
    </row>
    <row r="402" spans="1:50">
      <c r="A402">
        <v>43</v>
      </c>
      <c r="B402">
        <v>33</v>
      </c>
      <c r="C402" t="s">
        <v>74</v>
      </c>
      <c r="D402" t="s">
        <v>1579</v>
      </c>
      <c r="E402" t="s">
        <v>1580</v>
      </c>
      <c r="F402">
        <v>3443</v>
      </c>
      <c r="G402" s="23" t="s">
        <v>824</v>
      </c>
      <c r="H402" s="2" t="s">
        <v>2319</v>
      </c>
      <c r="I402" t="s">
        <v>2320</v>
      </c>
      <c r="K402" s="149">
        <v>0</v>
      </c>
      <c r="L402" s="149">
        <v>15585600</v>
      </c>
      <c r="M402" s="149">
        <v>2961264</v>
      </c>
      <c r="N402" s="149">
        <v>18546864</v>
      </c>
      <c r="O402">
        <v>0</v>
      </c>
      <c r="P402">
        <v>0</v>
      </c>
      <c r="Q402">
        <v>0</v>
      </c>
      <c r="R402">
        <v>0</v>
      </c>
      <c r="S402">
        <v>0</v>
      </c>
      <c r="T402" t="s">
        <v>77</v>
      </c>
      <c r="U402">
        <v>0</v>
      </c>
      <c r="V402">
        <v>0</v>
      </c>
      <c r="W402">
        <v>0</v>
      </c>
      <c r="X402">
        <v>0</v>
      </c>
      <c r="Y402">
        <v>0</v>
      </c>
      <c r="AC402">
        <v>0</v>
      </c>
      <c r="AE402">
        <v>0</v>
      </c>
      <c r="AF402">
        <v>2</v>
      </c>
      <c r="AG402">
        <v>0</v>
      </c>
      <c r="AH402">
        <v>0</v>
      </c>
      <c r="AI402">
        <v>0</v>
      </c>
      <c r="AM402">
        <v>0</v>
      </c>
      <c r="AR402" t="s">
        <v>2385</v>
      </c>
      <c r="AS402" t="s">
        <v>1680</v>
      </c>
      <c r="AT402">
        <v>2024</v>
      </c>
      <c r="AU402">
        <v>11</v>
      </c>
      <c r="AV402" t="s">
        <v>78</v>
      </c>
      <c r="AX402" t="s">
        <v>2428</v>
      </c>
    </row>
    <row r="403" spans="1:50">
      <c r="A403">
        <v>44</v>
      </c>
      <c r="B403">
        <v>33</v>
      </c>
      <c r="C403" t="s">
        <v>74</v>
      </c>
      <c r="D403" t="s">
        <v>1222</v>
      </c>
      <c r="E403" t="s">
        <v>1223</v>
      </c>
      <c r="F403">
        <v>3444</v>
      </c>
      <c r="G403" s="23" t="s">
        <v>824</v>
      </c>
      <c r="H403" s="2" t="s">
        <v>2321</v>
      </c>
      <c r="J403" s="2"/>
      <c r="K403" s="149">
        <v>0</v>
      </c>
      <c r="L403" s="149">
        <v>3216330</v>
      </c>
      <c r="M403" s="149">
        <v>611103</v>
      </c>
      <c r="N403" s="149">
        <v>3827433</v>
      </c>
      <c r="O403">
        <v>0</v>
      </c>
      <c r="P403">
        <v>0</v>
      </c>
      <c r="Q403">
        <v>0</v>
      </c>
      <c r="R403">
        <v>0</v>
      </c>
      <c r="S403">
        <v>0</v>
      </c>
      <c r="T403" t="s">
        <v>77</v>
      </c>
      <c r="U403">
        <v>0</v>
      </c>
      <c r="V403">
        <v>0</v>
      </c>
      <c r="W403">
        <v>0</v>
      </c>
      <c r="X403">
        <v>0</v>
      </c>
      <c r="AC403">
        <v>0</v>
      </c>
      <c r="AE403">
        <v>0</v>
      </c>
      <c r="AF403">
        <v>2</v>
      </c>
      <c r="AG403">
        <v>0</v>
      </c>
      <c r="AH403">
        <v>0</v>
      </c>
      <c r="AI403">
        <v>0</v>
      </c>
      <c r="AM403">
        <v>0</v>
      </c>
      <c r="AR403" t="s">
        <v>2385</v>
      </c>
      <c r="AS403" t="s">
        <v>1680</v>
      </c>
      <c r="AT403">
        <v>2024</v>
      </c>
      <c r="AU403">
        <v>11</v>
      </c>
      <c r="AV403" t="s">
        <v>78</v>
      </c>
      <c r="AX403" t="s">
        <v>2429</v>
      </c>
    </row>
    <row r="404" spans="1:50">
      <c r="A404">
        <v>45</v>
      </c>
      <c r="B404">
        <v>33</v>
      </c>
      <c r="C404" t="s">
        <v>74</v>
      </c>
      <c r="D404" t="s">
        <v>1222</v>
      </c>
      <c r="E404" t="s">
        <v>1223</v>
      </c>
      <c r="F404">
        <v>3445</v>
      </c>
      <c r="G404" s="23" t="s">
        <v>824</v>
      </c>
      <c r="H404" s="2" t="s">
        <v>2322</v>
      </c>
      <c r="I404" s="2"/>
      <c r="K404" s="149">
        <v>0</v>
      </c>
      <c r="L404" s="149">
        <v>8843400</v>
      </c>
      <c r="M404" s="149">
        <v>1680246</v>
      </c>
      <c r="N404" s="149">
        <v>10523646</v>
      </c>
      <c r="O404">
        <v>0</v>
      </c>
      <c r="P404">
        <v>0</v>
      </c>
      <c r="Q404">
        <v>0</v>
      </c>
      <c r="R404">
        <v>0</v>
      </c>
      <c r="S404">
        <v>0</v>
      </c>
      <c r="T404" t="s">
        <v>77</v>
      </c>
      <c r="U404">
        <v>0</v>
      </c>
      <c r="V404">
        <v>0</v>
      </c>
      <c r="W404">
        <v>0</v>
      </c>
      <c r="X404">
        <v>0</v>
      </c>
      <c r="AC404">
        <v>0</v>
      </c>
      <c r="AE404">
        <v>0</v>
      </c>
      <c r="AF404">
        <v>2</v>
      </c>
      <c r="AG404">
        <v>0</v>
      </c>
      <c r="AH404">
        <v>0</v>
      </c>
      <c r="AI404">
        <v>0</v>
      </c>
      <c r="AM404">
        <v>0</v>
      </c>
      <c r="AR404" t="s">
        <v>2385</v>
      </c>
      <c r="AS404" t="s">
        <v>1680</v>
      </c>
      <c r="AT404">
        <v>2024</v>
      </c>
      <c r="AU404">
        <v>11</v>
      </c>
      <c r="AV404" t="s">
        <v>78</v>
      </c>
      <c r="AX404" t="s">
        <v>2430</v>
      </c>
    </row>
    <row r="405" spans="1:50">
      <c r="A405">
        <v>46</v>
      </c>
      <c r="B405">
        <v>33</v>
      </c>
      <c r="C405" t="s">
        <v>74</v>
      </c>
      <c r="D405" t="s">
        <v>1222</v>
      </c>
      <c r="E405" t="s">
        <v>1223</v>
      </c>
      <c r="F405">
        <v>3446</v>
      </c>
      <c r="G405" s="23" t="s">
        <v>824</v>
      </c>
      <c r="H405" s="2" t="s">
        <v>2323</v>
      </c>
      <c r="K405" s="149">
        <v>0</v>
      </c>
      <c r="L405" s="149">
        <v>158000</v>
      </c>
      <c r="M405" s="149">
        <v>30020</v>
      </c>
      <c r="N405" s="149">
        <v>188020</v>
      </c>
      <c r="O405">
        <v>0</v>
      </c>
      <c r="P405">
        <v>0</v>
      </c>
      <c r="Q405">
        <v>0</v>
      </c>
      <c r="R405">
        <v>0</v>
      </c>
      <c r="S405">
        <v>0</v>
      </c>
      <c r="T405" t="s">
        <v>77</v>
      </c>
      <c r="U405">
        <v>0</v>
      </c>
      <c r="V405">
        <v>0</v>
      </c>
      <c r="W405">
        <v>0</v>
      </c>
      <c r="X405">
        <v>0</v>
      </c>
      <c r="AC405">
        <v>0</v>
      </c>
      <c r="AE405">
        <v>0</v>
      </c>
      <c r="AF405">
        <v>2</v>
      </c>
      <c r="AG405">
        <v>0</v>
      </c>
      <c r="AH405">
        <v>0</v>
      </c>
      <c r="AI405">
        <v>0</v>
      </c>
      <c r="AM405">
        <v>0</v>
      </c>
      <c r="AR405" t="s">
        <v>2385</v>
      </c>
      <c r="AS405" t="s">
        <v>1680</v>
      </c>
      <c r="AT405">
        <v>2024</v>
      </c>
      <c r="AU405">
        <v>11</v>
      </c>
      <c r="AV405" t="s">
        <v>78</v>
      </c>
      <c r="AX405" t="s">
        <v>2431</v>
      </c>
    </row>
    <row r="406" spans="1:50">
      <c r="A406">
        <v>47</v>
      </c>
      <c r="B406">
        <v>33</v>
      </c>
      <c r="C406" t="s">
        <v>74</v>
      </c>
      <c r="D406" t="s">
        <v>1988</v>
      </c>
      <c r="E406" t="s">
        <v>1989</v>
      </c>
      <c r="F406">
        <v>3447</v>
      </c>
      <c r="G406" s="23" t="s">
        <v>825</v>
      </c>
      <c r="H406" s="2" t="s">
        <v>2324</v>
      </c>
      <c r="K406" s="149">
        <v>0</v>
      </c>
      <c r="L406" s="149">
        <v>360822</v>
      </c>
      <c r="M406" s="149">
        <v>68556</v>
      </c>
      <c r="N406" s="149">
        <v>429378</v>
      </c>
      <c r="O406">
        <v>0</v>
      </c>
      <c r="P406">
        <v>0</v>
      </c>
      <c r="Q406">
        <v>0</v>
      </c>
      <c r="R406">
        <v>0</v>
      </c>
      <c r="S406">
        <v>0</v>
      </c>
      <c r="T406" t="s">
        <v>77</v>
      </c>
      <c r="U406">
        <v>0</v>
      </c>
      <c r="V406">
        <v>0</v>
      </c>
      <c r="W406">
        <v>0</v>
      </c>
      <c r="X406">
        <v>0</v>
      </c>
      <c r="AC406">
        <v>0</v>
      </c>
      <c r="AE406">
        <v>0</v>
      </c>
      <c r="AF406">
        <v>2</v>
      </c>
      <c r="AG406">
        <v>0</v>
      </c>
      <c r="AH406">
        <v>0</v>
      </c>
      <c r="AI406">
        <v>0</v>
      </c>
      <c r="AM406">
        <v>0</v>
      </c>
      <c r="AR406" t="s">
        <v>2385</v>
      </c>
      <c r="AS406" t="s">
        <v>1680</v>
      </c>
      <c r="AT406">
        <v>2024</v>
      </c>
      <c r="AU406">
        <v>11</v>
      </c>
      <c r="AV406" t="s">
        <v>78</v>
      </c>
      <c r="AX406" t="s">
        <v>2432</v>
      </c>
    </row>
    <row r="407" spans="1:50">
      <c r="A407">
        <v>48</v>
      </c>
      <c r="B407">
        <v>33</v>
      </c>
      <c r="C407" t="s">
        <v>74</v>
      </c>
      <c r="D407" t="s">
        <v>1561</v>
      </c>
      <c r="E407" t="s">
        <v>1562</v>
      </c>
      <c r="F407">
        <v>3448</v>
      </c>
      <c r="G407" s="23" t="s">
        <v>825</v>
      </c>
      <c r="H407" s="2" t="s">
        <v>2325</v>
      </c>
      <c r="K407" s="149">
        <v>0</v>
      </c>
      <c r="L407" s="149">
        <v>10903500</v>
      </c>
      <c r="M407" s="149">
        <v>2071665</v>
      </c>
      <c r="N407" s="149">
        <v>12975165</v>
      </c>
      <c r="O407">
        <v>0</v>
      </c>
      <c r="P407">
        <v>0</v>
      </c>
      <c r="Q407">
        <v>0</v>
      </c>
      <c r="R407">
        <v>0</v>
      </c>
      <c r="S407">
        <v>0</v>
      </c>
      <c r="T407" t="s">
        <v>77</v>
      </c>
      <c r="U407">
        <v>0</v>
      </c>
      <c r="V407">
        <v>0</v>
      </c>
      <c r="W407">
        <v>0</v>
      </c>
      <c r="X407">
        <v>0</v>
      </c>
      <c r="Y407">
        <v>0</v>
      </c>
      <c r="AC407">
        <v>0</v>
      </c>
      <c r="AE407">
        <v>0</v>
      </c>
      <c r="AF407">
        <v>2</v>
      </c>
      <c r="AG407">
        <v>0</v>
      </c>
      <c r="AH407">
        <v>0</v>
      </c>
      <c r="AI407">
        <v>0</v>
      </c>
      <c r="AM407">
        <v>0</v>
      </c>
      <c r="AR407" t="s">
        <v>2385</v>
      </c>
      <c r="AS407" t="s">
        <v>1680</v>
      </c>
      <c r="AT407">
        <v>2024</v>
      </c>
      <c r="AU407">
        <v>11</v>
      </c>
      <c r="AV407" t="s">
        <v>78</v>
      </c>
      <c r="AX407" t="s">
        <v>2433</v>
      </c>
    </row>
    <row r="408" spans="1:50">
      <c r="A408">
        <v>49</v>
      </c>
      <c r="B408">
        <v>33</v>
      </c>
      <c r="C408" t="s">
        <v>74</v>
      </c>
      <c r="D408" t="s">
        <v>1222</v>
      </c>
      <c r="E408" t="s">
        <v>1223</v>
      </c>
      <c r="F408">
        <v>3449</v>
      </c>
      <c r="G408" s="23" t="s">
        <v>826</v>
      </c>
      <c r="H408" s="2" t="s">
        <v>2326</v>
      </c>
      <c r="K408" s="149">
        <v>0</v>
      </c>
      <c r="L408" s="149">
        <v>8947200</v>
      </c>
      <c r="M408" s="149">
        <v>1699968</v>
      </c>
      <c r="N408" s="149">
        <v>10647168</v>
      </c>
      <c r="O408">
        <v>0</v>
      </c>
      <c r="P408">
        <v>0</v>
      </c>
      <c r="Q408">
        <v>0</v>
      </c>
      <c r="R408">
        <v>0</v>
      </c>
      <c r="S408">
        <v>0</v>
      </c>
      <c r="T408" t="s">
        <v>77</v>
      </c>
      <c r="U408">
        <v>0</v>
      </c>
      <c r="V408">
        <v>0</v>
      </c>
      <c r="W408">
        <v>0</v>
      </c>
      <c r="X408">
        <v>0</v>
      </c>
      <c r="AC408">
        <v>0</v>
      </c>
      <c r="AE408">
        <v>0</v>
      </c>
      <c r="AF408">
        <v>2</v>
      </c>
      <c r="AG408">
        <v>0</v>
      </c>
      <c r="AH408">
        <v>0</v>
      </c>
      <c r="AI408">
        <v>0</v>
      </c>
      <c r="AM408">
        <v>0</v>
      </c>
      <c r="AR408" t="s">
        <v>2385</v>
      </c>
      <c r="AS408" t="s">
        <v>1680</v>
      </c>
      <c r="AT408">
        <v>2024</v>
      </c>
      <c r="AU408">
        <v>11</v>
      </c>
      <c r="AV408" t="s">
        <v>78</v>
      </c>
      <c r="AX408" t="s">
        <v>2434</v>
      </c>
    </row>
    <row r="409" spans="1:50">
      <c r="A409">
        <v>50</v>
      </c>
      <c r="B409">
        <v>33</v>
      </c>
      <c r="C409" t="s">
        <v>74</v>
      </c>
      <c r="D409" t="s">
        <v>1577</v>
      </c>
      <c r="E409" t="s">
        <v>1578</v>
      </c>
      <c r="F409">
        <v>3450</v>
      </c>
      <c r="G409" s="23" t="s">
        <v>825</v>
      </c>
      <c r="H409" s="2" t="s">
        <v>2327</v>
      </c>
      <c r="K409" s="149">
        <v>0</v>
      </c>
      <c r="L409" s="149">
        <v>218590</v>
      </c>
      <c r="M409" s="149">
        <v>41533</v>
      </c>
      <c r="N409" s="149">
        <v>260123</v>
      </c>
      <c r="O409">
        <v>0</v>
      </c>
      <c r="P409">
        <v>0</v>
      </c>
      <c r="Q409">
        <v>0</v>
      </c>
      <c r="R409">
        <v>0</v>
      </c>
      <c r="S409">
        <v>0</v>
      </c>
      <c r="T409" t="s">
        <v>77</v>
      </c>
      <c r="U409">
        <v>0</v>
      </c>
      <c r="V409">
        <v>0</v>
      </c>
      <c r="W409">
        <v>0</v>
      </c>
      <c r="X409">
        <v>0</v>
      </c>
      <c r="Y409">
        <v>0</v>
      </c>
      <c r="AC409">
        <v>0</v>
      </c>
      <c r="AE409">
        <v>0</v>
      </c>
      <c r="AF409">
        <v>2</v>
      </c>
      <c r="AG409">
        <v>0</v>
      </c>
      <c r="AH409">
        <v>0</v>
      </c>
      <c r="AI409">
        <v>0</v>
      </c>
      <c r="AM409">
        <v>0</v>
      </c>
      <c r="AR409" t="s">
        <v>2385</v>
      </c>
      <c r="AS409" t="s">
        <v>1680</v>
      </c>
      <c r="AT409">
        <v>2024</v>
      </c>
      <c r="AU409">
        <v>11</v>
      </c>
      <c r="AV409" t="s">
        <v>78</v>
      </c>
      <c r="AX409" t="s">
        <v>2435</v>
      </c>
    </row>
    <row r="410" spans="1:50">
      <c r="A410">
        <v>51</v>
      </c>
      <c r="B410">
        <v>33</v>
      </c>
      <c r="C410" t="s">
        <v>74</v>
      </c>
      <c r="D410" t="s">
        <v>1564</v>
      </c>
      <c r="E410" t="s">
        <v>1565</v>
      </c>
      <c r="F410">
        <v>3451</v>
      </c>
      <c r="G410" s="23" t="s">
        <v>825</v>
      </c>
      <c r="H410" s="2" t="s">
        <v>2328</v>
      </c>
      <c r="K410" s="149">
        <v>0</v>
      </c>
      <c r="L410" s="149">
        <v>667782</v>
      </c>
      <c r="M410" s="149">
        <v>126879</v>
      </c>
      <c r="N410" s="149">
        <v>794661</v>
      </c>
      <c r="O410">
        <v>0</v>
      </c>
      <c r="P410">
        <v>0</v>
      </c>
      <c r="Q410">
        <v>0</v>
      </c>
      <c r="R410">
        <v>0</v>
      </c>
      <c r="S410">
        <v>0</v>
      </c>
      <c r="T410" t="s">
        <v>77</v>
      </c>
      <c r="U410">
        <v>0</v>
      </c>
      <c r="V410">
        <v>0</v>
      </c>
      <c r="W410">
        <v>0</v>
      </c>
      <c r="X410">
        <v>0</v>
      </c>
      <c r="Y410">
        <v>0</v>
      </c>
      <c r="AC410">
        <v>0</v>
      </c>
      <c r="AE410">
        <v>0</v>
      </c>
      <c r="AF410">
        <v>2</v>
      </c>
      <c r="AG410">
        <v>0</v>
      </c>
      <c r="AH410">
        <v>0</v>
      </c>
      <c r="AI410">
        <v>0</v>
      </c>
      <c r="AM410">
        <v>0</v>
      </c>
      <c r="AR410" t="s">
        <v>2385</v>
      </c>
      <c r="AS410" t="s">
        <v>1680</v>
      </c>
      <c r="AT410">
        <v>2024</v>
      </c>
      <c r="AU410">
        <v>11</v>
      </c>
      <c r="AV410" t="s">
        <v>78</v>
      </c>
      <c r="AX410" t="s">
        <v>2436</v>
      </c>
    </row>
    <row r="411" spans="1:50">
      <c r="A411">
        <v>52</v>
      </c>
      <c r="B411">
        <v>33</v>
      </c>
      <c r="C411" t="s">
        <v>74</v>
      </c>
      <c r="D411" t="s">
        <v>2329</v>
      </c>
      <c r="E411" t="s">
        <v>2330</v>
      </c>
      <c r="F411">
        <v>3452</v>
      </c>
      <c r="G411" s="23" t="s">
        <v>825</v>
      </c>
      <c r="H411" s="2" t="s">
        <v>2331</v>
      </c>
      <c r="J411" t="s">
        <v>2332</v>
      </c>
      <c r="K411" s="149">
        <v>0</v>
      </c>
      <c r="L411" s="149">
        <v>44000</v>
      </c>
      <c r="M411" s="149">
        <v>8360</v>
      </c>
      <c r="N411" s="149">
        <v>52360</v>
      </c>
      <c r="O411">
        <v>0</v>
      </c>
      <c r="P411">
        <v>0</v>
      </c>
      <c r="Q411">
        <v>0</v>
      </c>
      <c r="R411">
        <v>0</v>
      </c>
      <c r="S411">
        <v>0</v>
      </c>
      <c r="T411" t="s">
        <v>77</v>
      </c>
      <c r="U411">
        <v>0</v>
      </c>
      <c r="V411">
        <v>0</v>
      </c>
      <c r="W411">
        <v>0</v>
      </c>
      <c r="X411">
        <v>0</v>
      </c>
      <c r="Y411">
        <v>0</v>
      </c>
      <c r="AC411">
        <v>0</v>
      </c>
      <c r="AE411">
        <v>0</v>
      </c>
      <c r="AF411">
        <v>2</v>
      </c>
      <c r="AG411">
        <v>0</v>
      </c>
      <c r="AH411">
        <v>0</v>
      </c>
      <c r="AI411">
        <v>0</v>
      </c>
      <c r="AM411">
        <v>0</v>
      </c>
      <c r="AR411" t="s">
        <v>2385</v>
      </c>
      <c r="AS411" t="s">
        <v>1680</v>
      </c>
      <c r="AT411">
        <v>2024</v>
      </c>
      <c r="AU411">
        <v>11</v>
      </c>
      <c r="AV411" t="s">
        <v>78</v>
      </c>
      <c r="AX411" t="s">
        <v>2437</v>
      </c>
    </row>
    <row r="412" spans="1:50">
      <c r="A412">
        <v>53</v>
      </c>
      <c r="B412">
        <v>33</v>
      </c>
      <c r="C412" t="s">
        <v>74</v>
      </c>
      <c r="D412" t="s">
        <v>1571</v>
      </c>
      <c r="E412" t="s">
        <v>1572</v>
      </c>
      <c r="F412">
        <v>3453</v>
      </c>
      <c r="G412" s="23" t="s">
        <v>827</v>
      </c>
      <c r="H412" s="2" t="s">
        <v>2333</v>
      </c>
      <c r="J412" t="s">
        <v>2334</v>
      </c>
      <c r="K412" s="149">
        <v>0</v>
      </c>
      <c r="L412" s="149">
        <v>10413440</v>
      </c>
      <c r="M412" s="149">
        <v>1978555</v>
      </c>
      <c r="N412" s="149">
        <v>12391995</v>
      </c>
      <c r="O412">
        <v>0</v>
      </c>
      <c r="P412">
        <v>0</v>
      </c>
      <c r="Q412">
        <v>0</v>
      </c>
      <c r="R412">
        <v>0</v>
      </c>
      <c r="S412">
        <v>0</v>
      </c>
      <c r="T412" t="s">
        <v>77</v>
      </c>
      <c r="U412">
        <v>0</v>
      </c>
      <c r="V412">
        <v>0</v>
      </c>
      <c r="W412">
        <v>0</v>
      </c>
      <c r="X412">
        <v>0</v>
      </c>
      <c r="AC412">
        <v>0</v>
      </c>
      <c r="AE412">
        <v>0</v>
      </c>
      <c r="AF412">
        <v>2</v>
      </c>
      <c r="AG412">
        <v>0</v>
      </c>
      <c r="AH412">
        <v>0</v>
      </c>
      <c r="AI412">
        <v>0</v>
      </c>
      <c r="AM412">
        <v>0</v>
      </c>
      <c r="AR412" t="s">
        <v>2385</v>
      </c>
      <c r="AS412" t="s">
        <v>1680</v>
      </c>
      <c r="AT412">
        <v>2024</v>
      </c>
      <c r="AU412">
        <v>11</v>
      </c>
      <c r="AV412" t="s">
        <v>78</v>
      </c>
      <c r="AX412" t="s">
        <v>2438</v>
      </c>
    </row>
    <row r="413" spans="1:50">
      <c r="A413">
        <v>54</v>
      </c>
      <c r="B413">
        <v>33</v>
      </c>
      <c r="C413" t="s">
        <v>74</v>
      </c>
      <c r="D413" t="s">
        <v>1571</v>
      </c>
      <c r="E413" t="s">
        <v>1572</v>
      </c>
      <c r="F413">
        <v>3454</v>
      </c>
      <c r="G413" s="23" t="s">
        <v>827</v>
      </c>
      <c r="H413" s="2" t="s">
        <v>2335</v>
      </c>
      <c r="J413" t="s">
        <v>2334</v>
      </c>
      <c r="K413" s="149">
        <v>0</v>
      </c>
      <c r="L413" s="149">
        <v>341088</v>
      </c>
      <c r="M413" s="149">
        <v>64807</v>
      </c>
      <c r="N413" s="149">
        <v>405895</v>
      </c>
      <c r="O413">
        <v>0</v>
      </c>
      <c r="P413">
        <v>0</v>
      </c>
      <c r="Q413">
        <v>0</v>
      </c>
      <c r="R413">
        <v>0</v>
      </c>
      <c r="S413">
        <v>0</v>
      </c>
      <c r="T413" t="s">
        <v>77</v>
      </c>
      <c r="U413">
        <v>0</v>
      </c>
      <c r="V413">
        <v>0</v>
      </c>
      <c r="W413">
        <v>0</v>
      </c>
      <c r="X413">
        <v>0</v>
      </c>
      <c r="AC413">
        <v>0</v>
      </c>
      <c r="AE413">
        <v>0</v>
      </c>
      <c r="AF413">
        <v>2</v>
      </c>
      <c r="AG413">
        <v>0</v>
      </c>
      <c r="AH413">
        <v>0</v>
      </c>
      <c r="AI413">
        <v>0</v>
      </c>
      <c r="AM413">
        <v>0</v>
      </c>
      <c r="AR413" t="s">
        <v>2385</v>
      </c>
      <c r="AS413" t="s">
        <v>1680</v>
      </c>
      <c r="AT413">
        <v>2024</v>
      </c>
      <c r="AU413">
        <v>11</v>
      </c>
      <c r="AV413" t="s">
        <v>78</v>
      </c>
      <c r="AX413" t="s">
        <v>2439</v>
      </c>
    </row>
    <row r="414" spans="1:50">
      <c r="A414">
        <v>55</v>
      </c>
      <c r="B414">
        <v>33</v>
      </c>
      <c r="C414" t="s">
        <v>74</v>
      </c>
      <c r="D414" t="s">
        <v>1353</v>
      </c>
      <c r="E414" t="s">
        <v>1354</v>
      </c>
      <c r="F414">
        <v>3455</v>
      </c>
      <c r="G414" s="23" t="s">
        <v>827</v>
      </c>
      <c r="H414" s="2" t="s">
        <v>2336</v>
      </c>
      <c r="I414" t="s">
        <v>2337</v>
      </c>
      <c r="K414" s="149">
        <v>0</v>
      </c>
      <c r="L414" s="149">
        <v>1148955</v>
      </c>
      <c r="M414" s="149">
        <v>218302</v>
      </c>
      <c r="N414" s="149">
        <v>1367257</v>
      </c>
      <c r="O414">
        <v>0</v>
      </c>
      <c r="P414">
        <v>0</v>
      </c>
      <c r="Q414">
        <v>0</v>
      </c>
      <c r="R414">
        <v>0</v>
      </c>
      <c r="S414">
        <v>0</v>
      </c>
      <c r="T414" t="s">
        <v>77</v>
      </c>
      <c r="U414">
        <v>0</v>
      </c>
      <c r="V414">
        <v>0</v>
      </c>
      <c r="W414">
        <v>0</v>
      </c>
      <c r="X414">
        <v>0</v>
      </c>
      <c r="Y414">
        <v>0</v>
      </c>
      <c r="AC414">
        <v>0</v>
      </c>
      <c r="AE414">
        <v>0</v>
      </c>
      <c r="AF414">
        <v>2</v>
      </c>
      <c r="AG414">
        <v>0</v>
      </c>
      <c r="AH414">
        <v>0</v>
      </c>
      <c r="AI414">
        <v>0</v>
      </c>
      <c r="AM414">
        <v>0</v>
      </c>
      <c r="AR414" t="s">
        <v>2385</v>
      </c>
      <c r="AS414" t="s">
        <v>1680</v>
      </c>
      <c r="AT414">
        <v>2024</v>
      </c>
      <c r="AU414">
        <v>11</v>
      </c>
      <c r="AV414" t="s">
        <v>78</v>
      </c>
      <c r="AX414" t="s">
        <v>2440</v>
      </c>
    </row>
    <row r="415" spans="1:50">
      <c r="A415">
        <v>56</v>
      </c>
      <c r="B415">
        <v>33</v>
      </c>
      <c r="C415" t="s">
        <v>74</v>
      </c>
      <c r="D415" t="s">
        <v>1600</v>
      </c>
      <c r="E415" t="s">
        <v>1601</v>
      </c>
      <c r="F415">
        <v>3456</v>
      </c>
      <c r="G415" s="23" t="s">
        <v>826</v>
      </c>
      <c r="H415" s="2" t="s">
        <v>2338</v>
      </c>
      <c r="K415" s="149">
        <v>0</v>
      </c>
      <c r="L415" s="149">
        <v>138960</v>
      </c>
      <c r="M415" s="149">
        <v>26402</v>
      </c>
      <c r="N415" s="149">
        <v>165362</v>
      </c>
      <c r="O415">
        <v>0</v>
      </c>
      <c r="P415">
        <v>0</v>
      </c>
      <c r="Q415">
        <v>0</v>
      </c>
      <c r="R415">
        <v>0</v>
      </c>
      <c r="S415">
        <v>0</v>
      </c>
      <c r="T415" t="s">
        <v>77</v>
      </c>
      <c r="U415">
        <v>0</v>
      </c>
      <c r="V415">
        <v>0</v>
      </c>
      <c r="W415">
        <v>0</v>
      </c>
      <c r="X415">
        <v>0</v>
      </c>
      <c r="Y415">
        <v>0</v>
      </c>
      <c r="AC415">
        <v>0</v>
      </c>
      <c r="AE415">
        <v>0</v>
      </c>
      <c r="AF415">
        <v>2</v>
      </c>
      <c r="AG415">
        <v>0</v>
      </c>
      <c r="AH415">
        <v>0</v>
      </c>
      <c r="AI415">
        <v>0</v>
      </c>
      <c r="AM415">
        <v>0</v>
      </c>
      <c r="AR415" t="s">
        <v>2385</v>
      </c>
      <c r="AS415" t="s">
        <v>1680</v>
      </c>
      <c r="AT415">
        <v>2024</v>
      </c>
      <c r="AU415">
        <v>11</v>
      </c>
      <c r="AV415" t="s">
        <v>78</v>
      </c>
      <c r="AX415" t="s">
        <v>2441</v>
      </c>
    </row>
    <row r="416" spans="1:50">
      <c r="A416">
        <v>57</v>
      </c>
      <c r="B416">
        <v>33</v>
      </c>
      <c r="C416" t="s">
        <v>74</v>
      </c>
      <c r="D416" t="s">
        <v>1222</v>
      </c>
      <c r="E416" t="s">
        <v>1223</v>
      </c>
      <c r="F416">
        <v>3457</v>
      </c>
      <c r="G416" s="23" t="s">
        <v>829</v>
      </c>
      <c r="H416" s="2" t="s">
        <v>2339</v>
      </c>
      <c r="I416" t="s">
        <v>2340</v>
      </c>
      <c r="K416" s="149">
        <v>0</v>
      </c>
      <c r="L416" s="149">
        <v>4384035</v>
      </c>
      <c r="M416" s="149">
        <v>832967</v>
      </c>
      <c r="N416" s="149">
        <v>5217002</v>
      </c>
      <c r="O416">
        <v>0</v>
      </c>
      <c r="P416">
        <v>0</v>
      </c>
      <c r="Q416">
        <v>0</v>
      </c>
      <c r="R416">
        <v>0</v>
      </c>
      <c r="S416">
        <v>0</v>
      </c>
      <c r="T416" t="s">
        <v>77</v>
      </c>
      <c r="U416">
        <v>0</v>
      </c>
      <c r="V416">
        <v>0</v>
      </c>
      <c r="W416">
        <v>0</v>
      </c>
      <c r="X416">
        <v>0</v>
      </c>
      <c r="AC416">
        <v>0</v>
      </c>
      <c r="AE416">
        <v>0</v>
      </c>
      <c r="AF416">
        <v>2</v>
      </c>
      <c r="AG416">
        <v>0</v>
      </c>
      <c r="AH416">
        <v>0</v>
      </c>
      <c r="AI416">
        <v>0</v>
      </c>
      <c r="AM416">
        <v>0</v>
      </c>
      <c r="AR416" t="s">
        <v>2385</v>
      </c>
      <c r="AS416" t="s">
        <v>1680</v>
      </c>
      <c r="AT416">
        <v>2024</v>
      </c>
      <c r="AU416">
        <v>11</v>
      </c>
      <c r="AV416" t="s">
        <v>78</v>
      </c>
      <c r="AX416" t="s">
        <v>2442</v>
      </c>
    </row>
    <row r="417" spans="1:50">
      <c r="A417">
        <v>58</v>
      </c>
      <c r="B417">
        <v>33</v>
      </c>
      <c r="C417" t="s">
        <v>74</v>
      </c>
      <c r="D417" t="s">
        <v>1567</v>
      </c>
      <c r="E417" t="s">
        <v>1568</v>
      </c>
      <c r="F417">
        <v>3458</v>
      </c>
      <c r="G417" s="23" t="s">
        <v>828</v>
      </c>
      <c r="H417" s="2" t="s">
        <v>2341</v>
      </c>
      <c r="I417" t="s">
        <v>2342</v>
      </c>
      <c r="K417" s="149">
        <v>0</v>
      </c>
      <c r="L417" s="149">
        <v>1147075</v>
      </c>
      <c r="M417" s="149">
        <v>217944</v>
      </c>
      <c r="N417" s="149">
        <v>1365019</v>
      </c>
      <c r="O417">
        <v>0</v>
      </c>
      <c r="P417">
        <v>0</v>
      </c>
      <c r="Q417">
        <v>0</v>
      </c>
      <c r="R417">
        <v>0</v>
      </c>
      <c r="S417">
        <v>0</v>
      </c>
      <c r="T417" t="s">
        <v>77</v>
      </c>
      <c r="U417">
        <v>0</v>
      </c>
      <c r="V417">
        <v>0</v>
      </c>
      <c r="W417">
        <v>0</v>
      </c>
      <c r="X417">
        <v>0</v>
      </c>
      <c r="Y417">
        <v>0</v>
      </c>
      <c r="AC417">
        <v>0</v>
      </c>
      <c r="AE417">
        <v>0</v>
      </c>
      <c r="AF417">
        <v>2</v>
      </c>
      <c r="AG417">
        <v>0</v>
      </c>
      <c r="AH417">
        <v>0</v>
      </c>
      <c r="AI417">
        <v>0</v>
      </c>
      <c r="AM417">
        <v>0</v>
      </c>
      <c r="AR417" t="s">
        <v>2385</v>
      </c>
      <c r="AS417" t="s">
        <v>1680</v>
      </c>
      <c r="AT417">
        <v>2024</v>
      </c>
      <c r="AU417">
        <v>11</v>
      </c>
      <c r="AV417" t="s">
        <v>78</v>
      </c>
      <c r="AX417" t="s">
        <v>2443</v>
      </c>
    </row>
    <row r="418" spans="1:50">
      <c r="A418">
        <v>59</v>
      </c>
      <c r="B418">
        <v>33</v>
      </c>
      <c r="C418" t="s">
        <v>74</v>
      </c>
      <c r="D418" t="s">
        <v>1222</v>
      </c>
      <c r="E418" t="s">
        <v>1223</v>
      </c>
      <c r="F418">
        <v>3459</v>
      </c>
      <c r="G418" s="23" t="s">
        <v>829</v>
      </c>
      <c r="H418" s="2" t="s">
        <v>2343</v>
      </c>
      <c r="I418" t="s">
        <v>2344</v>
      </c>
      <c r="K418" s="149">
        <v>0</v>
      </c>
      <c r="L418" s="149">
        <v>9128800</v>
      </c>
      <c r="M418" s="149">
        <v>1734472</v>
      </c>
      <c r="N418" s="149">
        <v>10863272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77</v>
      </c>
      <c r="U418">
        <v>0</v>
      </c>
      <c r="V418">
        <v>0</v>
      </c>
      <c r="W418">
        <v>0</v>
      </c>
      <c r="X418">
        <v>0</v>
      </c>
      <c r="AC418">
        <v>0</v>
      </c>
      <c r="AE418">
        <v>0</v>
      </c>
      <c r="AF418">
        <v>2</v>
      </c>
      <c r="AG418">
        <v>0</v>
      </c>
      <c r="AH418">
        <v>0</v>
      </c>
      <c r="AI418">
        <v>0</v>
      </c>
      <c r="AM418">
        <v>0</v>
      </c>
      <c r="AR418" t="s">
        <v>2385</v>
      </c>
      <c r="AS418" t="s">
        <v>1680</v>
      </c>
      <c r="AT418">
        <v>2024</v>
      </c>
      <c r="AU418">
        <v>11</v>
      </c>
      <c r="AV418" t="s">
        <v>78</v>
      </c>
      <c r="AX418" t="s">
        <v>2444</v>
      </c>
    </row>
    <row r="419" spans="1:50">
      <c r="A419">
        <v>60</v>
      </c>
      <c r="B419">
        <v>33</v>
      </c>
      <c r="C419" t="s">
        <v>74</v>
      </c>
      <c r="D419" t="s">
        <v>1555</v>
      </c>
      <c r="E419" t="s">
        <v>1556</v>
      </c>
      <c r="F419">
        <v>3460</v>
      </c>
      <c r="G419" s="23" t="s">
        <v>830</v>
      </c>
      <c r="H419" s="2" t="s">
        <v>2345</v>
      </c>
      <c r="I419" t="s">
        <v>2346</v>
      </c>
      <c r="K419" s="149">
        <v>0</v>
      </c>
      <c r="L419" s="149">
        <v>3467320</v>
      </c>
      <c r="M419" s="149">
        <v>658791</v>
      </c>
      <c r="N419" s="149">
        <v>4126111</v>
      </c>
      <c r="O419">
        <v>0</v>
      </c>
      <c r="P419">
        <v>0</v>
      </c>
      <c r="Q419">
        <v>0</v>
      </c>
      <c r="R419">
        <v>0</v>
      </c>
      <c r="S419">
        <v>0</v>
      </c>
      <c r="T419" t="s">
        <v>77</v>
      </c>
      <c r="U419">
        <v>0</v>
      </c>
      <c r="V419">
        <v>0</v>
      </c>
      <c r="W419">
        <v>0</v>
      </c>
      <c r="X419">
        <v>0</v>
      </c>
      <c r="AC419">
        <v>0</v>
      </c>
      <c r="AE419">
        <v>0</v>
      </c>
      <c r="AF419">
        <v>2</v>
      </c>
      <c r="AG419">
        <v>0</v>
      </c>
      <c r="AH419">
        <v>0</v>
      </c>
      <c r="AI419">
        <v>0</v>
      </c>
      <c r="AM419">
        <v>0</v>
      </c>
      <c r="AR419" t="s">
        <v>2385</v>
      </c>
      <c r="AS419" t="s">
        <v>1680</v>
      </c>
      <c r="AT419">
        <v>2024</v>
      </c>
      <c r="AU419">
        <v>11</v>
      </c>
      <c r="AV419" t="s">
        <v>78</v>
      </c>
      <c r="AX419" t="s">
        <v>2445</v>
      </c>
    </row>
    <row r="420" spans="1:50">
      <c r="A420">
        <v>61</v>
      </c>
      <c r="B420">
        <v>33</v>
      </c>
      <c r="C420" t="s">
        <v>74</v>
      </c>
      <c r="D420" t="s">
        <v>1353</v>
      </c>
      <c r="E420" t="s">
        <v>1354</v>
      </c>
      <c r="F420">
        <v>3461</v>
      </c>
      <c r="G420" s="23" t="s">
        <v>829</v>
      </c>
      <c r="H420" s="2" t="s">
        <v>2347</v>
      </c>
      <c r="I420" t="s">
        <v>2348</v>
      </c>
      <c r="K420" s="149">
        <v>0</v>
      </c>
      <c r="L420" s="149">
        <v>2310000</v>
      </c>
      <c r="M420" s="149">
        <v>438900</v>
      </c>
      <c r="N420" s="149">
        <v>2748900</v>
      </c>
      <c r="O420">
        <v>0</v>
      </c>
      <c r="P420">
        <v>0</v>
      </c>
      <c r="Q420">
        <v>0</v>
      </c>
      <c r="R420">
        <v>0</v>
      </c>
      <c r="S420">
        <v>0</v>
      </c>
      <c r="T420" t="s">
        <v>77</v>
      </c>
      <c r="U420">
        <v>0</v>
      </c>
      <c r="V420">
        <v>0</v>
      </c>
      <c r="W420">
        <v>0</v>
      </c>
      <c r="X420">
        <v>0</v>
      </c>
      <c r="Y420">
        <v>0</v>
      </c>
      <c r="AC420">
        <v>0</v>
      </c>
      <c r="AE420">
        <v>0</v>
      </c>
      <c r="AF420">
        <v>2</v>
      </c>
      <c r="AG420">
        <v>0</v>
      </c>
      <c r="AH420">
        <v>0</v>
      </c>
      <c r="AI420">
        <v>0</v>
      </c>
      <c r="AM420">
        <v>0</v>
      </c>
      <c r="AR420" t="s">
        <v>2385</v>
      </c>
      <c r="AS420" t="s">
        <v>1680</v>
      </c>
      <c r="AT420">
        <v>2024</v>
      </c>
      <c r="AU420">
        <v>11</v>
      </c>
      <c r="AV420" t="s">
        <v>78</v>
      </c>
      <c r="AX420" t="s">
        <v>2446</v>
      </c>
    </row>
    <row r="421" spans="1:50">
      <c r="A421">
        <v>62</v>
      </c>
      <c r="B421">
        <v>33</v>
      </c>
      <c r="C421" t="s">
        <v>74</v>
      </c>
      <c r="D421" t="s">
        <v>2329</v>
      </c>
      <c r="E421" t="s">
        <v>2330</v>
      </c>
      <c r="F421">
        <v>3462</v>
      </c>
      <c r="G421" s="23" t="s">
        <v>830</v>
      </c>
      <c r="H421" s="2" t="s">
        <v>2349</v>
      </c>
      <c r="I421" t="s">
        <v>2350</v>
      </c>
      <c r="K421" s="149">
        <v>0</v>
      </c>
      <c r="L421" s="149">
        <v>280000</v>
      </c>
      <c r="M421" s="149">
        <v>53200</v>
      </c>
      <c r="N421" s="149">
        <v>333200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77</v>
      </c>
      <c r="U421">
        <v>0</v>
      </c>
      <c r="V421">
        <v>0</v>
      </c>
      <c r="W421">
        <v>0</v>
      </c>
      <c r="X421">
        <v>0</v>
      </c>
      <c r="Y421">
        <v>0</v>
      </c>
      <c r="AC421">
        <v>0</v>
      </c>
      <c r="AE421">
        <v>0</v>
      </c>
      <c r="AF421">
        <v>2</v>
      </c>
      <c r="AG421">
        <v>0</v>
      </c>
      <c r="AH421">
        <v>0</v>
      </c>
      <c r="AI421">
        <v>0</v>
      </c>
      <c r="AM421">
        <v>0</v>
      </c>
      <c r="AR421" t="s">
        <v>2385</v>
      </c>
      <c r="AS421" t="s">
        <v>1680</v>
      </c>
      <c r="AT421">
        <v>2024</v>
      </c>
      <c r="AU421">
        <v>11</v>
      </c>
      <c r="AV421" t="s">
        <v>78</v>
      </c>
      <c r="AX421" t="s">
        <v>2447</v>
      </c>
    </row>
    <row r="422" spans="1:50">
      <c r="A422">
        <v>63</v>
      </c>
      <c r="B422">
        <v>33</v>
      </c>
      <c r="C422" t="s">
        <v>74</v>
      </c>
      <c r="D422" t="s">
        <v>1353</v>
      </c>
      <c r="E422" t="s">
        <v>1354</v>
      </c>
      <c r="F422">
        <v>3463</v>
      </c>
      <c r="G422" s="23" t="s">
        <v>830</v>
      </c>
      <c r="H422" s="2" t="s">
        <v>2351</v>
      </c>
      <c r="I422" t="s">
        <v>2352</v>
      </c>
      <c r="K422" s="149">
        <v>0</v>
      </c>
      <c r="L422" s="149">
        <v>4002410</v>
      </c>
      <c r="M422" s="149">
        <v>760459</v>
      </c>
      <c r="N422" s="149">
        <v>4762869</v>
      </c>
      <c r="O422">
        <v>0</v>
      </c>
      <c r="P422">
        <v>0</v>
      </c>
      <c r="Q422">
        <v>0</v>
      </c>
      <c r="R422">
        <v>0</v>
      </c>
      <c r="S422">
        <v>0</v>
      </c>
      <c r="T422" t="s">
        <v>77</v>
      </c>
      <c r="U422">
        <v>0</v>
      </c>
      <c r="V422">
        <v>0</v>
      </c>
      <c r="W422">
        <v>0</v>
      </c>
      <c r="X422">
        <v>0</v>
      </c>
      <c r="Y422">
        <v>0</v>
      </c>
      <c r="AC422">
        <v>0</v>
      </c>
      <c r="AE422">
        <v>0</v>
      </c>
      <c r="AF422">
        <v>2</v>
      </c>
      <c r="AG422">
        <v>0</v>
      </c>
      <c r="AH422">
        <v>0</v>
      </c>
      <c r="AI422">
        <v>0</v>
      </c>
      <c r="AM422">
        <v>0</v>
      </c>
      <c r="AR422" t="s">
        <v>2385</v>
      </c>
      <c r="AS422" t="s">
        <v>1680</v>
      </c>
      <c r="AT422">
        <v>2024</v>
      </c>
      <c r="AU422">
        <v>11</v>
      </c>
      <c r="AV422" t="s">
        <v>78</v>
      </c>
      <c r="AX422" t="s">
        <v>2448</v>
      </c>
    </row>
    <row r="423" spans="1:50">
      <c r="A423">
        <v>64</v>
      </c>
      <c r="B423">
        <v>33</v>
      </c>
      <c r="C423" t="s">
        <v>74</v>
      </c>
      <c r="D423" t="s">
        <v>1631</v>
      </c>
      <c r="E423" t="s">
        <v>1632</v>
      </c>
      <c r="F423">
        <v>3464</v>
      </c>
      <c r="G423" s="23" t="s">
        <v>830</v>
      </c>
      <c r="H423" s="2" t="s">
        <v>2353</v>
      </c>
      <c r="K423" s="149">
        <v>0</v>
      </c>
      <c r="L423" s="149">
        <v>237070</v>
      </c>
      <c r="M423" s="149">
        <v>45044</v>
      </c>
      <c r="N423" s="149">
        <v>282114</v>
      </c>
      <c r="O423">
        <v>0</v>
      </c>
      <c r="P423">
        <v>0</v>
      </c>
      <c r="Q423">
        <v>0</v>
      </c>
      <c r="R423">
        <v>0</v>
      </c>
      <c r="S423">
        <v>0</v>
      </c>
      <c r="T423" t="s">
        <v>77</v>
      </c>
      <c r="U423">
        <v>0</v>
      </c>
      <c r="V423">
        <v>0</v>
      </c>
      <c r="W423">
        <v>0</v>
      </c>
      <c r="X423">
        <v>0</v>
      </c>
      <c r="Y423">
        <v>0</v>
      </c>
      <c r="AC423">
        <v>0</v>
      </c>
      <c r="AE423">
        <v>0</v>
      </c>
      <c r="AF423">
        <v>2</v>
      </c>
      <c r="AG423">
        <v>0</v>
      </c>
      <c r="AH423">
        <v>0</v>
      </c>
      <c r="AI423">
        <v>0</v>
      </c>
      <c r="AM423">
        <v>0</v>
      </c>
      <c r="AR423" t="s">
        <v>2385</v>
      </c>
      <c r="AS423" t="s">
        <v>1680</v>
      </c>
      <c r="AT423">
        <v>2024</v>
      </c>
      <c r="AU423">
        <v>11</v>
      </c>
      <c r="AV423" t="s">
        <v>78</v>
      </c>
      <c r="AX423" t="s">
        <v>2449</v>
      </c>
    </row>
    <row r="424" spans="1:50">
      <c r="A424">
        <v>65</v>
      </c>
      <c r="B424">
        <v>33</v>
      </c>
      <c r="C424" t="s">
        <v>74</v>
      </c>
      <c r="D424" t="s">
        <v>1573</v>
      </c>
      <c r="E424" t="s">
        <v>1574</v>
      </c>
      <c r="F424">
        <v>3465</v>
      </c>
      <c r="G424" s="23" t="s">
        <v>830</v>
      </c>
      <c r="H424" s="2" t="s">
        <v>2354</v>
      </c>
      <c r="I424" t="s">
        <v>2355</v>
      </c>
      <c r="K424" s="149">
        <v>0</v>
      </c>
      <c r="L424" s="149">
        <v>273969</v>
      </c>
      <c r="M424" s="149">
        <v>52054</v>
      </c>
      <c r="N424" s="149">
        <v>326023</v>
      </c>
      <c r="O424">
        <v>0</v>
      </c>
      <c r="P424">
        <v>0</v>
      </c>
      <c r="Q424">
        <v>0</v>
      </c>
      <c r="R424">
        <v>0</v>
      </c>
      <c r="S424">
        <v>0</v>
      </c>
      <c r="T424" t="s">
        <v>77</v>
      </c>
      <c r="U424">
        <v>0</v>
      </c>
      <c r="V424">
        <v>0</v>
      </c>
      <c r="W424">
        <v>0</v>
      </c>
      <c r="X424">
        <v>0</v>
      </c>
      <c r="Y424">
        <v>0</v>
      </c>
      <c r="AC424">
        <v>0</v>
      </c>
      <c r="AE424">
        <v>0</v>
      </c>
      <c r="AF424">
        <v>2</v>
      </c>
      <c r="AG424">
        <v>0</v>
      </c>
      <c r="AH424">
        <v>0</v>
      </c>
      <c r="AI424">
        <v>0</v>
      </c>
      <c r="AM424">
        <v>0</v>
      </c>
      <c r="AR424" t="s">
        <v>2385</v>
      </c>
      <c r="AS424" t="s">
        <v>1680</v>
      </c>
      <c r="AT424">
        <v>2024</v>
      </c>
      <c r="AU424">
        <v>11</v>
      </c>
      <c r="AV424" t="s">
        <v>78</v>
      </c>
      <c r="AX424" t="s">
        <v>2450</v>
      </c>
    </row>
    <row r="425" spans="1:50">
      <c r="A425">
        <v>66</v>
      </c>
      <c r="B425">
        <v>33</v>
      </c>
      <c r="C425" t="s">
        <v>74</v>
      </c>
      <c r="D425" t="s">
        <v>1558</v>
      </c>
      <c r="E425" t="s">
        <v>1559</v>
      </c>
      <c r="F425">
        <v>3466</v>
      </c>
      <c r="G425" s="23" t="s">
        <v>830</v>
      </c>
      <c r="H425" s="2" t="s">
        <v>2356</v>
      </c>
      <c r="I425" s="2" t="s">
        <v>2357</v>
      </c>
      <c r="K425" s="149">
        <v>0</v>
      </c>
      <c r="L425" s="149">
        <v>170400</v>
      </c>
      <c r="M425" s="149">
        <v>32376</v>
      </c>
      <c r="N425" s="149">
        <v>202776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77</v>
      </c>
      <c r="U425">
        <v>0</v>
      </c>
      <c r="V425">
        <v>0</v>
      </c>
      <c r="W425">
        <v>0</v>
      </c>
      <c r="X425">
        <v>0</v>
      </c>
      <c r="Y425">
        <v>0</v>
      </c>
      <c r="AC425">
        <v>0</v>
      </c>
      <c r="AE425">
        <v>0</v>
      </c>
      <c r="AF425">
        <v>2</v>
      </c>
      <c r="AG425">
        <v>0</v>
      </c>
      <c r="AH425">
        <v>0</v>
      </c>
      <c r="AI425">
        <v>0</v>
      </c>
      <c r="AM425">
        <v>0</v>
      </c>
      <c r="AR425" t="s">
        <v>2385</v>
      </c>
      <c r="AS425" t="s">
        <v>1680</v>
      </c>
      <c r="AT425">
        <v>2024</v>
      </c>
      <c r="AU425">
        <v>11</v>
      </c>
      <c r="AV425" t="s">
        <v>78</v>
      </c>
      <c r="AX425" t="s">
        <v>2451</v>
      </c>
    </row>
    <row r="426" spans="1:50">
      <c r="A426">
        <v>67</v>
      </c>
      <c r="B426">
        <v>33</v>
      </c>
      <c r="C426" t="s">
        <v>74</v>
      </c>
      <c r="D426" t="s">
        <v>1569</v>
      </c>
      <c r="E426" t="s">
        <v>1570</v>
      </c>
      <c r="F426">
        <v>3467</v>
      </c>
      <c r="G426" s="23" t="s">
        <v>830</v>
      </c>
      <c r="H426" s="2" t="s">
        <v>2358</v>
      </c>
      <c r="I426" t="s">
        <v>2359</v>
      </c>
      <c r="K426" s="149">
        <v>0</v>
      </c>
      <c r="L426" s="149">
        <v>210480</v>
      </c>
      <c r="M426" s="149">
        <v>39991</v>
      </c>
      <c r="N426" s="149">
        <v>250471</v>
      </c>
      <c r="O426">
        <v>0</v>
      </c>
      <c r="P426">
        <v>0</v>
      </c>
      <c r="Q426">
        <v>0</v>
      </c>
      <c r="R426">
        <v>0</v>
      </c>
      <c r="S426">
        <v>0</v>
      </c>
      <c r="T426" t="s">
        <v>77</v>
      </c>
      <c r="U426">
        <v>0</v>
      </c>
      <c r="V426">
        <v>0</v>
      </c>
      <c r="W426">
        <v>0</v>
      </c>
      <c r="X426">
        <v>0</v>
      </c>
      <c r="Y426">
        <v>0</v>
      </c>
      <c r="AC426">
        <v>0</v>
      </c>
      <c r="AE426">
        <v>0</v>
      </c>
      <c r="AF426">
        <v>2</v>
      </c>
      <c r="AG426">
        <v>0</v>
      </c>
      <c r="AH426">
        <v>0</v>
      </c>
      <c r="AI426">
        <v>0</v>
      </c>
      <c r="AM426">
        <v>0</v>
      </c>
      <c r="AR426" t="s">
        <v>2385</v>
      </c>
      <c r="AS426" t="s">
        <v>1680</v>
      </c>
      <c r="AT426">
        <v>2024</v>
      </c>
      <c r="AU426">
        <v>11</v>
      </c>
      <c r="AV426" t="s">
        <v>78</v>
      </c>
      <c r="AX426" t="s">
        <v>2452</v>
      </c>
    </row>
    <row r="427" spans="1:50">
      <c r="A427">
        <v>68</v>
      </c>
      <c r="B427">
        <v>33</v>
      </c>
      <c r="C427" t="s">
        <v>74</v>
      </c>
      <c r="D427" t="s">
        <v>1600</v>
      </c>
      <c r="E427" t="s">
        <v>1601</v>
      </c>
      <c r="F427">
        <v>3468</v>
      </c>
      <c r="G427" s="23" t="s">
        <v>829</v>
      </c>
      <c r="H427" s="2" t="s">
        <v>2360</v>
      </c>
      <c r="K427" s="149">
        <v>0</v>
      </c>
      <c r="L427" s="149">
        <v>44000</v>
      </c>
      <c r="M427" s="149">
        <v>8360</v>
      </c>
      <c r="N427" s="149">
        <v>52360</v>
      </c>
      <c r="O427">
        <v>0</v>
      </c>
      <c r="P427">
        <v>0</v>
      </c>
      <c r="Q427">
        <v>0</v>
      </c>
      <c r="R427">
        <v>0</v>
      </c>
      <c r="S427">
        <v>0</v>
      </c>
      <c r="T427" t="s">
        <v>77</v>
      </c>
      <c r="U427">
        <v>0</v>
      </c>
      <c r="V427">
        <v>0</v>
      </c>
      <c r="W427">
        <v>0</v>
      </c>
      <c r="X427">
        <v>0</v>
      </c>
      <c r="Y427">
        <v>0</v>
      </c>
      <c r="AC427">
        <v>0</v>
      </c>
      <c r="AE427">
        <v>0</v>
      </c>
      <c r="AF427">
        <v>2</v>
      </c>
      <c r="AG427">
        <v>0</v>
      </c>
      <c r="AH427">
        <v>0</v>
      </c>
      <c r="AI427">
        <v>0</v>
      </c>
      <c r="AM427">
        <v>0</v>
      </c>
      <c r="AR427" t="s">
        <v>2385</v>
      </c>
      <c r="AS427" t="s">
        <v>1680</v>
      </c>
      <c r="AT427">
        <v>2024</v>
      </c>
      <c r="AU427">
        <v>11</v>
      </c>
      <c r="AV427" t="s">
        <v>78</v>
      </c>
      <c r="AX427" t="s">
        <v>2453</v>
      </c>
    </row>
    <row r="428" spans="1:50">
      <c r="A428">
        <v>69</v>
      </c>
      <c r="B428">
        <v>33</v>
      </c>
      <c r="C428" t="s">
        <v>74</v>
      </c>
      <c r="D428" t="s">
        <v>1561</v>
      </c>
      <c r="E428" t="s">
        <v>1562</v>
      </c>
      <c r="F428">
        <v>3469</v>
      </c>
      <c r="G428" s="23" t="s">
        <v>831</v>
      </c>
      <c r="H428" s="2" t="s">
        <v>2361</v>
      </c>
      <c r="K428" s="149">
        <v>0</v>
      </c>
      <c r="L428" s="149">
        <v>9841500</v>
      </c>
      <c r="M428" s="149">
        <v>1869885</v>
      </c>
      <c r="N428" s="149">
        <v>11711385</v>
      </c>
      <c r="O428">
        <v>0</v>
      </c>
      <c r="P428">
        <v>0</v>
      </c>
      <c r="Q428">
        <v>0</v>
      </c>
      <c r="R428">
        <v>0</v>
      </c>
      <c r="S428">
        <v>0</v>
      </c>
      <c r="T428" t="s">
        <v>77</v>
      </c>
      <c r="U428">
        <v>0</v>
      </c>
      <c r="V428">
        <v>0</v>
      </c>
      <c r="W428">
        <v>0</v>
      </c>
      <c r="X428">
        <v>0</v>
      </c>
      <c r="Y428">
        <v>0</v>
      </c>
      <c r="AC428">
        <v>0</v>
      </c>
      <c r="AE428">
        <v>0</v>
      </c>
      <c r="AF428">
        <v>2</v>
      </c>
      <c r="AG428">
        <v>0</v>
      </c>
      <c r="AH428">
        <v>0</v>
      </c>
      <c r="AI428">
        <v>0</v>
      </c>
      <c r="AM428">
        <v>0</v>
      </c>
      <c r="AR428" t="s">
        <v>2385</v>
      </c>
      <c r="AS428" t="s">
        <v>1680</v>
      </c>
      <c r="AT428">
        <v>2024</v>
      </c>
      <c r="AU428">
        <v>11</v>
      </c>
      <c r="AV428" t="s">
        <v>78</v>
      </c>
      <c r="AX428" t="s">
        <v>2454</v>
      </c>
    </row>
    <row r="429" spans="1:50">
      <c r="A429">
        <v>70</v>
      </c>
      <c r="B429">
        <v>33</v>
      </c>
      <c r="C429" t="s">
        <v>74</v>
      </c>
      <c r="D429" t="s">
        <v>1222</v>
      </c>
      <c r="E429" t="s">
        <v>1223</v>
      </c>
      <c r="F429">
        <v>3470</v>
      </c>
      <c r="G429" s="23" t="s">
        <v>832</v>
      </c>
      <c r="H429" s="2" t="s">
        <v>2362</v>
      </c>
      <c r="I429" s="2">
        <v>45394.488564814812</v>
      </c>
      <c r="K429" s="149">
        <v>0</v>
      </c>
      <c r="L429" s="149">
        <v>9128800</v>
      </c>
      <c r="M429" s="149">
        <v>1734472</v>
      </c>
      <c r="N429" s="149">
        <v>10863272</v>
      </c>
      <c r="O429">
        <v>0</v>
      </c>
      <c r="P429">
        <v>0</v>
      </c>
      <c r="Q429">
        <v>0</v>
      </c>
      <c r="R429">
        <v>0</v>
      </c>
      <c r="S429">
        <v>0</v>
      </c>
      <c r="T429" t="s">
        <v>77</v>
      </c>
      <c r="U429">
        <v>0</v>
      </c>
      <c r="V429">
        <v>0</v>
      </c>
      <c r="W429">
        <v>0</v>
      </c>
      <c r="X429">
        <v>0</v>
      </c>
      <c r="AC429">
        <v>0</v>
      </c>
      <c r="AE429">
        <v>0</v>
      </c>
      <c r="AF429">
        <v>2</v>
      </c>
      <c r="AG429">
        <v>0</v>
      </c>
      <c r="AH429">
        <v>0</v>
      </c>
      <c r="AI429">
        <v>0</v>
      </c>
      <c r="AM429">
        <v>0</v>
      </c>
      <c r="AR429" t="s">
        <v>2385</v>
      </c>
      <c r="AS429" t="s">
        <v>1680</v>
      </c>
      <c r="AT429">
        <v>2024</v>
      </c>
      <c r="AU429">
        <v>11</v>
      </c>
      <c r="AV429" t="s">
        <v>78</v>
      </c>
      <c r="AX429" t="s">
        <v>2455</v>
      </c>
    </row>
    <row r="430" spans="1:50">
      <c r="A430">
        <v>71</v>
      </c>
      <c r="B430">
        <v>33</v>
      </c>
      <c r="C430" t="s">
        <v>74</v>
      </c>
      <c r="D430" t="s">
        <v>1571</v>
      </c>
      <c r="E430" t="s">
        <v>1572</v>
      </c>
      <c r="F430">
        <v>3471</v>
      </c>
      <c r="G430" s="23" t="s">
        <v>832</v>
      </c>
      <c r="H430" s="2" t="s">
        <v>2363</v>
      </c>
      <c r="I430" s="2" t="s">
        <v>2364</v>
      </c>
      <c r="K430" s="149">
        <v>0</v>
      </c>
      <c r="L430" s="149">
        <v>11549969</v>
      </c>
      <c r="M430" s="149">
        <v>2194494</v>
      </c>
      <c r="N430" s="149">
        <v>13744463</v>
      </c>
      <c r="O430">
        <v>0</v>
      </c>
      <c r="P430">
        <v>0</v>
      </c>
      <c r="Q430">
        <v>0</v>
      </c>
      <c r="R430">
        <v>0</v>
      </c>
      <c r="S430">
        <v>0</v>
      </c>
      <c r="T430" t="s">
        <v>77</v>
      </c>
      <c r="U430">
        <v>0</v>
      </c>
      <c r="V430">
        <v>0</v>
      </c>
      <c r="W430">
        <v>0</v>
      </c>
      <c r="X430">
        <v>0</v>
      </c>
      <c r="AC430">
        <v>0</v>
      </c>
      <c r="AE430">
        <v>0</v>
      </c>
      <c r="AF430">
        <v>2</v>
      </c>
      <c r="AG430">
        <v>0</v>
      </c>
      <c r="AH430">
        <v>0</v>
      </c>
      <c r="AI430">
        <v>0</v>
      </c>
      <c r="AM430">
        <v>0</v>
      </c>
      <c r="AR430" t="s">
        <v>2385</v>
      </c>
      <c r="AS430" t="s">
        <v>1680</v>
      </c>
      <c r="AT430">
        <v>2024</v>
      </c>
      <c r="AU430">
        <v>11</v>
      </c>
      <c r="AV430" t="s">
        <v>78</v>
      </c>
      <c r="AX430" t="s">
        <v>2456</v>
      </c>
    </row>
    <row r="431" spans="1:50">
      <c r="A431">
        <v>72</v>
      </c>
      <c r="B431">
        <v>33</v>
      </c>
      <c r="C431" t="s">
        <v>74</v>
      </c>
      <c r="D431" t="s">
        <v>1600</v>
      </c>
      <c r="E431" t="s">
        <v>1601</v>
      </c>
      <c r="F431">
        <v>3472</v>
      </c>
      <c r="G431" s="23" t="s">
        <v>832</v>
      </c>
      <c r="H431" s="2" t="s">
        <v>2365</v>
      </c>
      <c r="K431" s="149">
        <v>0</v>
      </c>
      <c r="L431" s="149">
        <v>27800</v>
      </c>
      <c r="M431" s="149">
        <v>5282</v>
      </c>
      <c r="N431" s="149">
        <v>33082</v>
      </c>
      <c r="O431">
        <v>0</v>
      </c>
      <c r="P431">
        <v>0</v>
      </c>
      <c r="Q431">
        <v>0</v>
      </c>
      <c r="R431">
        <v>0</v>
      </c>
      <c r="S431">
        <v>0</v>
      </c>
      <c r="T431" t="s">
        <v>77</v>
      </c>
      <c r="U431">
        <v>0</v>
      </c>
      <c r="V431">
        <v>0</v>
      </c>
      <c r="W431">
        <v>0</v>
      </c>
      <c r="X431">
        <v>0</v>
      </c>
      <c r="Y431">
        <v>0</v>
      </c>
      <c r="AC431">
        <v>0</v>
      </c>
      <c r="AE431">
        <v>0</v>
      </c>
      <c r="AF431">
        <v>2</v>
      </c>
      <c r="AG431">
        <v>0</v>
      </c>
      <c r="AH431">
        <v>0</v>
      </c>
      <c r="AI431">
        <v>0</v>
      </c>
      <c r="AM431">
        <v>0</v>
      </c>
      <c r="AR431" t="s">
        <v>2385</v>
      </c>
      <c r="AS431" t="s">
        <v>1680</v>
      </c>
      <c r="AT431">
        <v>2024</v>
      </c>
      <c r="AU431">
        <v>11</v>
      </c>
      <c r="AV431" t="s">
        <v>78</v>
      </c>
      <c r="AX431" t="s">
        <v>2457</v>
      </c>
    </row>
    <row r="432" spans="1:50">
      <c r="A432">
        <v>73</v>
      </c>
      <c r="B432">
        <v>33</v>
      </c>
      <c r="C432" t="s">
        <v>74</v>
      </c>
      <c r="D432" t="s">
        <v>1600</v>
      </c>
      <c r="E432" t="s">
        <v>1601</v>
      </c>
      <c r="F432">
        <v>3473</v>
      </c>
      <c r="G432" s="23" t="s">
        <v>832</v>
      </c>
      <c r="H432" s="2" t="s">
        <v>2366</v>
      </c>
      <c r="K432" s="149">
        <v>0</v>
      </c>
      <c r="L432" s="149">
        <v>158685</v>
      </c>
      <c r="M432" s="149">
        <v>30150</v>
      </c>
      <c r="N432" s="149">
        <v>188835</v>
      </c>
      <c r="O432">
        <v>0</v>
      </c>
      <c r="P432">
        <v>0</v>
      </c>
      <c r="Q432">
        <v>0</v>
      </c>
      <c r="R432">
        <v>0</v>
      </c>
      <c r="S432">
        <v>0</v>
      </c>
      <c r="T432" t="s">
        <v>77</v>
      </c>
      <c r="U432">
        <v>0</v>
      </c>
      <c r="V432">
        <v>0</v>
      </c>
      <c r="W432">
        <v>0</v>
      </c>
      <c r="X432">
        <v>0</v>
      </c>
      <c r="Y432">
        <v>0</v>
      </c>
      <c r="AC432">
        <v>0</v>
      </c>
      <c r="AE432">
        <v>0</v>
      </c>
      <c r="AF432">
        <v>2</v>
      </c>
      <c r="AG432">
        <v>0</v>
      </c>
      <c r="AH432">
        <v>0</v>
      </c>
      <c r="AI432">
        <v>0</v>
      </c>
      <c r="AM432">
        <v>0</v>
      </c>
      <c r="AR432" t="s">
        <v>2385</v>
      </c>
      <c r="AS432" t="s">
        <v>1680</v>
      </c>
      <c r="AT432">
        <v>2024</v>
      </c>
      <c r="AU432">
        <v>11</v>
      </c>
      <c r="AV432" t="s">
        <v>78</v>
      </c>
      <c r="AX432" t="s">
        <v>2458</v>
      </c>
    </row>
    <row r="433" spans="1:50">
      <c r="A433">
        <v>74</v>
      </c>
      <c r="B433">
        <v>33</v>
      </c>
      <c r="C433" t="s">
        <v>74</v>
      </c>
      <c r="D433" t="s">
        <v>1581</v>
      </c>
      <c r="E433" t="s">
        <v>1582</v>
      </c>
      <c r="F433">
        <v>3474</v>
      </c>
      <c r="G433" s="23" t="s">
        <v>832</v>
      </c>
      <c r="H433" s="2" t="s">
        <v>2367</v>
      </c>
      <c r="I433" t="s">
        <v>2368</v>
      </c>
      <c r="K433" s="149">
        <v>0</v>
      </c>
      <c r="L433" s="149">
        <v>647670</v>
      </c>
      <c r="M433" s="149">
        <v>123058</v>
      </c>
      <c r="N433" s="149">
        <v>770728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77</v>
      </c>
      <c r="U433">
        <v>0</v>
      </c>
      <c r="V433">
        <v>0</v>
      </c>
      <c r="W433">
        <v>0</v>
      </c>
      <c r="X433">
        <v>0</v>
      </c>
      <c r="Y433">
        <v>0</v>
      </c>
      <c r="AC433">
        <v>0</v>
      </c>
      <c r="AE433">
        <v>0</v>
      </c>
      <c r="AF433">
        <v>2</v>
      </c>
      <c r="AG433">
        <v>0</v>
      </c>
      <c r="AH433">
        <v>0</v>
      </c>
      <c r="AI433">
        <v>0</v>
      </c>
      <c r="AM433">
        <v>0</v>
      </c>
      <c r="AR433" t="s">
        <v>2385</v>
      </c>
      <c r="AS433" t="s">
        <v>1680</v>
      </c>
      <c r="AT433">
        <v>2024</v>
      </c>
      <c r="AU433">
        <v>11</v>
      </c>
      <c r="AV433" t="s">
        <v>78</v>
      </c>
      <c r="AX433" t="s">
        <v>2459</v>
      </c>
    </row>
    <row r="434" spans="1:50">
      <c r="A434">
        <v>75</v>
      </c>
      <c r="B434">
        <v>33</v>
      </c>
      <c r="C434" t="s">
        <v>74</v>
      </c>
      <c r="D434" t="s">
        <v>1788</v>
      </c>
      <c r="E434" t="s">
        <v>1789</v>
      </c>
      <c r="F434">
        <v>3475</v>
      </c>
      <c r="G434" s="23" t="s">
        <v>832</v>
      </c>
      <c r="H434" s="2" t="s">
        <v>2369</v>
      </c>
      <c r="I434" t="s">
        <v>2370</v>
      </c>
      <c r="K434" s="149">
        <v>0</v>
      </c>
      <c r="L434" s="149">
        <v>324000</v>
      </c>
      <c r="M434" s="149">
        <v>61560</v>
      </c>
      <c r="N434" s="149">
        <v>385560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77</v>
      </c>
      <c r="U434">
        <v>0</v>
      </c>
      <c r="V434">
        <v>0</v>
      </c>
      <c r="W434">
        <v>0</v>
      </c>
      <c r="X434">
        <v>0</v>
      </c>
      <c r="Y434">
        <v>0</v>
      </c>
      <c r="AC434">
        <v>0</v>
      </c>
      <c r="AE434">
        <v>0</v>
      </c>
      <c r="AF434">
        <v>2</v>
      </c>
      <c r="AG434">
        <v>0</v>
      </c>
      <c r="AH434">
        <v>0</v>
      </c>
      <c r="AI434">
        <v>0</v>
      </c>
      <c r="AM434">
        <v>0</v>
      </c>
      <c r="AR434" t="s">
        <v>2385</v>
      </c>
      <c r="AS434" t="s">
        <v>1680</v>
      </c>
      <c r="AT434">
        <v>2024</v>
      </c>
      <c r="AU434">
        <v>11</v>
      </c>
      <c r="AV434" t="s">
        <v>78</v>
      </c>
      <c r="AX434" t="s">
        <v>2460</v>
      </c>
    </row>
    <row r="435" spans="1:50">
      <c r="A435">
        <v>76</v>
      </c>
      <c r="B435">
        <v>33</v>
      </c>
      <c r="C435" t="s">
        <v>74</v>
      </c>
      <c r="D435" t="s">
        <v>2371</v>
      </c>
      <c r="E435" t="s">
        <v>2372</v>
      </c>
      <c r="F435">
        <v>3476</v>
      </c>
      <c r="G435" s="23" t="s">
        <v>832</v>
      </c>
      <c r="H435" s="2" t="s">
        <v>2373</v>
      </c>
      <c r="I435" t="s">
        <v>2374</v>
      </c>
      <c r="K435" s="149">
        <v>0</v>
      </c>
      <c r="L435" s="149">
        <v>277200</v>
      </c>
      <c r="M435" s="149">
        <v>52668</v>
      </c>
      <c r="N435" s="149">
        <v>329868</v>
      </c>
      <c r="O435">
        <v>0</v>
      </c>
      <c r="P435">
        <v>0</v>
      </c>
      <c r="Q435">
        <v>0</v>
      </c>
      <c r="R435">
        <v>0</v>
      </c>
      <c r="S435">
        <v>0</v>
      </c>
      <c r="T435" t="s">
        <v>77</v>
      </c>
      <c r="U435">
        <v>0</v>
      </c>
      <c r="V435">
        <v>0</v>
      </c>
      <c r="W435">
        <v>0</v>
      </c>
      <c r="X435">
        <v>0</v>
      </c>
      <c r="Y435">
        <v>0</v>
      </c>
      <c r="AC435">
        <v>0</v>
      </c>
      <c r="AE435">
        <v>0</v>
      </c>
      <c r="AF435">
        <v>2</v>
      </c>
      <c r="AG435">
        <v>0</v>
      </c>
      <c r="AH435">
        <v>0</v>
      </c>
      <c r="AI435">
        <v>0</v>
      </c>
      <c r="AM435">
        <v>0</v>
      </c>
      <c r="AR435" t="s">
        <v>2385</v>
      </c>
      <c r="AS435" t="s">
        <v>1680</v>
      </c>
      <c r="AT435">
        <v>2024</v>
      </c>
      <c r="AU435">
        <v>11</v>
      </c>
      <c r="AV435" t="s">
        <v>78</v>
      </c>
      <c r="AX435" t="s">
        <v>2461</v>
      </c>
    </row>
    <row r="436" spans="1:50">
      <c r="A436">
        <v>77</v>
      </c>
      <c r="B436">
        <v>33</v>
      </c>
      <c r="C436" t="s">
        <v>74</v>
      </c>
      <c r="D436" t="s">
        <v>1561</v>
      </c>
      <c r="E436" t="s">
        <v>1562</v>
      </c>
      <c r="F436">
        <v>3477</v>
      </c>
      <c r="G436" s="23" t="s">
        <v>833</v>
      </c>
      <c r="H436" s="2" t="s">
        <v>2375</v>
      </c>
      <c r="I436" s="2"/>
      <c r="K436" s="149">
        <v>0</v>
      </c>
      <c r="L436" s="149">
        <v>7269000</v>
      </c>
      <c r="M436" s="149">
        <v>1381110</v>
      </c>
      <c r="N436" s="149">
        <v>8650110</v>
      </c>
      <c r="O436">
        <v>0</v>
      </c>
      <c r="P436">
        <v>0</v>
      </c>
      <c r="Q436">
        <v>0</v>
      </c>
      <c r="R436">
        <v>0</v>
      </c>
      <c r="S436">
        <v>0</v>
      </c>
      <c r="T436" t="s">
        <v>77</v>
      </c>
      <c r="U436">
        <v>0</v>
      </c>
      <c r="V436">
        <v>0</v>
      </c>
      <c r="W436">
        <v>0</v>
      </c>
      <c r="X436">
        <v>0</v>
      </c>
      <c r="Y436">
        <v>0</v>
      </c>
      <c r="AC436">
        <v>0</v>
      </c>
      <c r="AE436">
        <v>0</v>
      </c>
      <c r="AF436">
        <v>2</v>
      </c>
      <c r="AG436">
        <v>0</v>
      </c>
      <c r="AH436">
        <v>0</v>
      </c>
      <c r="AI436">
        <v>0</v>
      </c>
      <c r="AM436">
        <v>0</v>
      </c>
      <c r="AR436" t="s">
        <v>2385</v>
      </c>
      <c r="AS436" t="s">
        <v>1680</v>
      </c>
      <c r="AT436">
        <v>2024</v>
      </c>
      <c r="AU436">
        <v>11</v>
      </c>
      <c r="AV436" t="s">
        <v>78</v>
      </c>
      <c r="AX436" t="s">
        <v>2462</v>
      </c>
    </row>
    <row r="437" spans="1:50">
      <c r="A437">
        <v>78</v>
      </c>
      <c r="B437">
        <v>33</v>
      </c>
      <c r="C437" t="s">
        <v>74</v>
      </c>
      <c r="D437" t="s">
        <v>1571</v>
      </c>
      <c r="E437" t="s">
        <v>1572</v>
      </c>
      <c r="F437">
        <v>3478</v>
      </c>
      <c r="G437" s="23" t="s">
        <v>832</v>
      </c>
      <c r="H437" s="2" t="s">
        <v>2376</v>
      </c>
      <c r="I437" s="2" t="s">
        <v>2377</v>
      </c>
      <c r="K437" s="149">
        <v>0</v>
      </c>
      <c r="L437" s="149">
        <v>8649278</v>
      </c>
      <c r="M437" s="149">
        <v>1643364</v>
      </c>
      <c r="N437" s="149">
        <v>10292642</v>
      </c>
      <c r="O437">
        <v>0</v>
      </c>
      <c r="P437">
        <v>0</v>
      </c>
      <c r="Q437">
        <v>0</v>
      </c>
      <c r="R437">
        <v>0</v>
      </c>
      <c r="S437">
        <v>0</v>
      </c>
      <c r="T437" t="s">
        <v>77</v>
      </c>
      <c r="U437">
        <v>0</v>
      </c>
      <c r="V437">
        <v>0</v>
      </c>
      <c r="W437">
        <v>0</v>
      </c>
      <c r="X437">
        <v>0</v>
      </c>
      <c r="AC437">
        <v>0</v>
      </c>
      <c r="AE437">
        <v>0</v>
      </c>
      <c r="AF437">
        <v>2</v>
      </c>
      <c r="AG437">
        <v>0</v>
      </c>
      <c r="AH437">
        <v>0</v>
      </c>
      <c r="AI437">
        <v>0</v>
      </c>
      <c r="AM437">
        <v>0</v>
      </c>
      <c r="AR437" t="s">
        <v>2385</v>
      </c>
      <c r="AS437" t="s">
        <v>1680</v>
      </c>
      <c r="AT437">
        <v>2024</v>
      </c>
      <c r="AU437">
        <v>11</v>
      </c>
      <c r="AV437" t="s">
        <v>78</v>
      </c>
      <c r="AX437" t="s">
        <v>2463</v>
      </c>
    </row>
    <row r="438" spans="1:50">
      <c r="A438">
        <v>79</v>
      </c>
      <c r="B438">
        <v>61</v>
      </c>
      <c r="C438" t="s">
        <v>74</v>
      </c>
      <c r="D438" t="s">
        <v>1581</v>
      </c>
      <c r="E438" t="s">
        <v>1582</v>
      </c>
      <c r="F438">
        <v>739</v>
      </c>
      <c r="G438" s="23">
        <v>45601</v>
      </c>
      <c r="H438" s="2">
        <v>45423.420219907406</v>
      </c>
      <c r="K438" s="149">
        <v>0</v>
      </c>
      <c r="L438" s="149">
        <v>-82706</v>
      </c>
      <c r="M438" s="149">
        <v>-15714</v>
      </c>
      <c r="N438" s="149">
        <v>-98420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77</v>
      </c>
      <c r="U438">
        <v>0</v>
      </c>
      <c r="V438">
        <v>0</v>
      </c>
      <c r="W438">
        <v>0</v>
      </c>
      <c r="X438">
        <v>0</v>
      </c>
      <c r="Y438">
        <v>33</v>
      </c>
      <c r="Z438">
        <v>3405</v>
      </c>
      <c r="AC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M438">
        <v>0</v>
      </c>
      <c r="AR438" t="s">
        <v>2385</v>
      </c>
      <c r="AS438" t="s">
        <v>1680</v>
      </c>
      <c r="AT438">
        <v>2024</v>
      </c>
      <c r="AU438">
        <v>11</v>
      </c>
      <c r="AV438" t="s">
        <v>318</v>
      </c>
      <c r="AX438" t="s">
        <v>2464</v>
      </c>
    </row>
    <row r="439" spans="1:50">
      <c r="A439">
        <v>80</v>
      </c>
      <c r="B439">
        <v>61</v>
      </c>
      <c r="C439" t="s">
        <v>74</v>
      </c>
      <c r="D439" t="s">
        <v>1353</v>
      </c>
      <c r="E439" t="s">
        <v>1354</v>
      </c>
      <c r="F439">
        <v>740</v>
      </c>
      <c r="G439" s="23">
        <v>45602</v>
      </c>
      <c r="H439" s="2">
        <v>45423.498645833337</v>
      </c>
      <c r="I439" s="2">
        <v>45423.778900462959</v>
      </c>
      <c r="K439" s="149">
        <v>0</v>
      </c>
      <c r="L439" s="149">
        <v>-171820</v>
      </c>
      <c r="M439" s="149">
        <v>-32646</v>
      </c>
      <c r="N439" s="149">
        <v>-204466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77</v>
      </c>
      <c r="U439">
        <v>0</v>
      </c>
      <c r="V439">
        <v>0</v>
      </c>
      <c r="W439">
        <v>0</v>
      </c>
      <c r="X439">
        <v>0</v>
      </c>
      <c r="Y439">
        <v>33</v>
      </c>
      <c r="Z439">
        <v>3416</v>
      </c>
      <c r="AC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M439">
        <v>0</v>
      </c>
      <c r="AR439" t="s">
        <v>2385</v>
      </c>
      <c r="AS439" t="s">
        <v>1680</v>
      </c>
      <c r="AT439">
        <v>2024</v>
      </c>
      <c r="AU439">
        <v>11</v>
      </c>
      <c r="AV439" t="s">
        <v>318</v>
      </c>
      <c r="AX439" t="s">
        <v>2465</v>
      </c>
    </row>
    <row r="440" spans="1:50">
      <c r="A440">
        <v>81</v>
      </c>
      <c r="B440">
        <v>61</v>
      </c>
      <c r="C440" t="s">
        <v>74</v>
      </c>
      <c r="D440" t="s">
        <v>1785</v>
      </c>
      <c r="E440" t="s">
        <v>1786</v>
      </c>
      <c r="F440">
        <v>741</v>
      </c>
      <c r="G440" s="23">
        <v>45603</v>
      </c>
      <c r="H440" s="2">
        <v>45454.463252314818</v>
      </c>
      <c r="K440" s="149">
        <v>0</v>
      </c>
      <c r="L440" s="149">
        <v>-184082</v>
      </c>
      <c r="M440" s="149">
        <v>-34974</v>
      </c>
      <c r="N440" s="149">
        <v>-219056</v>
      </c>
      <c r="O440">
        <v>0</v>
      </c>
      <c r="P440">
        <v>0</v>
      </c>
      <c r="Q440">
        <v>0</v>
      </c>
      <c r="R440">
        <v>0</v>
      </c>
      <c r="S440">
        <v>0</v>
      </c>
      <c r="T440" t="s">
        <v>77</v>
      </c>
      <c r="U440">
        <v>0</v>
      </c>
      <c r="V440">
        <v>0</v>
      </c>
      <c r="W440">
        <v>0</v>
      </c>
      <c r="X440">
        <v>0</v>
      </c>
      <c r="Y440">
        <v>33</v>
      </c>
      <c r="Z440">
        <v>3414</v>
      </c>
      <c r="AC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M440">
        <v>0</v>
      </c>
      <c r="AR440" t="s">
        <v>2385</v>
      </c>
      <c r="AS440" t="s">
        <v>1680</v>
      </c>
      <c r="AT440">
        <v>2024</v>
      </c>
      <c r="AU440">
        <v>11</v>
      </c>
      <c r="AV440" t="s">
        <v>318</v>
      </c>
      <c r="AX440" t="s">
        <v>2466</v>
      </c>
    </row>
    <row r="441" spans="1:50">
      <c r="A441">
        <v>82</v>
      </c>
      <c r="B441">
        <v>61</v>
      </c>
      <c r="C441" t="s">
        <v>74</v>
      </c>
      <c r="D441" t="s">
        <v>1785</v>
      </c>
      <c r="E441" t="s">
        <v>1786</v>
      </c>
      <c r="F441">
        <v>742</v>
      </c>
      <c r="G441" s="23">
        <v>45602</v>
      </c>
      <c r="H441" s="2">
        <v>45454.464375000003</v>
      </c>
      <c r="K441" s="149">
        <v>0</v>
      </c>
      <c r="L441" s="149">
        <v>-29404</v>
      </c>
      <c r="M441" s="149">
        <v>-5587</v>
      </c>
      <c r="N441" s="149">
        <v>-34991</v>
      </c>
      <c r="O441">
        <v>0</v>
      </c>
      <c r="P441">
        <v>0</v>
      </c>
      <c r="Q441">
        <v>0</v>
      </c>
      <c r="R441">
        <v>0</v>
      </c>
      <c r="S441">
        <v>0</v>
      </c>
      <c r="T441" t="s">
        <v>77</v>
      </c>
      <c r="U441">
        <v>0</v>
      </c>
      <c r="V441">
        <v>0</v>
      </c>
      <c r="W441">
        <v>0</v>
      </c>
      <c r="X441">
        <v>0</v>
      </c>
      <c r="Y441">
        <v>33</v>
      </c>
      <c r="Z441">
        <v>3418</v>
      </c>
      <c r="AC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M441">
        <v>0</v>
      </c>
      <c r="AR441" t="s">
        <v>2385</v>
      </c>
      <c r="AS441" t="s">
        <v>1680</v>
      </c>
      <c r="AT441">
        <v>2024</v>
      </c>
      <c r="AU441">
        <v>11</v>
      </c>
      <c r="AV441" t="s">
        <v>318</v>
      </c>
      <c r="AX441" t="s">
        <v>2467</v>
      </c>
    </row>
    <row r="442" spans="1:50">
      <c r="A442">
        <v>83</v>
      </c>
      <c r="B442">
        <v>61</v>
      </c>
      <c r="C442" t="s">
        <v>74</v>
      </c>
      <c r="D442" t="s">
        <v>1569</v>
      </c>
      <c r="E442" t="s">
        <v>1570</v>
      </c>
      <c r="F442">
        <v>743</v>
      </c>
      <c r="G442" s="23">
        <v>45602</v>
      </c>
      <c r="H442" s="2">
        <v>45454.638368055559</v>
      </c>
      <c r="K442" s="149">
        <v>0</v>
      </c>
      <c r="L442" s="149">
        <v>-110249</v>
      </c>
      <c r="M442" s="149">
        <v>-20947</v>
      </c>
      <c r="N442" s="149">
        <v>-131196</v>
      </c>
      <c r="O442">
        <v>0</v>
      </c>
      <c r="P442">
        <v>0</v>
      </c>
      <c r="Q442">
        <v>0</v>
      </c>
      <c r="R442">
        <v>0</v>
      </c>
      <c r="S442">
        <v>0</v>
      </c>
      <c r="T442" t="s">
        <v>77</v>
      </c>
      <c r="U442">
        <v>0</v>
      </c>
      <c r="V442">
        <v>0</v>
      </c>
      <c r="W442">
        <v>0</v>
      </c>
      <c r="X442">
        <v>0</v>
      </c>
      <c r="Y442">
        <v>33</v>
      </c>
      <c r="Z442">
        <v>3419</v>
      </c>
      <c r="AC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M442">
        <v>0</v>
      </c>
      <c r="AR442" t="s">
        <v>2385</v>
      </c>
      <c r="AS442" t="s">
        <v>1680</v>
      </c>
      <c r="AT442">
        <v>2024</v>
      </c>
      <c r="AU442">
        <v>11</v>
      </c>
      <c r="AV442" t="s">
        <v>318</v>
      </c>
      <c r="AX442" t="s">
        <v>2468</v>
      </c>
    </row>
    <row r="443" spans="1:50">
      <c r="A443">
        <v>84</v>
      </c>
      <c r="B443">
        <v>61</v>
      </c>
      <c r="C443" t="s">
        <v>74</v>
      </c>
      <c r="D443" t="s">
        <v>1571</v>
      </c>
      <c r="E443" t="s">
        <v>1572</v>
      </c>
      <c r="F443">
        <v>746</v>
      </c>
      <c r="G443" s="23">
        <v>45603</v>
      </c>
      <c r="H443" s="2">
        <v>45484.488993055558</v>
      </c>
      <c r="K443" s="149">
        <v>0</v>
      </c>
      <c r="L443" s="149">
        <v>-9017940</v>
      </c>
      <c r="M443" s="149">
        <v>-1713409</v>
      </c>
      <c r="N443" s="149">
        <v>-10731349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77</v>
      </c>
      <c r="U443">
        <v>0</v>
      </c>
      <c r="V443">
        <v>0</v>
      </c>
      <c r="W443">
        <v>0</v>
      </c>
      <c r="X443">
        <v>0</v>
      </c>
      <c r="Y443">
        <v>33</v>
      </c>
      <c r="Z443">
        <v>3402</v>
      </c>
      <c r="AC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M443">
        <v>0</v>
      </c>
      <c r="AR443" t="s">
        <v>2385</v>
      </c>
      <c r="AS443" t="s">
        <v>1680</v>
      </c>
      <c r="AT443">
        <v>2024</v>
      </c>
      <c r="AU443">
        <v>11</v>
      </c>
      <c r="AV443" t="s">
        <v>318</v>
      </c>
      <c r="AX443" t="s">
        <v>2469</v>
      </c>
    </row>
    <row r="444" spans="1:50">
      <c r="A444">
        <v>85</v>
      </c>
      <c r="B444">
        <v>61</v>
      </c>
      <c r="C444" t="s">
        <v>74</v>
      </c>
      <c r="D444" t="s">
        <v>1222</v>
      </c>
      <c r="E444" t="s">
        <v>1223</v>
      </c>
      <c r="F444">
        <v>747</v>
      </c>
      <c r="G444" s="23">
        <v>45608</v>
      </c>
      <c r="H444" s="2">
        <v>45637.489756944444</v>
      </c>
      <c r="K444" s="149">
        <v>0</v>
      </c>
      <c r="L444" s="149">
        <v>-8518296</v>
      </c>
      <c r="M444" s="149">
        <v>-1618478</v>
      </c>
      <c r="N444" s="149">
        <v>-10136774</v>
      </c>
      <c r="O444">
        <v>0</v>
      </c>
      <c r="P444">
        <v>0</v>
      </c>
      <c r="Q444">
        <v>0</v>
      </c>
      <c r="R444">
        <v>0</v>
      </c>
      <c r="S444">
        <v>0</v>
      </c>
      <c r="T444" t="s">
        <v>77</v>
      </c>
      <c r="U444">
        <v>0</v>
      </c>
      <c r="V444">
        <v>0</v>
      </c>
      <c r="W444">
        <v>0</v>
      </c>
      <c r="X444">
        <v>0</v>
      </c>
      <c r="Y444">
        <v>33</v>
      </c>
      <c r="Z444">
        <v>3388</v>
      </c>
      <c r="AC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M444">
        <v>0</v>
      </c>
      <c r="AR444" t="s">
        <v>2385</v>
      </c>
      <c r="AS444" t="s">
        <v>1680</v>
      </c>
      <c r="AT444">
        <v>2024</v>
      </c>
      <c r="AU444">
        <v>11</v>
      </c>
      <c r="AV444" t="s">
        <v>318</v>
      </c>
      <c r="AX444" t="s">
        <v>2470</v>
      </c>
    </row>
    <row r="445" spans="1:50">
      <c r="A445">
        <v>86</v>
      </c>
      <c r="B445">
        <v>61</v>
      </c>
      <c r="C445" t="s">
        <v>74</v>
      </c>
      <c r="D445" t="s">
        <v>1222</v>
      </c>
      <c r="E445" t="s">
        <v>1223</v>
      </c>
      <c r="F445">
        <v>748</v>
      </c>
      <c r="G445" s="23">
        <v>45608</v>
      </c>
      <c r="H445" s="2">
        <v>45637.508159722223</v>
      </c>
      <c r="K445" s="149">
        <v>0</v>
      </c>
      <c r="L445" s="149">
        <v>-2310450</v>
      </c>
      <c r="M445" s="149">
        <v>-438986</v>
      </c>
      <c r="N445" s="149">
        <v>-2749436</v>
      </c>
      <c r="O445">
        <v>0</v>
      </c>
      <c r="P445">
        <v>0</v>
      </c>
      <c r="Q445">
        <v>0</v>
      </c>
      <c r="R445">
        <v>0</v>
      </c>
      <c r="S445">
        <v>0</v>
      </c>
      <c r="T445" t="s">
        <v>77</v>
      </c>
      <c r="U445">
        <v>0</v>
      </c>
      <c r="V445">
        <v>0</v>
      </c>
      <c r="W445">
        <v>0</v>
      </c>
      <c r="X445">
        <v>0</v>
      </c>
      <c r="Y445">
        <v>33</v>
      </c>
      <c r="Z445">
        <v>3393</v>
      </c>
      <c r="AC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M445">
        <v>0</v>
      </c>
      <c r="AR445" t="s">
        <v>2385</v>
      </c>
      <c r="AS445" t="s">
        <v>1680</v>
      </c>
      <c r="AT445">
        <v>2024</v>
      </c>
      <c r="AU445">
        <v>11</v>
      </c>
      <c r="AV445" t="s">
        <v>318</v>
      </c>
      <c r="AX445" t="s">
        <v>2471</v>
      </c>
    </row>
    <row r="446" spans="1:50">
      <c r="A446">
        <v>87</v>
      </c>
      <c r="B446">
        <v>61</v>
      </c>
      <c r="C446" t="s">
        <v>74</v>
      </c>
      <c r="D446" t="s">
        <v>1222</v>
      </c>
      <c r="E446" t="s">
        <v>1223</v>
      </c>
      <c r="F446">
        <v>749</v>
      </c>
      <c r="G446" s="23">
        <v>45608</v>
      </c>
      <c r="H446" s="2">
        <v>45637.521874999999</v>
      </c>
      <c r="K446" s="149">
        <v>0</v>
      </c>
      <c r="L446" s="149">
        <v>-13128400</v>
      </c>
      <c r="M446" s="149">
        <v>-2494396</v>
      </c>
      <c r="N446" s="149">
        <v>-15622796</v>
      </c>
      <c r="O446">
        <v>0</v>
      </c>
      <c r="P446">
        <v>0</v>
      </c>
      <c r="Q446">
        <v>0</v>
      </c>
      <c r="R446">
        <v>0</v>
      </c>
      <c r="S446">
        <v>0</v>
      </c>
      <c r="T446" t="s">
        <v>77</v>
      </c>
      <c r="U446">
        <v>0</v>
      </c>
      <c r="V446">
        <v>0</v>
      </c>
      <c r="W446">
        <v>0</v>
      </c>
      <c r="X446">
        <v>0</v>
      </c>
      <c r="Y446">
        <v>33</v>
      </c>
      <c r="Z446">
        <v>3403</v>
      </c>
      <c r="AC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M446">
        <v>0</v>
      </c>
      <c r="AR446" t="s">
        <v>2385</v>
      </c>
      <c r="AS446" t="s">
        <v>1680</v>
      </c>
      <c r="AT446">
        <v>2024</v>
      </c>
      <c r="AU446">
        <v>11</v>
      </c>
      <c r="AV446" t="s">
        <v>318</v>
      </c>
      <c r="AX446" t="s">
        <v>2472</v>
      </c>
    </row>
    <row r="447" spans="1:50">
      <c r="A447">
        <v>88</v>
      </c>
      <c r="B447">
        <v>61</v>
      </c>
      <c r="C447" t="s">
        <v>74</v>
      </c>
      <c r="D447" t="s">
        <v>1571</v>
      </c>
      <c r="E447" t="s">
        <v>1572</v>
      </c>
      <c r="F447">
        <v>750</v>
      </c>
      <c r="G447" s="23" t="s">
        <v>826</v>
      </c>
      <c r="H447" s="2" t="s">
        <v>2378</v>
      </c>
      <c r="K447" s="149">
        <v>0</v>
      </c>
      <c r="L447" s="149">
        <v>-9913970</v>
      </c>
      <c r="M447" s="149">
        <v>-1883655</v>
      </c>
      <c r="N447" s="149">
        <v>-11797625</v>
      </c>
      <c r="O447">
        <v>0</v>
      </c>
      <c r="P447">
        <v>0</v>
      </c>
      <c r="Q447">
        <v>0</v>
      </c>
      <c r="R447">
        <v>0</v>
      </c>
      <c r="S447">
        <v>0</v>
      </c>
      <c r="T447" t="s">
        <v>77</v>
      </c>
      <c r="U447">
        <v>0</v>
      </c>
      <c r="V447">
        <v>0</v>
      </c>
      <c r="W447">
        <v>0</v>
      </c>
      <c r="X447">
        <v>0</v>
      </c>
      <c r="Y447">
        <v>33</v>
      </c>
      <c r="Z447">
        <v>3409</v>
      </c>
      <c r="AC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M447">
        <v>0</v>
      </c>
      <c r="AR447" t="s">
        <v>2385</v>
      </c>
      <c r="AS447" t="s">
        <v>1680</v>
      </c>
      <c r="AT447">
        <v>2024</v>
      </c>
      <c r="AU447">
        <v>11</v>
      </c>
      <c r="AV447" t="s">
        <v>318</v>
      </c>
      <c r="AX447" t="s">
        <v>2473</v>
      </c>
    </row>
    <row r="448" spans="1:50">
      <c r="A448">
        <v>89</v>
      </c>
      <c r="B448">
        <v>61</v>
      </c>
      <c r="C448" t="s">
        <v>74</v>
      </c>
      <c r="D448" t="s">
        <v>1571</v>
      </c>
      <c r="E448" t="s">
        <v>1572</v>
      </c>
      <c r="F448">
        <v>751</v>
      </c>
      <c r="G448" s="23" t="s">
        <v>826</v>
      </c>
      <c r="H448" s="2" t="s">
        <v>2379</v>
      </c>
      <c r="K448" s="149">
        <v>0</v>
      </c>
      <c r="L448" s="149">
        <v>-138960</v>
      </c>
      <c r="M448" s="149">
        <v>-26402</v>
      </c>
      <c r="N448" s="149">
        <v>-165362</v>
      </c>
      <c r="O448">
        <v>0</v>
      </c>
      <c r="P448">
        <v>0</v>
      </c>
      <c r="Q448">
        <v>0</v>
      </c>
      <c r="R448">
        <v>0</v>
      </c>
      <c r="S448">
        <v>0</v>
      </c>
      <c r="T448" t="s">
        <v>77</v>
      </c>
      <c r="U448">
        <v>0</v>
      </c>
      <c r="V448">
        <v>0</v>
      </c>
      <c r="W448">
        <v>0</v>
      </c>
      <c r="X448">
        <v>0</v>
      </c>
      <c r="Y448">
        <v>33</v>
      </c>
      <c r="Z448">
        <v>3438</v>
      </c>
      <c r="AC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M448">
        <v>0</v>
      </c>
      <c r="AR448" t="s">
        <v>2385</v>
      </c>
      <c r="AS448" t="s">
        <v>1680</v>
      </c>
      <c r="AT448">
        <v>2024</v>
      </c>
      <c r="AU448">
        <v>11</v>
      </c>
      <c r="AV448" t="s">
        <v>318</v>
      </c>
      <c r="AX448" t="s">
        <v>2474</v>
      </c>
    </row>
    <row r="449" spans="1:50">
      <c r="A449">
        <v>90</v>
      </c>
      <c r="B449">
        <v>61</v>
      </c>
      <c r="C449" t="s">
        <v>74</v>
      </c>
      <c r="D449" t="s">
        <v>2329</v>
      </c>
      <c r="E449" t="s">
        <v>2330</v>
      </c>
      <c r="F449">
        <v>752</v>
      </c>
      <c r="G449" s="23" t="s">
        <v>829</v>
      </c>
      <c r="H449" s="2" t="s">
        <v>2380</v>
      </c>
      <c r="K449" s="149">
        <v>0</v>
      </c>
      <c r="L449" s="149">
        <v>-44000</v>
      </c>
      <c r="M449" s="149">
        <v>-8360</v>
      </c>
      <c r="N449" s="149">
        <v>-52360</v>
      </c>
      <c r="O449">
        <v>0</v>
      </c>
      <c r="P449">
        <v>0</v>
      </c>
      <c r="Q449">
        <v>0</v>
      </c>
      <c r="R449">
        <v>0</v>
      </c>
      <c r="S449">
        <v>0</v>
      </c>
      <c r="T449" t="s">
        <v>77</v>
      </c>
      <c r="U449">
        <v>0</v>
      </c>
      <c r="V449">
        <v>0</v>
      </c>
      <c r="W449">
        <v>0</v>
      </c>
      <c r="X449">
        <v>0</v>
      </c>
      <c r="Y449">
        <v>33</v>
      </c>
      <c r="Z449">
        <v>3452</v>
      </c>
      <c r="AC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M449">
        <v>0</v>
      </c>
      <c r="AR449" t="s">
        <v>2385</v>
      </c>
      <c r="AS449" t="s">
        <v>1680</v>
      </c>
      <c r="AT449">
        <v>2024</v>
      </c>
      <c r="AU449">
        <v>11</v>
      </c>
      <c r="AV449" t="s">
        <v>318</v>
      </c>
      <c r="AX449" t="s">
        <v>2475</v>
      </c>
    </row>
    <row r="450" spans="1:50">
      <c r="A450">
        <v>91</v>
      </c>
      <c r="B450">
        <v>61</v>
      </c>
      <c r="C450" t="s">
        <v>74</v>
      </c>
      <c r="D450" t="s">
        <v>1353</v>
      </c>
      <c r="E450" t="s">
        <v>1354</v>
      </c>
      <c r="F450">
        <v>753</v>
      </c>
      <c r="G450" s="23" t="s">
        <v>830</v>
      </c>
      <c r="H450" s="2" t="s">
        <v>2381</v>
      </c>
      <c r="K450" s="149">
        <v>0</v>
      </c>
      <c r="L450" s="149">
        <v>-161700</v>
      </c>
      <c r="M450" s="149">
        <v>-30723</v>
      </c>
      <c r="N450" s="149">
        <v>-192423</v>
      </c>
      <c r="O450">
        <v>0</v>
      </c>
      <c r="P450">
        <v>0</v>
      </c>
      <c r="Q450">
        <v>0</v>
      </c>
      <c r="R450">
        <v>0</v>
      </c>
      <c r="S450">
        <v>0</v>
      </c>
      <c r="T450" t="s">
        <v>77</v>
      </c>
      <c r="U450">
        <v>0</v>
      </c>
      <c r="V450">
        <v>0</v>
      </c>
      <c r="W450">
        <v>0</v>
      </c>
      <c r="X450">
        <v>0</v>
      </c>
      <c r="Y450">
        <v>33</v>
      </c>
      <c r="Z450">
        <v>3461</v>
      </c>
      <c r="AC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M450">
        <v>0</v>
      </c>
      <c r="AR450" t="s">
        <v>2385</v>
      </c>
      <c r="AS450" t="s">
        <v>1680</v>
      </c>
      <c r="AT450">
        <v>2024</v>
      </c>
      <c r="AU450">
        <v>11</v>
      </c>
      <c r="AV450" t="s">
        <v>318</v>
      </c>
      <c r="AX450" t="s">
        <v>2476</v>
      </c>
    </row>
    <row r="451" spans="1:50">
      <c r="A451">
        <v>92</v>
      </c>
      <c r="B451">
        <v>61</v>
      </c>
      <c r="C451" t="s">
        <v>74</v>
      </c>
      <c r="D451" t="s">
        <v>1353</v>
      </c>
      <c r="E451" t="s">
        <v>1354</v>
      </c>
      <c r="F451">
        <v>754</v>
      </c>
      <c r="G451" s="23" t="s">
        <v>830</v>
      </c>
      <c r="H451" t="s">
        <v>2382</v>
      </c>
      <c r="K451" s="149">
        <v>0</v>
      </c>
      <c r="L451" s="149">
        <v>-20220</v>
      </c>
      <c r="M451" s="149">
        <v>-3842</v>
      </c>
      <c r="N451" s="149">
        <v>-24062</v>
      </c>
      <c r="O451">
        <v>0</v>
      </c>
      <c r="P451">
        <v>0</v>
      </c>
      <c r="Q451">
        <v>0</v>
      </c>
      <c r="R451">
        <v>0</v>
      </c>
      <c r="S451">
        <v>0</v>
      </c>
      <c r="T451" t="s">
        <v>77</v>
      </c>
      <c r="U451">
        <v>0</v>
      </c>
      <c r="V451">
        <v>0</v>
      </c>
      <c r="W451">
        <v>0</v>
      </c>
      <c r="X451">
        <v>0</v>
      </c>
      <c r="Y451">
        <v>33</v>
      </c>
      <c r="Z451">
        <v>3441</v>
      </c>
      <c r="AC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M451">
        <v>0</v>
      </c>
      <c r="AR451" t="s">
        <v>2385</v>
      </c>
      <c r="AS451" t="s">
        <v>1680</v>
      </c>
      <c r="AT451">
        <v>2024</v>
      </c>
      <c r="AU451">
        <v>11</v>
      </c>
      <c r="AV451" t="s">
        <v>318</v>
      </c>
      <c r="AX451" t="s">
        <v>2477</v>
      </c>
    </row>
    <row r="452" spans="1:50">
      <c r="A452">
        <v>93</v>
      </c>
      <c r="B452">
        <v>61</v>
      </c>
      <c r="C452" t="s">
        <v>74</v>
      </c>
      <c r="D452" t="s">
        <v>1571</v>
      </c>
      <c r="E452" t="s">
        <v>1572</v>
      </c>
      <c r="F452">
        <v>755</v>
      </c>
      <c r="G452" s="23" t="s">
        <v>832</v>
      </c>
      <c r="H452" t="s">
        <v>2383</v>
      </c>
      <c r="K452" s="149">
        <v>0</v>
      </c>
      <c r="L452" s="149">
        <v>-10413440</v>
      </c>
      <c r="M452" s="149">
        <v>-1978555</v>
      </c>
      <c r="N452" s="149">
        <v>-12391995</v>
      </c>
      <c r="O452">
        <v>0</v>
      </c>
      <c r="P452">
        <v>0</v>
      </c>
      <c r="Q452">
        <v>0</v>
      </c>
      <c r="R452">
        <v>0</v>
      </c>
      <c r="S452">
        <v>0</v>
      </c>
      <c r="T452" t="s">
        <v>77</v>
      </c>
      <c r="U452">
        <v>0</v>
      </c>
      <c r="V452">
        <v>0</v>
      </c>
      <c r="W452">
        <v>0</v>
      </c>
      <c r="X452">
        <v>0</v>
      </c>
      <c r="Y452">
        <v>33</v>
      </c>
      <c r="Z452">
        <v>3453</v>
      </c>
      <c r="AC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M452">
        <v>0</v>
      </c>
      <c r="AR452" t="s">
        <v>2385</v>
      </c>
      <c r="AS452" t="s">
        <v>1680</v>
      </c>
      <c r="AT452">
        <v>2024</v>
      </c>
      <c r="AU452">
        <v>11</v>
      </c>
      <c r="AV452" t="s">
        <v>318</v>
      </c>
      <c r="AX452" t="s">
        <v>2478</v>
      </c>
    </row>
    <row r="453" spans="1:50">
      <c r="A453">
        <v>94</v>
      </c>
      <c r="B453">
        <v>61</v>
      </c>
      <c r="C453" t="s">
        <v>74</v>
      </c>
      <c r="D453" t="s">
        <v>1571</v>
      </c>
      <c r="E453" t="s">
        <v>1572</v>
      </c>
      <c r="F453">
        <v>756</v>
      </c>
      <c r="G453" s="23" t="s">
        <v>832</v>
      </c>
      <c r="H453" t="s">
        <v>2384</v>
      </c>
      <c r="K453" s="149">
        <v>0</v>
      </c>
      <c r="L453" s="149">
        <v>-341088</v>
      </c>
      <c r="M453" s="149">
        <v>-64807</v>
      </c>
      <c r="N453" s="149">
        <v>-405895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77</v>
      </c>
      <c r="U453">
        <v>0</v>
      </c>
      <c r="V453">
        <v>0</v>
      </c>
      <c r="W453">
        <v>0</v>
      </c>
      <c r="X453">
        <v>0</v>
      </c>
      <c r="Y453">
        <v>33</v>
      </c>
      <c r="Z453">
        <v>3454</v>
      </c>
      <c r="AC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M453">
        <v>0</v>
      </c>
      <c r="AR453" t="s">
        <v>2385</v>
      </c>
      <c r="AS453" t="s">
        <v>1680</v>
      </c>
      <c r="AT453">
        <v>2024</v>
      </c>
      <c r="AU453">
        <v>11</v>
      </c>
      <c r="AV453" t="s">
        <v>318</v>
      </c>
      <c r="AX453" t="s">
        <v>2479</v>
      </c>
    </row>
    <row r="454" spans="1:50">
      <c r="A454">
        <v>1</v>
      </c>
      <c r="B454">
        <v>33</v>
      </c>
      <c r="C454" t="s">
        <v>74</v>
      </c>
      <c r="D454" t="s">
        <v>1222</v>
      </c>
      <c r="E454" t="s">
        <v>1223</v>
      </c>
      <c r="F454">
        <v>3479</v>
      </c>
      <c r="G454" s="23">
        <v>45628</v>
      </c>
      <c r="H454" t="s">
        <v>2480</v>
      </c>
      <c r="K454" s="149">
        <v>0</v>
      </c>
      <c r="L454" s="149">
        <v>11404000</v>
      </c>
      <c r="M454" s="149">
        <v>2166760</v>
      </c>
      <c r="N454" s="149">
        <v>13570760</v>
      </c>
      <c r="O454">
        <v>0</v>
      </c>
      <c r="P454">
        <v>0</v>
      </c>
      <c r="Q454">
        <v>0</v>
      </c>
      <c r="R454">
        <v>0</v>
      </c>
      <c r="S454">
        <v>0</v>
      </c>
      <c r="T454" t="s">
        <v>77</v>
      </c>
      <c r="U454">
        <v>0</v>
      </c>
      <c r="V454">
        <v>0</v>
      </c>
      <c r="W454">
        <v>0</v>
      </c>
      <c r="X454">
        <v>0</v>
      </c>
      <c r="AC454">
        <v>0</v>
      </c>
      <c r="AE454">
        <v>0</v>
      </c>
      <c r="AF454">
        <v>2</v>
      </c>
      <c r="AG454">
        <v>0</v>
      </c>
      <c r="AH454">
        <v>0</v>
      </c>
      <c r="AI454">
        <v>0</v>
      </c>
      <c r="AM454">
        <v>0</v>
      </c>
      <c r="AR454" t="s">
        <v>2555</v>
      </c>
      <c r="AS454" t="s">
        <v>1680</v>
      </c>
      <c r="AT454">
        <v>2024</v>
      </c>
      <c r="AU454">
        <v>12</v>
      </c>
      <c r="AV454" t="s">
        <v>78</v>
      </c>
      <c r="AX454" t="s">
        <v>2556</v>
      </c>
    </row>
    <row r="455" spans="1:50">
      <c r="A455">
        <v>2</v>
      </c>
      <c r="B455">
        <v>33</v>
      </c>
      <c r="C455" t="s">
        <v>74</v>
      </c>
      <c r="D455" t="s">
        <v>1222</v>
      </c>
      <c r="E455" t="s">
        <v>1223</v>
      </c>
      <c r="F455">
        <v>3480</v>
      </c>
      <c r="G455" s="23">
        <v>45628</v>
      </c>
      <c r="H455" t="s">
        <v>2481</v>
      </c>
      <c r="K455" s="149">
        <v>0</v>
      </c>
      <c r="L455" s="149">
        <v>2348150</v>
      </c>
      <c r="M455" s="149">
        <v>446149</v>
      </c>
      <c r="N455" s="149">
        <v>2794299</v>
      </c>
      <c r="O455">
        <v>0</v>
      </c>
      <c r="P455">
        <v>0</v>
      </c>
      <c r="Q455">
        <v>0</v>
      </c>
      <c r="R455">
        <v>0</v>
      </c>
      <c r="S455">
        <v>0</v>
      </c>
      <c r="T455" t="s">
        <v>77</v>
      </c>
      <c r="U455">
        <v>0</v>
      </c>
      <c r="V455">
        <v>0</v>
      </c>
      <c r="W455">
        <v>0</v>
      </c>
      <c r="X455">
        <v>0</v>
      </c>
      <c r="AC455">
        <v>0</v>
      </c>
      <c r="AE455">
        <v>0</v>
      </c>
      <c r="AF455">
        <v>2</v>
      </c>
      <c r="AG455">
        <v>0</v>
      </c>
      <c r="AH455">
        <v>0</v>
      </c>
      <c r="AI455">
        <v>0</v>
      </c>
      <c r="AM455">
        <v>0</v>
      </c>
      <c r="AR455" t="s">
        <v>2555</v>
      </c>
      <c r="AS455" t="s">
        <v>1680</v>
      </c>
      <c r="AT455">
        <v>2024</v>
      </c>
      <c r="AU455">
        <v>12</v>
      </c>
      <c r="AV455" t="s">
        <v>78</v>
      </c>
      <c r="AX455" t="s">
        <v>2557</v>
      </c>
    </row>
    <row r="456" spans="1:50">
      <c r="A456">
        <v>3</v>
      </c>
      <c r="B456">
        <v>33</v>
      </c>
      <c r="C456" t="s">
        <v>74</v>
      </c>
      <c r="D456" t="s">
        <v>1353</v>
      </c>
      <c r="E456" t="s">
        <v>1354</v>
      </c>
      <c r="F456">
        <v>3481</v>
      </c>
      <c r="G456" s="23">
        <v>45629</v>
      </c>
      <c r="H456" t="s">
        <v>2482</v>
      </c>
      <c r="I456" s="2">
        <v>45334.70826388889</v>
      </c>
      <c r="K456" s="149">
        <v>0</v>
      </c>
      <c r="L456" s="149">
        <v>2205805</v>
      </c>
      <c r="M456" s="149">
        <v>419104</v>
      </c>
      <c r="N456" s="149">
        <v>2624909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77</v>
      </c>
      <c r="U456">
        <v>0</v>
      </c>
      <c r="V456">
        <v>0</v>
      </c>
      <c r="W456">
        <v>0</v>
      </c>
      <c r="X456">
        <v>0</v>
      </c>
      <c r="Y456">
        <v>0</v>
      </c>
      <c r="AC456">
        <v>0</v>
      </c>
      <c r="AE456">
        <v>0</v>
      </c>
      <c r="AF456">
        <v>2</v>
      </c>
      <c r="AG456">
        <v>0</v>
      </c>
      <c r="AH456">
        <v>0</v>
      </c>
      <c r="AI456">
        <v>0</v>
      </c>
      <c r="AM456">
        <v>0</v>
      </c>
      <c r="AR456" t="s">
        <v>2555</v>
      </c>
      <c r="AS456" t="s">
        <v>1680</v>
      </c>
      <c r="AT456">
        <v>2024</v>
      </c>
      <c r="AU456">
        <v>12</v>
      </c>
      <c r="AV456" t="s">
        <v>78</v>
      </c>
      <c r="AX456" t="s">
        <v>2558</v>
      </c>
    </row>
    <row r="457" spans="1:50">
      <c r="A457">
        <v>4</v>
      </c>
      <c r="B457">
        <v>33</v>
      </c>
      <c r="C457" t="s">
        <v>74</v>
      </c>
      <c r="D457" t="s">
        <v>1564</v>
      </c>
      <c r="E457" t="s">
        <v>1565</v>
      </c>
      <c r="F457">
        <v>3482</v>
      </c>
      <c r="G457" s="23">
        <v>45629</v>
      </c>
      <c r="H457" s="2">
        <v>45334.467569444445</v>
      </c>
      <c r="K457" s="149">
        <v>0</v>
      </c>
      <c r="L457" s="149">
        <v>236366</v>
      </c>
      <c r="M457" s="149">
        <v>44912</v>
      </c>
      <c r="N457" s="149">
        <v>281278</v>
      </c>
      <c r="O457">
        <v>0</v>
      </c>
      <c r="P457">
        <v>0</v>
      </c>
      <c r="Q457">
        <v>0</v>
      </c>
      <c r="R457">
        <v>0</v>
      </c>
      <c r="S457">
        <v>0</v>
      </c>
      <c r="T457" t="s">
        <v>77</v>
      </c>
      <c r="U457">
        <v>0</v>
      </c>
      <c r="V457">
        <v>0</v>
      </c>
      <c r="W457">
        <v>0</v>
      </c>
      <c r="X457">
        <v>0</v>
      </c>
      <c r="Y457">
        <v>0</v>
      </c>
      <c r="AC457">
        <v>0</v>
      </c>
      <c r="AE457">
        <v>0</v>
      </c>
      <c r="AF457">
        <v>2</v>
      </c>
      <c r="AG457">
        <v>0</v>
      </c>
      <c r="AH457">
        <v>0</v>
      </c>
      <c r="AI457">
        <v>0</v>
      </c>
      <c r="AM457">
        <v>0</v>
      </c>
      <c r="AR457" t="s">
        <v>2555</v>
      </c>
      <c r="AS457" t="s">
        <v>1680</v>
      </c>
      <c r="AT457">
        <v>2024</v>
      </c>
      <c r="AU457">
        <v>12</v>
      </c>
      <c r="AV457" t="s">
        <v>78</v>
      </c>
      <c r="AX457" t="s">
        <v>2559</v>
      </c>
    </row>
    <row r="458" spans="1:50">
      <c r="A458">
        <v>5</v>
      </c>
      <c r="B458">
        <v>33</v>
      </c>
      <c r="C458" t="s">
        <v>74</v>
      </c>
      <c r="D458" t="s">
        <v>1600</v>
      </c>
      <c r="E458" t="s">
        <v>1601</v>
      </c>
      <c r="F458">
        <v>3483</v>
      </c>
      <c r="G458" s="23">
        <v>45629</v>
      </c>
      <c r="H458" s="2">
        <v>45363.412002314813</v>
      </c>
      <c r="K458" s="149">
        <v>0</v>
      </c>
      <c r="L458" s="149">
        <v>10500</v>
      </c>
      <c r="M458" s="149">
        <v>1995</v>
      </c>
      <c r="N458" s="149">
        <v>12495</v>
      </c>
      <c r="O458">
        <v>0</v>
      </c>
      <c r="P458">
        <v>0</v>
      </c>
      <c r="Q458">
        <v>0</v>
      </c>
      <c r="R458">
        <v>0</v>
      </c>
      <c r="S458">
        <v>0</v>
      </c>
      <c r="T458" t="s">
        <v>77</v>
      </c>
      <c r="U458">
        <v>0</v>
      </c>
      <c r="V458">
        <v>0</v>
      </c>
      <c r="W458">
        <v>0</v>
      </c>
      <c r="X458">
        <v>0</v>
      </c>
      <c r="Y458">
        <v>0</v>
      </c>
      <c r="AC458">
        <v>0</v>
      </c>
      <c r="AE458">
        <v>0</v>
      </c>
      <c r="AF458">
        <v>2</v>
      </c>
      <c r="AG458">
        <v>0</v>
      </c>
      <c r="AH458">
        <v>0</v>
      </c>
      <c r="AI458">
        <v>0</v>
      </c>
      <c r="AM458">
        <v>0</v>
      </c>
      <c r="AR458" t="s">
        <v>2555</v>
      </c>
      <c r="AS458" t="s">
        <v>1680</v>
      </c>
      <c r="AT458">
        <v>2024</v>
      </c>
      <c r="AU458">
        <v>12</v>
      </c>
      <c r="AV458" t="s">
        <v>78</v>
      </c>
      <c r="AX458" t="s">
        <v>2560</v>
      </c>
    </row>
    <row r="459" spans="1:50">
      <c r="A459">
        <v>6</v>
      </c>
      <c r="B459">
        <v>33</v>
      </c>
      <c r="C459" t="s">
        <v>74</v>
      </c>
      <c r="D459" t="s">
        <v>1631</v>
      </c>
      <c r="E459" t="s">
        <v>1632</v>
      </c>
      <c r="F459">
        <v>3484</v>
      </c>
      <c r="G459" s="23">
        <v>45629</v>
      </c>
      <c r="H459" s="2">
        <v>45363.501805555556</v>
      </c>
      <c r="K459" s="149">
        <v>0</v>
      </c>
      <c r="L459" s="149">
        <v>474140</v>
      </c>
      <c r="M459" s="149">
        <v>90086</v>
      </c>
      <c r="N459" s="149">
        <v>564226</v>
      </c>
      <c r="O459">
        <v>0</v>
      </c>
      <c r="P459">
        <v>0</v>
      </c>
      <c r="Q459">
        <v>0</v>
      </c>
      <c r="R459">
        <v>0</v>
      </c>
      <c r="S459">
        <v>0</v>
      </c>
      <c r="T459" t="s">
        <v>77</v>
      </c>
      <c r="U459">
        <v>0</v>
      </c>
      <c r="V459">
        <v>0</v>
      </c>
      <c r="W459">
        <v>0</v>
      </c>
      <c r="X459">
        <v>0</v>
      </c>
      <c r="Y459">
        <v>0</v>
      </c>
      <c r="AC459">
        <v>0</v>
      </c>
      <c r="AE459">
        <v>0</v>
      </c>
      <c r="AF459">
        <v>2</v>
      </c>
      <c r="AG459">
        <v>0</v>
      </c>
      <c r="AH459">
        <v>0</v>
      </c>
      <c r="AI459">
        <v>0</v>
      </c>
      <c r="AM459">
        <v>0</v>
      </c>
      <c r="AR459" t="s">
        <v>2555</v>
      </c>
      <c r="AS459" t="s">
        <v>1680</v>
      </c>
      <c r="AT459">
        <v>2024</v>
      </c>
      <c r="AU459">
        <v>12</v>
      </c>
      <c r="AV459" t="s">
        <v>78</v>
      </c>
      <c r="AX459" t="s">
        <v>2561</v>
      </c>
    </row>
    <row r="460" spans="1:50">
      <c r="A460">
        <v>7</v>
      </c>
      <c r="B460">
        <v>33</v>
      </c>
      <c r="C460" t="s">
        <v>74</v>
      </c>
      <c r="D460" t="s">
        <v>1222</v>
      </c>
      <c r="E460" t="s">
        <v>1223</v>
      </c>
      <c r="F460">
        <v>3485</v>
      </c>
      <c r="G460" s="23">
        <v>45631</v>
      </c>
      <c r="H460" s="2">
        <v>45363.547719907408</v>
      </c>
      <c r="I460" s="2">
        <v>45547.54891203704</v>
      </c>
      <c r="K460" s="149">
        <v>0</v>
      </c>
      <c r="L460" s="149">
        <v>2487410</v>
      </c>
      <c r="M460" s="149">
        <v>472608</v>
      </c>
      <c r="N460" s="149">
        <v>2960018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77</v>
      </c>
      <c r="U460">
        <v>0</v>
      </c>
      <c r="V460">
        <v>0</v>
      </c>
      <c r="W460">
        <v>0</v>
      </c>
      <c r="X460">
        <v>0</v>
      </c>
      <c r="AC460">
        <v>0</v>
      </c>
      <c r="AE460">
        <v>0</v>
      </c>
      <c r="AF460">
        <v>2</v>
      </c>
      <c r="AG460">
        <v>0</v>
      </c>
      <c r="AH460">
        <v>0</v>
      </c>
      <c r="AI460">
        <v>0</v>
      </c>
      <c r="AM460">
        <v>0</v>
      </c>
      <c r="AR460" t="s">
        <v>2555</v>
      </c>
      <c r="AS460" t="s">
        <v>1680</v>
      </c>
      <c r="AT460">
        <v>2024</v>
      </c>
      <c r="AU460">
        <v>12</v>
      </c>
      <c r="AV460" t="s">
        <v>78</v>
      </c>
      <c r="AX460" t="s">
        <v>2562</v>
      </c>
    </row>
    <row r="461" spans="1:50">
      <c r="A461">
        <v>8</v>
      </c>
      <c r="B461">
        <v>33</v>
      </c>
      <c r="C461" t="s">
        <v>74</v>
      </c>
      <c r="D461" t="s">
        <v>1573</v>
      </c>
      <c r="E461" t="s">
        <v>1574</v>
      </c>
      <c r="F461">
        <v>3486</v>
      </c>
      <c r="G461" s="23">
        <v>45631</v>
      </c>
      <c r="H461" s="2">
        <v>45394.440092592595</v>
      </c>
      <c r="I461" s="2"/>
      <c r="K461" s="149">
        <v>0</v>
      </c>
      <c r="L461" s="149">
        <v>239058</v>
      </c>
      <c r="M461" s="149">
        <v>45421</v>
      </c>
      <c r="N461" s="149">
        <v>284479</v>
      </c>
      <c r="O461">
        <v>0</v>
      </c>
      <c r="P461">
        <v>0</v>
      </c>
      <c r="Q461">
        <v>0</v>
      </c>
      <c r="R461">
        <v>0</v>
      </c>
      <c r="S461">
        <v>0</v>
      </c>
      <c r="T461" t="s">
        <v>77</v>
      </c>
      <c r="U461">
        <v>0</v>
      </c>
      <c r="V461">
        <v>0</v>
      </c>
      <c r="W461">
        <v>0</v>
      </c>
      <c r="X461">
        <v>0</v>
      </c>
      <c r="Y461">
        <v>0</v>
      </c>
      <c r="AC461">
        <v>0</v>
      </c>
      <c r="AE461">
        <v>0</v>
      </c>
      <c r="AF461">
        <v>2</v>
      </c>
      <c r="AG461">
        <v>0</v>
      </c>
      <c r="AH461">
        <v>0</v>
      </c>
      <c r="AI461">
        <v>0</v>
      </c>
      <c r="AM461">
        <v>0</v>
      </c>
      <c r="AR461" t="s">
        <v>2555</v>
      </c>
      <c r="AS461" t="s">
        <v>1680</v>
      </c>
      <c r="AT461">
        <v>2024</v>
      </c>
      <c r="AU461">
        <v>12</v>
      </c>
      <c r="AV461" t="s">
        <v>78</v>
      </c>
      <c r="AX461" t="s">
        <v>2563</v>
      </c>
    </row>
    <row r="462" spans="1:50">
      <c r="A462">
        <v>9</v>
      </c>
      <c r="B462">
        <v>33</v>
      </c>
      <c r="C462" t="s">
        <v>74</v>
      </c>
      <c r="D462" t="s">
        <v>1600</v>
      </c>
      <c r="E462" t="s">
        <v>1601</v>
      </c>
      <c r="F462">
        <v>3487</v>
      </c>
      <c r="G462" s="23">
        <v>45631</v>
      </c>
      <c r="H462" s="2">
        <v>45394.488553240742</v>
      </c>
      <c r="K462" s="149">
        <v>0</v>
      </c>
      <c r="L462" s="149">
        <v>34056</v>
      </c>
      <c r="M462" s="149">
        <v>6471</v>
      </c>
      <c r="N462" s="149">
        <v>40527</v>
      </c>
      <c r="O462">
        <v>0</v>
      </c>
      <c r="P462">
        <v>0</v>
      </c>
      <c r="Q462">
        <v>0</v>
      </c>
      <c r="R462">
        <v>0</v>
      </c>
      <c r="S462">
        <v>0</v>
      </c>
      <c r="T462" t="s">
        <v>77</v>
      </c>
      <c r="U462">
        <v>0</v>
      </c>
      <c r="V462">
        <v>0</v>
      </c>
      <c r="W462">
        <v>0</v>
      </c>
      <c r="X462">
        <v>0</v>
      </c>
      <c r="Y462">
        <v>0</v>
      </c>
      <c r="AC462">
        <v>0</v>
      </c>
      <c r="AE462">
        <v>0</v>
      </c>
      <c r="AF462">
        <v>2</v>
      </c>
      <c r="AG462">
        <v>0</v>
      </c>
      <c r="AH462">
        <v>0</v>
      </c>
      <c r="AI462">
        <v>0</v>
      </c>
      <c r="AM462">
        <v>0</v>
      </c>
      <c r="AR462" t="s">
        <v>2555</v>
      </c>
      <c r="AS462" t="s">
        <v>1680</v>
      </c>
      <c r="AT462">
        <v>2024</v>
      </c>
      <c r="AU462">
        <v>12</v>
      </c>
      <c r="AV462" t="s">
        <v>78</v>
      </c>
      <c r="AX462" t="s">
        <v>2564</v>
      </c>
    </row>
    <row r="463" spans="1:50">
      <c r="A463">
        <v>10</v>
      </c>
      <c r="B463">
        <v>33</v>
      </c>
      <c r="C463" t="s">
        <v>74</v>
      </c>
      <c r="D463" t="s">
        <v>2329</v>
      </c>
      <c r="E463" t="s">
        <v>2330</v>
      </c>
      <c r="F463">
        <v>3488</v>
      </c>
      <c r="G463" s="23">
        <v>45631</v>
      </c>
      <c r="H463" s="2">
        <v>45394.535717592589</v>
      </c>
      <c r="I463" s="2">
        <v>45424.572638888887</v>
      </c>
      <c r="K463" s="149">
        <v>0</v>
      </c>
      <c r="L463" s="149">
        <v>280000</v>
      </c>
      <c r="M463" s="149">
        <v>53200</v>
      </c>
      <c r="N463" s="149">
        <v>333200</v>
      </c>
      <c r="O463">
        <v>0</v>
      </c>
      <c r="P463">
        <v>0</v>
      </c>
      <c r="Q463">
        <v>0</v>
      </c>
      <c r="R463">
        <v>0</v>
      </c>
      <c r="S463">
        <v>0</v>
      </c>
      <c r="T463" t="s">
        <v>77</v>
      </c>
      <c r="U463">
        <v>0</v>
      </c>
      <c r="V463">
        <v>0</v>
      </c>
      <c r="W463">
        <v>0</v>
      </c>
      <c r="X463">
        <v>0</v>
      </c>
      <c r="Y463">
        <v>0</v>
      </c>
      <c r="AC463">
        <v>0</v>
      </c>
      <c r="AE463">
        <v>0</v>
      </c>
      <c r="AF463">
        <v>2</v>
      </c>
      <c r="AG463">
        <v>0</v>
      </c>
      <c r="AH463">
        <v>0</v>
      </c>
      <c r="AI463">
        <v>0</v>
      </c>
      <c r="AM463">
        <v>0</v>
      </c>
      <c r="AR463" t="s">
        <v>2555</v>
      </c>
      <c r="AS463" t="s">
        <v>1680</v>
      </c>
      <c r="AT463">
        <v>2024</v>
      </c>
      <c r="AU463">
        <v>12</v>
      </c>
      <c r="AV463" t="s">
        <v>78</v>
      </c>
      <c r="AX463" t="s">
        <v>2565</v>
      </c>
    </row>
    <row r="464" spans="1:50">
      <c r="A464">
        <v>11</v>
      </c>
      <c r="B464">
        <v>33</v>
      </c>
      <c r="C464" t="s">
        <v>74</v>
      </c>
      <c r="D464" t="s">
        <v>1988</v>
      </c>
      <c r="E464" t="s">
        <v>1989</v>
      </c>
      <c r="F464">
        <v>3489</v>
      </c>
      <c r="G464" s="23">
        <v>45632</v>
      </c>
      <c r="H464" s="2">
        <v>45394.676608796297</v>
      </c>
      <c r="J464" s="2">
        <v>45608.506168981483</v>
      </c>
      <c r="K464" s="149">
        <v>0</v>
      </c>
      <c r="L464" s="149">
        <v>1211544</v>
      </c>
      <c r="M464" s="149">
        <v>230193</v>
      </c>
      <c r="N464" s="149">
        <v>1441737</v>
      </c>
      <c r="O464">
        <v>0</v>
      </c>
      <c r="P464">
        <v>0</v>
      </c>
      <c r="Q464">
        <v>0</v>
      </c>
      <c r="R464">
        <v>0</v>
      </c>
      <c r="S464">
        <v>0</v>
      </c>
      <c r="T464" t="s">
        <v>77</v>
      </c>
      <c r="U464">
        <v>0</v>
      </c>
      <c r="V464">
        <v>0</v>
      </c>
      <c r="W464">
        <v>0</v>
      </c>
      <c r="X464">
        <v>0</v>
      </c>
      <c r="AC464">
        <v>0</v>
      </c>
      <c r="AE464">
        <v>0</v>
      </c>
      <c r="AF464">
        <v>2</v>
      </c>
      <c r="AG464">
        <v>0</v>
      </c>
      <c r="AH464">
        <v>0</v>
      </c>
      <c r="AI464">
        <v>0</v>
      </c>
      <c r="AM464">
        <v>0</v>
      </c>
      <c r="AR464" t="s">
        <v>2555</v>
      </c>
      <c r="AS464" t="s">
        <v>1680</v>
      </c>
      <c r="AT464">
        <v>2024</v>
      </c>
      <c r="AU464">
        <v>12</v>
      </c>
      <c r="AV464" t="s">
        <v>78</v>
      </c>
      <c r="AX464" t="s">
        <v>2566</v>
      </c>
    </row>
    <row r="465" spans="1:50">
      <c r="A465">
        <v>12</v>
      </c>
      <c r="B465">
        <v>33</v>
      </c>
      <c r="C465" t="s">
        <v>74</v>
      </c>
      <c r="D465" t="s">
        <v>1561</v>
      </c>
      <c r="E465" t="s">
        <v>1562</v>
      </c>
      <c r="F465">
        <v>3490</v>
      </c>
      <c r="G465" s="23">
        <v>45632</v>
      </c>
      <c r="H465" s="2">
        <v>45394.724618055552</v>
      </c>
      <c r="I465" s="2">
        <v>45638.47378472222</v>
      </c>
      <c r="K465" s="149">
        <v>0</v>
      </c>
      <c r="L465" s="149">
        <v>13476000</v>
      </c>
      <c r="M465" s="149">
        <v>2560440</v>
      </c>
      <c r="N465" s="149">
        <v>16036440</v>
      </c>
      <c r="O465">
        <v>0</v>
      </c>
      <c r="P465">
        <v>0</v>
      </c>
      <c r="Q465">
        <v>0</v>
      </c>
      <c r="R465">
        <v>0</v>
      </c>
      <c r="S465">
        <v>0</v>
      </c>
      <c r="T465" t="s">
        <v>77</v>
      </c>
      <c r="U465">
        <v>0</v>
      </c>
      <c r="V465">
        <v>0</v>
      </c>
      <c r="W465">
        <v>0</v>
      </c>
      <c r="X465">
        <v>0</v>
      </c>
      <c r="Y465">
        <v>0</v>
      </c>
      <c r="AC465">
        <v>0</v>
      </c>
      <c r="AE465">
        <v>0</v>
      </c>
      <c r="AF465">
        <v>2</v>
      </c>
      <c r="AG465">
        <v>0</v>
      </c>
      <c r="AH465">
        <v>0</v>
      </c>
      <c r="AI465">
        <v>0</v>
      </c>
      <c r="AM465">
        <v>0</v>
      </c>
      <c r="AR465" t="s">
        <v>2555</v>
      </c>
      <c r="AS465" t="s">
        <v>1680</v>
      </c>
      <c r="AT465">
        <v>2024</v>
      </c>
      <c r="AU465">
        <v>12</v>
      </c>
      <c r="AV465" t="s">
        <v>78</v>
      </c>
      <c r="AX465" t="s">
        <v>2567</v>
      </c>
    </row>
    <row r="466" spans="1:50">
      <c r="A466">
        <v>13</v>
      </c>
      <c r="B466">
        <v>33</v>
      </c>
      <c r="C466" t="s">
        <v>74</v>
      </c>
      <c r="D466" t="s">
        <v>1571</v>
      </c>
      <c r="E466" t="s">
        <v>1572</v>
      </c>
      <c r="F466">
        <v>3491</v>
      </c>
      <c r="G466" s="23">
        <v>45632</v>
      </c>
      <c r="H466" s="2">
        <v>45424.453680555554</v>
      </c>
      <c r="J466" s="2">
        <v>45455.843923611108</v>
      </c>
      <c r="K466" s="149">
        <v>0</v>
      </c>
      <c r="L466" s="149">
        <v>9973350</v>
      </c>
      <c r="M466" s="149">
        <v>1894937</v>
      </c>
      <c r="N466" s="149">
        <v>11868287</v>
      </c>
      <c r="O466">
        <v>0</v>
      </c>
      <c r="P466">
        <v>0</v>
      </c>
      <c r="Q466">
        <v>0</v>
      </c>
      <c r="R466">
        <v>0</v>
      </c>
      <c r="S466">
        <v>0</v>
      </c>
      <c r="T466" t="s">
        <v>77</v>
      </c>
      <c r="U466">
        <v>0</v>
      </c>
      <c r="V466">
        <v>0</v>
      </c>
      <c r="W466">
        <v>0</v>
      </c>
      <c r="X466">
        <v>0</v>
      </c>
      <c r="AC466">
        <v>0</v>
      </c>
      <c r="AE466">
        <v>0</v>
      </c>
      <c r="AF466">
        <v>2</v>
      </c>
      <c r="AG466">
        <v>0</v>
      </c>
      <c r="AH466">
        <v>0</v>
      </c>
      <c r="AI466">
        <v>0</v>
      </c>
      <c r="AM466">
        <v>0</v>
      </c>
      <c r="AR466" t="s">
        <v>2555</v>
      </c>
      <c r="AS466" t="s">
        <v>1680</v>
      </c>
      <c r="AT466">
        <v>2024</v>
      </c>
      <c r="AU466">
        <v>12</v>
      </c>
      <c r="AV466" t="s">
        <v>78</v>
      </c>
      <c r="AX466" t="s">
        <v>2568</v>
      </c>
    </row>
    <row r="467" spans="1:50">
      <c r="A467">
        <v>14</v>
      </c>
      <c r="B467">
        <v>33</v>
      </c>
      <c r="C467" t="s">
        <v>74</v>
      </c>
      <c r="D467" t="s">
        <v>1222</v>
      </c>
      <c r="E467" t="s">
        <v>1223</v>
      </c>
      <c r="F467">
        <v>3492</v>
      </c>
      <c r="G467" s="23">
        <v>45635</v>
      </c>
      <c r="H467" s="2">
        <v>45424.617847222224</v>
      </c>
      <c r="I467" s="2">
        <v>45577.498333333337</v>
      </c>
      <c r="K467" s="149">
        <v>0</v>
      </c>
      <c r="L467" s="149">
        <v>11261800</v>
      </c>
      <c r="M467" s="149">
        <v>2139742</v>
      </c>
      <c r="N467" s="149">
        <v>13401542</v>
      </c>
      <c r="O467">
        <v>0</v>
      </c>
      <c r="P467">
        <v>0</v>
      </c>
      <c r="Q467">
        <v>0</v>
      </c>
      <c r="R467">
        <v>0</v>
      </c>
      <c r="S467">
        <v>0</v>
      </c>
      <c r="T467" t="s">
        <v>77</v>
      </c>
      <c r="U467">
        <v>0</v>
      </c>
      <c r="V467">
        <v>0</v>
      </c>
      <c r="W467">
        <v>0</v>
      </c>
      <c r="X467">
        <v>0</v>
      </c>
      <c r="AC467">
        <v>0</v>
      </c>
      <c r="AE467">
        <v>0</v>
      </c>
      <c r="AF467">
        <v>2</v>
      </c>
      <c r="AG467">
        <v>0</v>
      </c>
      <c r="AH467">
        <v>0</v>
      </c>
      <c r="AI467">
        <v>0</v>
      </c>
      <c r="AM467">
        <v>0</v>
      </c>
      <c r="AR467" t="s">
        <v>2555</v>
      </c>
      <c r="AS467" t="s">
        <v>1680</v>
      </c>
      <c r="AT467">
        <v>2024</v>
      </c>
      <c r="AU467">
        <v>12</v>
      </c>
      <c r="AV467" t="s">
        <v>78</v>
      </c>
      <c r="AX467" t="s">
        <v>2569</v>
      </c>
    </row>
    <row r="468" spans="1:50">
      <c r="A468">
        <v>15</v>
      </c>
      <c r="B468">
        <v>33</v>
      </c>
      <c r="C468" t="s">
        <v>74</v>
      </c>
      <c r="D468" t="s">
        <v>1222</v>
      </c>
      <c r="E468" t="s">
        <v>1223</v>
      </c>
      <c r="F468">
        <v>3493</v>
      </c>
      <c r="G468" s="23">
        <v>45635</v>
      </c>
      <c r="H468" s="2">
        <v>45424.631504629629</v>
      </c>
      <c r="I468" s="2">
        <v>45577.498344907406</v>
      </c>
      <c r="K468" s="149">
        <v>0</v>
      </c>
      <c r="L468" s="149">
        <v>4420317</v>
      </c>
      <c r="M468" s="149">
        <v>839860</v>
      </c>
      <c r="N468" s="149">
        <v>5260177</v>
      </c>
      <c r="O468">
        <v>0</v>
      </c>
      <c r="P468">
        <v>0</v>
      </c>
      <c r="Q468">
        <v>0</v>
      </c>
      <c r="R468">
        <v>0</v>
      </c>
      <c r="S468">
        <v>0</v>
      </c>
      <c r="T468" t="s">
        <v>77</v>
      </c>
      <c r="U468">
        <v>0</v>
      </c>
      <c r="V468">
        <v>0</v>
      </c>
      <c r="W468">
        <v>0</v>
      </c>
      <c r="X468">
        <v>0</v>
      </c>
      <c r="AC468">
        <v>0</v>
      </c>
      <c r="AE468">
        <v>0</v>
      </c>
      <c r="AF468">
        <v>2</v>
      </c>
      <c r="AG468">
        <v>0</v>
      </c>
      <c r="AH468">
        <v>0</v>
      </c>
      <c r="AI468">
        <v>0</v>
      </c>
      <c r="AM468">
        <v>0</v>
      </c>
      <c r="AR468" t="s">
        <v>2555</v>
      </c>
      <c r="AS468" t="s">
        <v>1680</v>
      </c>
      <c r="AT468">
        <v>2024</v>
      </c>
      <c r="AU468">
        <v>12</v>
      </c>
      <c r="AV468" t="s">
        <v>78</v>
      </c>
      <c r="AX468" t="s">
        <v>2570</v>
      </c>
    </row>
    <row r="469" spans="1:50">
      <c r="A469">
        <v>16</v>
      </c>
      <c r="B469">
        <v>33</v>
      </c>
      <c r="C469" t="s">
        <v>74</v>
      </c>
      <c r="D469" t="s">
        <v>1571</v>
      </c>
      <c r="E469" t="s">
        <v>1572</v>
      </c>
      <c r="F469">
        <v>3494</v>
      </c>
      <c r="G469" s="23">
        <v>45633</v>
      </c>
      <c r="H469" s="2">
        <v>45455.491608796299</v>
      </c>
      <c r="I469" s="2">
        <v>45485.861076388886</v>
      </c>
      <c r="K469" s="149">
        <v>0</v>
      </c>
      <c r="L469" s="149">
        <v>9973350</v>
      </c>
      <c r="M469" s="149">
        <v>1894937</v>
      </c>
      <c r="N469" s="149">
        <v>11868287</v>
      </c>
      <c r="O469">
        <v>0</v>
      </c>
      <c r="P469">
        <v>0</v>
      </c>
      <c r="Q469">
        <v>0</v>
      </c>
      <c r="R469">
        <v>0</v>
      </c>
      <c r="S469">
        <v>0</v>
      </c>
      <c r="T469" t="s">
        <v>77</v>
      </c>
      <c r="U469">
        <v>0</v>
      </c>
      <c r="V469">
        <v>0</v>
      </c>
      <c r="W469">
        <v>0</v>
      </c>
      <c r="X469">
        <v>0</v>
      </c>
      <c r="AC469">
        <v>0</v>
      </c>
      <c r="AE469">
        <v>0</v>
      </c>
      <c r="AF469">
        <v>2</v>
      </c>
      <c r="AG469">
        <v>0</v>
      </c>
      <c r="AH469">
        <v>0</v>
      </c>
      <c r="AI469">
        <v>0</v>
      </c>
      <c r="AM469">
        <v>0</v>
      </c>
      <c r="AR469" t="s">
        <v>2555</v>
      </c>
      <c r="AS469" t="s">
        <v>1680</v>
      </c>
      <c r="AT469">
        <v>2024</v>
      </c>
      <c r="AU469">
        <v>12</v>
      </c>
      <c r="AV469" t="s">
        <v>78</v>
      </c>
      <c r="AX469" t="s">
        <v>2571</v>
      </c>
    </row>
    <row r="470" spans="1:50">
      <c r="A470">
        <v>17</v>
      </c>
      <c r="B470">
        <v>33</v>
      </c>
      <c r="C470" t="s">
        <v>74</v>
      </c>
      <c r="D470" t="s">
        <v>1581</v>
      </c>
      <c r="E470" t="s">
        <v>1582</v>
      </c>
      <c r="F470">
        <v>3495</v>
      </c>
      <c r="G470" s="23">
        <v>45635</v>
      </c>
      <c r="H470" s="2">
        <v>45455.572291666664</v>
      </c>
      <c r="I470" s="2">
        <v>45577.420590277776</v>
      </c>
      <c r="K470" s="149">
        <v>0</v>
      </c>
      <c r="L470" s="149">
        <v>976690</v>
      </c>
      <c r="M470" s="149">
        <v>185571</v>
      </c>
      <c r="N470" s="149">
        <v>1162261</v>
      </c>
      <c r="O470">
        <v>0</v>
      </c>
      <c r="P470">
        <v>0</v>
      </c>
      <c r="Q470">
        <v>0</v>
      </c>
      <c r="R470">
        <v>0</v>
      </c>
      <c r="S470">
        <v>0</v>
      </c>
      <c r="T470" t="s">
        <v>77</v>
      </c>
      <c r="U470">
        <v>0</v>
      </c>
      <c r="V470">
        <v>0</v>
      </c>
      <c r="W470">
        <v>0</v>
      </c>
      <c r="X470">
        <v>0</v>
      </c>
      <c r="Y470">
        <v>0</v>
      </c>
      <c r="AC470">
        <v>0</v>
      </c>
      <c r="AE470">
        <v>0</v>
      </c>
      <c r="AF470">
        <v>2</v>
      </c>
      <c r="AG470">
        <v>0</v>
      </c>
      <c r="AH470">
        <v>0</v>
      </c>
      <c r="AI470">
        <v>0</v>
      </c>
      <c r="AM470">
        <v>0</v>
      </c>
      <c r="AR470" t="s">
        <v>2555</v>
      </c>
      <c r="AS470" t="s">
        <v>1680</v>
      </c>
      <c r="AT470">
        <v>2024</v>
      </c>
      <c r="AU470">
        <v>12</v>
      </c>
      <c r="AV470" t="s">
        <v>78</v>
      </c>
      <c r="AX470" t="s">
        <v>2572</v>
      </c>
    </row>
    <row r="471" spans="1:50">
      <c r="A471">
        <v>18</v>
      </c>
      <c r="B471">
        <v>33</v>
      </c>
      <c r="C471" t="s">
        <v>74</v>
      </c>
      <c r="D471" t="s">
        <v>1353</v>
      </c>
      <c r="E471" t="s">
        <v>1354</v>
      </c>
      <c r="F471">
        <v>3496</v>
      </c>
      <c r="G471" s="23">
        <v>45635</v>
      </c>
      <c r="H471" s="2">
        <v>45547.420995370368</v>
      </c>
      <c r="I471" s="2">
        <v>45547.574826388889</v>
      </c>
      <c r="K471" s="149">
        <v>0</v>
      </c>
      <c r="L471" s="149">
        <v>4985420</v>
      </c>
      <c r="M471" s="149">
        <v>947230</v>
      </c>
      <c r="N471" s="149">
        <v>5932650</v>
      </c>
      <c r="O471">
        <v>0</v>
      </c>
      <c r="P471">
        <v>0</v>
      </c>
      <c r="Q471">
        <v>0</v>
      </c>
      <c r="R471">
        <v>0</v>
      </c>
      <c r="S471">
        <v>0</v>
      </c>
      <c r="T471" t="s">
        <v>77</v>
      </c>
      <c r="U471">
        <v>0</v>
      </c>
      <c r="V471">
        <v>0</v>
      </c>
      <c r="W471">
        <v>0</v>
      </c>
      <c r="X471">
        <v>0</v>
      </c>
      <c r="Y471">
        <v>0</v>
      </c>
      <c r="AC471">
        <v>0</v>
      </c>
      <c r="AE471">
        <v>0</v>
      </c>
      <c r="AF471">
        <v>2</v>
      </c>
      <c r="AG471">
        <v>0</v>
      </c>
      <c r="AH471">
        <v>0</v>
      </c>
      <c r="AI471">
        <v>0</v>
      </c>
      <c r="AM471">
        <v>0</v>
      </c>
      <c r="AR471" t="s">
        <v>2555</v>
      </c>
      <c r="AS471" t="s">
        <v>1680</v>
      </c>
      <c r="AT471">
        <v>2024</v>
      </c>
      <c r="AU471">
        <v>12</v>
      </c>
      <c r="AV471" t="s">
        <v>78</v>
      </c>
      <c r="AX471" t="s">
        <v>2573</v>
      </c>
    </row>
    <row r="472" spans="1:50">
      <c r="A472">
        <v>19</v>
      </c>
      <c r="B472">
        <v>33</v>
      </c>
      <c r="C472" t="s">
        <v>74</v>
      </c>
      <c r="D472" t="s">
        <v>1788</v>
      </c>
      <c r="E472" t="s">
        <v>1789</v>
      </c>
      <c r="F472">
        <v>3497</v>
      </c>
      <c r="G472" s="23">
        <v>45636</v>
      </c>
      <c r="H472" s="2">
        <v>45547.450833333336</v>
      </c>
      <c r="I472" s="2">
        <v>45577.606111111112</v>
      </c>
      <c r="K472" s="149">
        <v>0</v>
      </c>
      <c r="L472" s="149">
        <v>582000</v>
      </c>
      <c r="M472" s="149">
        <v>110580</v>
      </c>
      <c r="N472" s="149">
        <v>692580</v>
      </c>
      <c r="O472">
        <v>0</v>
      </c>
      <c r="P472">
        <v>0</v>
      </c>
      <c r="Q472">
        <v>0</v>
      </c>
      <c r="R472">
        <v>0</v>
      </c>
      <c r="S472">
        <v>0</v>
      </c>
      <c r="T472" t="s">
        <v>77</v>
      </c>
      <c r="U472">
        <v>0</v>
      </c>
      <c r="V472">
        <v>0</v>
      </c>
      <c r="W472">
        <v>0</v>
      </c>
      <c r="X472">
        <v>0</v>
      </c>
      <c r="Y472">
        <v>0</v>
      </c>
      <c r="AC472">
        <v>0</v>
      </c>
      <c r="AE472">
        <v>0</v>
      </c>
      <c r="AF472">
        <v>2</v>
      </c>
      <c r="AG472">
        <v>0</v>
      </c>
      <c r="AH472">
        <v>0</v>
      </c>
      <c r="AI472">
        <v>0</v>
      </c>
      <c r="AM472">
        <v>0</v>
      </c>
      <c r="AR472" t="s">
        <v>2555</v>
      </c>
      <c r="AS472" t="s">
        <v>1680</v>
      </c>
      <c r="AT472">
        <v>2024</v>
      </c>
      <c r="AU472">
        <v>12</v>
      </c>
      <c r="AV472" t="s">
        <v>78</v>
      </c>
      <c r="AX472" t="s">
        <v>2574</v>
      </c>
    </row>
    <row r="473" spans="1:50">
      <c r="A473">
        <v>20</v>
      </c>
      <c r="B473">
        <v>33</v>
      </c>
      <c r="C473" t="s">
        <v>74</v>
      </c>
      <c r="D473" t="s">
        <v>1569</v>
      </c>
      <c r="E473" t="s">
        <v>1570</v>
      </c>
      <c r="F473">
        <v>3498</v>
      </c>
      <c r="G473" s="23">
        <v>45636</v>
      </c>
      <c r="H473" s="2">
        <v>45547.465543981481</v>
      </c>
      <c r="I473" t="s">
        <v>2483</v>
      </c>
      <c r="K473" s="149">
        <v>0</v>
      </c>
      <c r="L473" s="149">
        <v>169320</v>
      </c>
      <c r="M473" s="149">
        <v>32171</v>
      </c>
      <c r="N473" s="149">
        <v>201491</v>
      </c>
      <c r="O473">
        <v>0</v>
      </c>
      <c r="P473">
        <v>0</v>
      </c>
      <c r="Q473">
        <v>0</v>
      </c>
      <c r="R473">
        <v>0</v>
      </c>
      <c r="S473">
        <v>0</v>
      </c>
      <c r="T473" t="s">
        <v>77</v>
      </c>
      <c r="U473">
        <v>0</v>
      </c>
      <c r="V473">
        <v>0</v>
      </c>
      <c r="W473">
        <v>0</v>
      </c>
      <c r="X473">
        <v>0</v>
      </c>
      <c r="Y473">
        <v>0</v>
      </c>
      <c r="AC473">
        <v>0</v>
      </c>
      <c r="AE473">
        <v>0</v>
      </c>
      <c r="AF473">
        <v>2</v>
      </c>
      <c r="AG473">
        <v>0</v>
      </c>
      <c r="AH473">
        <v>0</v>
      </c>
      <c r="AI473">
        <v>0</v>
      </c>
      <c r="AM473">
        <v>0</v>
      </c>
      <c r="AR473" t="s">
        <v>2555</v>
      </c>
      <c r="AS473" t="s">
        <v>1680</v>
      </c>
      <c r="AT473">
        <v>2024</v>
      </c>
      <c r="AU473">
        <v>12</v>
      </c>
      <c r="AV473" t="s">
        <v>78</v>
      </c>
      <c r="AX473" t="s">
        <v>2575</v>
      </c>
    </row>
    <row r="474" spans="1:50">
      <c r="A474">
        <v>21</v>
      </c>
      <c r="B474">
        <v>33</v>
      </c>
      <c r="C474" t="s">
        <v>74</v>
      </c>
      <c r="D474" t="s">
        <v>1561</v>
      </c>
      <c r="E474" t="s">
        <v>1562</v>
      </c>
      <c r="F474">
        <v>3499</v>
      </c>
      <c r="G474" s="23">
        <v>45637</v>
      </c>
      <c r="H474" s="2">
        <v>45547.684953703705</v>
      </c>
      <c r="K474" s="149">
        <v>0</v>
      </c>
      <c r="L474" s="149">
        <v>9841500</v>
      </c>
      <c r="M474" s="149">
        <v>1869885</v>
      </c>
      <c r="N474" s="149">
        <v>11711385</v>
      </c>
      <c r="O474">
        <v>0</v>
      </c>
      <c r="P474">
        <v>0</v>
      </c>
      <c r="Q474">
        <v>0</v>
      </c>
      <c r="R474">
        <v>0</v>
      </c>
      <c r="S474">
        <v>0</v>
      </c>
      <c r="T474" t="s">
        <v>77</v>
      </c>
      <c r="U474">
        <v>0</v>
      </c>
      <c r="V474">
        <v>0</v>
      </c>
      <c r="W474">
        <v>0</v>
      </c>
      <c r="X474">
        <v>0</v>
      </c>
      <c r="Y474">
        <v>0</v>
      </c>
      <c r="AC474">
        <v>0</v>
      </c>
      <c r="AE474">
        <v>0</v>
      </c>
      <c r="AF474">
        <v>2</v>
      </c>
      <c r="AG474">
        <v>0</v>
      </c>
      <c r="AH474">
        <v>0</v>
      </c>
      <c r="AI474">
        <v>0</v>
      </c>
      <c r="AM474">
        <v>0</v>
      </c>
      <c r="AR474" t="s">
        <v>2555</v>
      </c>
      <c r="AS474" t="s">
        <v>1680</v>
      </c>
      <c r="AT474">
        <v>2024</v>
      </c>
      <c r="AU474">
        <v>12</v>
      </c>
      <c r="AV474" t="s">
        <v>78</v>
      </c>
      <c r="AX474" t="s">
        <v>2576</v>
      </c>
    </row>
    <row r="475" spans="1:50">
      <c r="A475">
        <v>22</v>
      </c>
      <c r="B475">
        <v>33</v>
      </c>
      <c r="C475" t="s">
        <v>74</v>
      </c>
      <c r="D475" t="s">
        <v>1988</v>
      </c>
      <c r="E475" t="s">
        <v>1989</v>
      </c>
      <c r="F475">
        <v>3500</v>
      </c>
      <c r="G475" s="23">
        <v>45637</v>
      </c>
      <c r="H475" s="2">
        <v>45577.432951388888</v>
      </c>
      <c r="J475" t="s">
        <v>2484</v>
      </c>
      <c r="K475" s="149">
        <v>0</v>
      </c>
      <c r="L475" s="149">
        <v>1177180</v>
      </c>
      <c r="M475" s="149">
        <v>223664</v>
      </c>
      <c r="N475" s="149">
        <v>1400844</v>
      </c>
      <c r="O475">
        <v>0</v>
      </c>
      <c r="P475">
        <v>0</v>
      </c>
      <c r="Q475">
        <v>0</v>
      </c>
      <c r="R475">
        <v>0</v>
      </c>
      <c r="S475">
        <v>0</v>
      </c>
      <c r="T475" t="s">
        <v>77</v>
      </c>
      <c r="U475">
        <v>0</v>
      </c>
      <c r="V475">
        <v>0</v>
      </c>
      <c r="W475">
        <v>0</v>
      </c>
      <c r="X475">
        <v>0</v>
      </c>
      <c r="AC475">
        <v>0</v>
      </c>
      <c r="AE475">
        <v>0</v>
      </c>
      <c r="AF475">
        <v>2</v>
      </c>
      <c r="AG475">
        <v>0</v>
      </c>
      <c r="AH475">
        <v>0</v>
      </c>
      <c r="AI475">
        <v>0</v>
      </c>
      <c r="AM475">
        <v>0</v>
      </c>
      <c r="AR475" t="s">
        <v>2555</v>
      </c>
      <c r="AS475" t="s">
        <v>1680</v>
      </c>
      <c r="AT475">
        <v>2024</v>
      </c>
      <c r="AU475">
        <v>12</v>
      </c>
      <c r="AV475" t="s">
        <v>78</v>
      </c>
      <c r="AX475" t="s">
        <v>2577</v>
      </c>
    </row>
    <row r="476" spans="1:50">
      <c r="A476">
        <v>23</v>
      </c>
      <c r="B476">
        <v>33</v>
      </c>
      <c r="C476" t="s">
        <v>74</v>
      </c>
      <c r="D476" t="s">
        <v>1222</v>
      </c>
      <c r="E476" t="s">
        <v>1223</v>
      </c>
      <c r="F476">
        <v>3501</v>
      </c>
      <c r="G476" s="23">
        <v>45638</v>
      </c>
      <c r="H476" s="2">
        <v>45577.468321759261</v>
      </c>
      <c r="I476" t="s">
        <v>2485</v>
      </c>
      <c r="K476" s="149">
        <v>0</v>
      </c>
      <c r="L476" s="149">
        <v>14743000</v>
      </c>
      <c r="M476" s="149">
        <v>2801170</v>
      </c>
      <c r="N476" s="149">
        <v>17544170</v>
      </c>
      <c r="O476">
        <v>0</v>
      </c>
      <c r="P476">
        <v>0</v>
      </c>
      <c r="Q476">
        <v>0</v>
      </c>
      <c r="R476">
        <v>0</v>
      </c>
      <c r="S476">
        <v>0</v>
      </c>
      <c r="T476" t="s">
        <v>77</v>
      </c>
      <c r="U476">
        <v>0</v>
      </c>
      <c r="V476">
        <v>0</v>
      </c>
      <c r="W476">
        <v>0</v>
      </c>
      <c r="X476">
        <v>0</v>
      </c>
      <c r="AC476">
        <v>0</v>
      </c>
      <c r="AE476">
        <v>0</v>
      </c>
      <c r="AF476">
        <v>2</v>
      </c>
      <c r="AG476">
        <v>0</v>
      </c>
      <c r="AH476">
        <v>0</v>
      </c>
      <c r="AI476">
        <v>0</v>
      </c>
      <c r="AM476">
        <v>0</v>
      </c>
      <c r="AR476" t="s">
        <v>2555</v>
      </c>
      <c r="AS476" t="s">
        <v>1680</v>
      </c>
      <c r="AT476">
        <v>2024</v>
      </c>
      <c r="AU476">
        <v>12</v>
      </c>
      <c r="AV476" t="s">
        <v>78</v>
      </c>
      <c r="AX476" t="s">
        <v>2578</v>
      </c>
    </row>
    <row r="477" spans="1:50">
      <c r="A477">
        <v>24</v>
      </c>
      <c r="B477">
        <v>33</v>
      </c>
      <c r="C477" t="s">
        <v>74</v>
      </c>
      <c r="D477" t="s">
        <v>1222</v>
      </c>
      <c r="E477" t="s">
        <v>1223</v>
      </c>
      <c r="F477">
        <v>3502</v>
      </c>
      <c r="G477" s="23">
        <v>45638</v>
      </c>
      <c r="H477" s="2">
        <v>45577.477303240739</v>
      </c>
      <c r="I477" t="s">
        <v>2485</v>
      </c>
      <c r="K477" s="149">
        <v>0</v>
      </c>
      <c r="L477" s="149">
        <v>5277562</v>
      </c>
      <c r="M477" s="149">
        <v>1002737</v>
      </c>
      <c r="N477" s="149">
        <v>6280299</v>
      </c>
      <c r="O477">
        <v>0</v>
      </c>
      <c r="P477">
        <v>0</v>
      </c>
      <c r="Q477">
        <v>0</v>
      </c>
      <c r="R477">
        <v>0</v>
      </c>
      <c r="S477">
        <v>0</v>
      </c>
      <c r="T477" t="s">
        <v>77</v>
      </c>
      <c r="U477">
        <v>0</v>
      </c>
      <c r="V477">
        <v>0</v>
      </c>
      <c r="W477">
        <v>0</v>
      </c>
      <c r="X477">
        <v>0</v>
      </c>
      <c r="AC477">
        <v>0</v>
      </c>
      <c r="AE477">
        <v>0</v>
      </c>
      <c r="AF477">
        <v>2</v>
      </c>
      <c r="AG477">
        <v>0</v>
      </c>
      <c r="AH477">
        <v>0</v>
      </c>
      <c r="AI477">
        <v>0</v>
      </c>
      <c r="AM477">
        <v>0</v>
      </c>
      <c r="AR477" t="s">
        <v>2555</v>
      </c>
      <c r="AS477" t="s">
        <v>1680</v>
      </c>
      <c r="AT477">
        <v>2024</v>
      </c>
      <c r="AU477">
        <v>12</v>
      </c>
      <c r="AV477" t="s">
        <v>78</v>
      </c>
      <c r="AX477" t="s">
        <v>2579</v>
      </c>
    </row>
    <row r="478" spans="1:50">
      <c r="A478">
        <v>25</v>
      </c>
      <c r="B478">
        <v>33</v>
      </c>
      <c r="C478" t="s">
        <v>74</v>
      </c>
      <c r="D478" t="s">
        <v>1222</v>
      </c>
      <c r="E478" t="s">
        <v>1223</v>
      </c>
      <c r="F478">
        <v>3503</v>
      </c>
      <c r="G478" s="23">
        <v>45638</v>
      </c>
      <c r="H478" s="2">
        <v>45577.741493055553</v>
      </c>
      <c r="I478" t="s">
        <v>2485</v>
      </c>
      <c r="K478" s="149">
        <v>0</v>
      </c>
      <c r="L478" s="149">
        <v>5653132</v>
      </c>
      <c r="M478" s="149">
        <v>1074095</v>
      </c>
      <c r="N478" s="149">
        <v>6727227</v>
      </c>
      <c r="O478">
        <v>0</v>
      </c>
      <c r="P478">
        <v>0</v>
      </c>
      <c r="Q478">
        <v>0</v>
      </c>
      <c r="R478">
        <v>0</v>
      </c>
      <c r="S478">
        <v>0</v>
      </c>
      <c r="T478" t="s">
        <v>77</v>
      </c>
      <c r="U478">
        <v>0</v>
      </c>
      <c r="V478">
        <v>0</v>
      </c>
      <c r="W478">
        <v>0</v>
      </c>
      <c r="X478">
        <v>0</v>
      </c>
      <c r="AC478">
        <v>0</v>
      </c>
      <c r="AE478">
        <v>0</v>
      </c>
      <c r="AF478">
        <v>2</v>
      </c>
      <c r="AG478">
        <v>0</v>
      </c>
      <c r="AH478">
        <v>0</v>
      </c>
      <c r="AI478">
        <v>0</v>
      </c>
      <c r="AM478">
        <v>0</v>
      </c>
      <c r="AR478" t="s">
        <v>2555</v>
      </c>
      <c r="AS478" t="s">
        <v>1680</v>
      </c>
      <c r="AT478">
        <v>2024</v>
      </c>
      <c r="AU478">
        <v>12</v>
      </c>
      <c r="AV478" t="s">
        <v>78</v>
      </c>
      <c r="AX478" t="s">
        <v>2580</v>
      </c>
    </row>
    <row r="479" spans="1:50">
      <c r="A479">
        <v>26</v>
      </c>
      <c r="B479">
        <v>33</v>
      </c>
      <c r="C479" t="s">
        <v>74</v>
      </c>
      <c r="D479" t="s">
        <v>1573</v>
      </c>
      <c r="E479" t="s">
        <v>1574</v>
      </c>
      <c r="F479">
        <v>3504</v>
      </c>
      <c r="G479" s="23">
        <v>45638</v>
      </c>
      <c r="H479" s="2">
        <v>45608.429097222222</v>
      </c>
      <c r="I479" t="s">
        <v>2486</v>
      </c>
      <c r="K479" s="149">
        <v>0</v>
      </c>
      <c r="L479" s="149">
        <v>226726</v>
      </c>
      <c r="M479" s="149">
        <v>43078</v>
      </c>
      <c r="N479" s="149">
        <v>269804</v>
      </c>
      <c r="O479">
        <v>0</v>
      </c>
      <c r="P479">
        <v>0</v>
      </c>
      <c r="Q479">
        <v>0</v>
      </c>
      <c r="R479">
        <v>0</v>
      </c>
      <c r="S479">
        <v>0</v>
      </c>
      <c r="T479" t="s">
        <v>77</v>
      </c>
      <c r="U479">
        <v>0</v>
      </c>
      <c r="V479">
        <v>0</v>
      </c>
      <c r="W479">
        <v>0</v>
      </c>
      <c r="X479">
        <v>0</v>
      </c>
      <c r="Y479">
        <v>0</v>
      </c>
      <c r="AC479">
        <v>0</v>
      </c>
      <c r="AE479">
        <v>0</v>
      </c>
      <c r="AF479">
        <v>2</v>
      </c>
      <c r="AG479">
        <v>0</v>
      </c>
      <c r="AH479">
        <v>0</v>
      </c>
      <c r="AI479">
        <v>0</v>
      </c>
      <c r="AM479">
        <v>0</v>
      </c>
      <c r="AR479" t="s">
        <v>2555</v>
      </c>
      <c r="AS479" t="s">
        <v>1680</v>
      </c>
      <c r="AT479">
        <v>2024</v>
      </c>
      <c r="AU479">
        <v>12</v>
      </c>
      <c r="AV479" t="s">
        <v>78</v>
      </c>
      <c r="AX479" t="s">
        <v>2581</v>
      </c>
    </row>
    <row r="480" spans="1:50">
      <c r="A480">
        <v>27</v>
      </c>
      <c r="B480">
        <v>33</v>
      </c>
      <c r="C480" t="s">
        <v>74</v>
      </c>
      <c r="D480" t="s">
        <v>1588</v>
      </c>
      <c r="E480" t="s">
        <v>1589</v>
      </c>
      <c r="F480">
        <v>3505</v>
      </c>
      <c r="G480" s="23">
        <v>45638</v>
      </c>
      <c r="H480" s="2">
        <v>45608.522881944446</v>
      </c>
      <c r="K480" s="149">
        <v>0</v>
      </c>
      <c r="L480" s="149">
        <v>2480090</v>
      </c>
      <c r="M480" s="149">
        <v>471218</v>
      </c>
      <c r="N480" s="149">
        <v>2951308</v>
      </c>
      <c r="O480">
        <v>0</v>
      </c>
      <c r="P480">
        <v>0</v>
      </c>
      <c r="Q480">
        <v>0</v>
      </c>
      <c r="R480">
        <v>0</v>
      </c>
      <c r="S480">
        <v>0</v>
      </c>
      <c r="T480" t="s">
        <v>77</v>
      </c>
      <c r="U480">
        <v>0</v>
      </c>
      <c r="V480">
        <v>0</v>
      </c>
      <c r="W480">
        <v>0</v>
      </c>
      <c r="X480">
        <v>0</v>
      </c>
      <c r="Y480">
        <v>0</v>
      </c>
      <c r="AC480">
        <v>0</v>
      </c>
      <c r="AE480">
        <v>0</v>
      </c>
      <c r="AF480">
        <v>2</v>
      </c>
      <c r="AG480">
        <v>0</v>
      </c>
      <c r="AH480">
        <v>0</v>
      </c>
      <c r="AI480">
        <v>0</v>
      </c>
      <c r="AM480">
        <v>0</v>
      </c>
      <c r="AR480" t="s">
        <v>2555</v>
      </c>
      <c r="AS480" t="s">
        <v>1680</v>
      </c>
      <c r="AT480">
        <v>2024</v>
      </c>
      <c r="AU480">
        <v>12</v>
      </c>
      <c r="AV480" t="s">
        <v>78</v>
      </c>
      <c r="AX480" t="s">
        <v>2582</v>
      </c>
    </row>
    <row r="481" spans="1:50">
      <c r="A481">
        <v>28</v>
      </c>
      <c r="B481">
        <v>33</v>
      </c>
      <c r="C481" t="s">
        <v>74</v>
      </c>
      <c r="D481" t="s">
        <v>1588</v>
      </c>
      <c r="E481" t="s">
        <v>1589</v>
      </c>
      <c r="F481">
        <v>3506</v>
      </c>
      <c r="G481" s="23">
        <v>45638</v>
      </c>
      <c r="H481" s="2">
        <v>45608.632222222222</v>
      </c>
      <c r="K481" s="149">
        <v>0</v>
      </c>
      <c r="L481" s="149">
        <v>238480</v>
      </c>
      <c r="M481" s="149">
        <v>45311</v>
      </c>
      <c r="N481" s="149">
        <v>283791</v>
      </c>
      <c r="O481">
        <v>0</v>
      </c>
      <c r="P481">
        <v>0</v>
      </c>
      <c r="Q481">
        <v>0</v>
      </c>
      <c r="R481">
        <v>0</v>
      </c>
      <c r="S481">
        <v>0</v>
      </c>
      <c r="T481" t="s">
        <v>77</v>
      </c>
      <c r="U481">
        <v>0</v>
      </c>
      <c r="V481">
        <v>0</v>
      </c>
      <c r="W481">
        <v>0</v>
      </c>
      <c r="X481">
        <v>0</v>
      </c>
      <c r="Y481">
        <v>0</v>
      </c>
      <c r="AC481">
        <v>0</v>
      </c>
      <c r="AE481">
        <v>0</v>
      </c>
      <c r="AF481">
        <v>2</v>
      </c>
      <c r="AG481">
        <v>0</v>
      </c>
      <c r="AH481">
        <v>0</v>
      </c>
      <c r="AI481">
        <v>0</v>
      </c>
      <c r="AM481">
        <v>0</v>
      </c>
      <c r="AR481" t="s">
        <v>2555</v>
      </c>
      <c r="AS481" t="s">
        <v>1680</v>
      </c>
      <c r="AT481">
        <v>2024</v>
      </c>
      <c r="AU481">
        <v>12</v>
      </c>
      <c r="AV481" t="s">
        <v>78</v>
      </c>
      <c r="AX481" t="s">
        <v>2583</v>
      </c>
    </row>
    <row r="482" spans="1:50">
      <c r="A482">
        <v>29</v>
      </c>
      <c r="B482">
        <v>33</v>
      </c>
      <c r="C482" t="s">
        <v>74</v>
      </c>
      <c r="D482" t="s">
        <v>2329</v>
      </c>
      <c r="E482" t="s">
        <v>2330</v>
      </c>
      <c r="F482">
        <v>3507</v>
      </c>
      <c r="G482" s="23">
        <v>45638</v>
      </c>
      <c r="H482" s="2">
        <v>45608.716736111113</v>
      </c>
      <c r="I482" t="s">
        <v>2487</v>
      </c>
      <c r="K482" s="149">
        <v>0</v>
      </c>
      <c r="L482" s="149">
        <v>280000</v>
      </c>
      <c r="M482" s="149">
        <v>53200</v>
      </c>
      <c r="N482" s="149">
        <v>333200</v>
      </c>
      <c r="O482">
        <v>0</v>
      </c>
      <c r="P482">
        <v>0</v>
      </c>
      <c r="Q482">
        <v>0</v>
      </c>
      <c r="R482">
        <v>0</v>
      </c>
      <c r="S482">
        <v>0</v>
      </c>
      <c r="T482" t="s">
        <v>77</v>
      </c>
      <c r="U482">
        <v>0</v>
      </c>
      <c r="V482">
        <v>0</v>
      </c>
      <c r="W482">
        <v>0</v>
      </c>
      <c r="X482">
        <v>0</v>
      </c>
      <c r="Y482">
        <v>0</v>
      </c>
      <c r="AC482">
        <v>0</v>
      </c>
      <c r="AE482">
        <v>0</v>
      </c>
      <c r="AF482">
        <v>2</v>
      </c>
      <c r="AG482">
        <v>0</v>
      </c>
      <c r="AH482">
        <v>0</v>
      </c>
      <c r="AI482">
        <v>0</v>
      </c>
      <c r="AM482">
        <v>0</v>
      </c>
      <c r="AR482" t="s">
        <v>2555</v>
      </c>
      <c r="AS482" t="s">
        <v>1680</v>
      </c>
      <c r="AT482">
        <v>2024</v>
      </c>
      <c r="AU482">
        <v>12</v>
      </c>
      <c r="AV482" t="s">
        <v>78</v>
      </c>
      <c r="AX482" t="s">
        <v>2584</v>
      </c>
    </row>
    <row r="483" spans="1:50">
      <c r="A483">
        <v>30</v>
      </c>
      <c r="B483">
        <v>33</v>
      </c>
      <c r="C483" t="s">
        <v>74</v>
      </c>
      <c r="D483" t="s">
        <v>1571</v>
      </c>
      <c r="E483" t="s">
        <v>1572</v>
      </c>
      <c r="F483">
        <v>3508</v>
      </c>
      <c r="G483" s="23" t="s">
        <v>834</v>
      </c>
      <c r="H483" s="2">
        <v>45608.74726851852</v>
      </c>
      <c r="I483" t="s">
        <v>2488</v>
      </c>
      <c r="K483" s="149">
        <v>0</v>
      </c>
      <c r="L483" s="149">
        <v>6821773</v>
      </c>
      <c r="M483" s="149">
        <v>1296137</v>
      </c>
      <c r="N483" s="149">
        <v>8117910</v>
      </c>
      <c r="O483">
        <v>0</v>
      </c>
      <c r="P483">
        <v>0</v>
      </c>
      <c r="Q483">
        <v>0</v>
      </c>
      <c r="R483">
        <v>0</v>
      </c>
      <c r="S483">
        <v>0</v>
      </c>
      <c r="T483" t="s">
        <v>77</v>
      </c>
      <c r="U483">
        <v>0</v>
      </c>
      <c r="V483">
        <v>0</v>
      </c>
      <c r="W483">
        <v>0</v>
      </c>
      <c r="X483">
        <v>0</v>
      </c>
      <c r="AC483">
        <v>0</v>
      </c>
      <c r="AE483">
        <v>0</v>
      </c>
      <c r="AF483">
        <v>2</v>
      </c>
      <c r="AG483">
        <v>0</v>
      </c>
      <c r="AH483">
        <v>0</v>
      </c>
      <c r="AI483">
        <v>0</v>
      </c>
      <c r="AM483">
        <v>0</v>
      </c>
      <c r="AR483" t="s">
        <v>2555</v>
      </c>
      <c r="AS483" t="s">
        <v>1680</v>
      </c>
      <c r="AT483">
        <v>2024</v>
      </c>
      <c r="AU483">
        <v>12</v>
      </c>
      <c r="AV483" t="s">
        <v>78</v>
      </c>
      <c r="AX483" t="s">
        <v>2585</v>
      </c>
    </row>
    <row r="484" spans="1:50">
      <c r="A484">
        <v>31</v>
      </c>
      <c r="B484">
        <v>33</v>
      </c>
      <c r="C484" t="s">
        <v>74</v>
      </c>
      <c r="D484" t="s">
        <v>1222</v>
      </c>
      <c r="E484" t="s">
        <v>1223</v>
      </c>
      <c r="F484">
        <v>3509</v>
      </c>
      <c r="G484" s="23" t="s">
        <v>835</v>
      </c>
      <c r="H484" s="2">
        <v>45638.591828703706</v>
      </c>
      <c r="I484" t="s">
        <v>2489</v>
      </c>
      <c r="K484" s="149">
        <v>0</v>
      </c>
      <c r="L484" s="149">
        <v>10847200</v>
      </c>
      <c r="M484" s="149">
        <v>2060968</v>
      </c>
      <c r="N484" s="149">
        <v>12908168</v>
      </c>
      <c r="O484">
        <v>0</v>
      </c>
      <c r="P484">
        <v>0</v>
      </c>
      <c r="Q484">
        <v>0</v>
      </c>
      <c r="R484">
        <v>0</v>
      </c>
      <c r="S484">
        <v>0</v>
      </c>
      <c r="T484" t="s">
        <v>77</v>
      </c>
      <c r="U484">
        <v>0</v>
      </c>
      <c r="V484">
        <v>0</v>
      </c>
      <c r="W484">
        <v>0</v>
      </c>
      <c r="X484">
        <v>0</v>
      </c>
      <c r="AC484">
        <v>0</v>
      </c>
      <c r="AE484">
        <v>0</v>
      </c>
      <c r="AF484">
        <v>2</v>
      </c>
      <c r="AG484">
        <v>0</v>
      </c>
      <c r="AH484">
        <v>0</v>
      </c>
      <c r="AI484">
        <v>0</v>
      </c>
      <c r="AM484">
        <v>0</v>
      </c>
      <c r="AR484" t="s">
        <v>2555</v>
      </c>
      <c r="AS484" t="s">
        <v>1680</v>
      </c>
      <c r="AT484">
        <v>2024</v>
      </c>
      <c r="AU484">
        <v>12</v>
      </c>
      <c r="AV484" t="s">
        <v>78</v>
      </c>
      <c r="AX484" t="s">
        <v>2586</v>
      </c>
    </row>
    <row r="485" spans="1:50">
      <c r="A485">
        <v>32</v>
      </c>
      <c r="B485">
        <v>33</v>
      </c>
      <c r="C485" t="s">
        <v>74</v>
      </c>
      <c r="D485" t="s">
        <v>1222</v>
      </c>
      <c r="E485" t="s">
        <v>1223</v>
      </c>
      <c r="F485">
        <v>3510</v>
      </c>
      <c r="G485" s="23" t="s">
        <v>835</v>
      </c>
      <c r="H485" s="2">
        <v>45638.696643518517</v>
      </c>
      <c r="I485" t="s">
        <v>2489</v>
      </c>
      <c r="K485" s="149">
        <v>0</v>
      </c>
      <c r="L485" s="149">
        <v>1858880</v>
      </c>
      <c r="M485" s="149">
        <v>353188</v>
      </c>
      <c r="N485" s="149">
        <v>2212068</v>
      </c>
      <c r="O485">
        <v>0</v>
      </c>
      <c r="P485">
        <v>0</v>
      </c>
      <c r="Q485">
        <v>0</v>
      </c>
      <c r="R485">
        <v>0</v>
      </c>
      <c r="S485">
        <v>0</v>
      </c>
      <c r="T485" t="s">
        <v>77</v>
      </c>
      <c r="U485">
        <v>0</v>
      </c>
      <c r="V485">
        <v>0</v>
      </c>
      <c r="W485">
        <v>0</v>
      </c>
      <c r="X485">
        <v>0</v>
      </c>
      <c r="AC485">
        <v>0</v>
      </c>
      <c r="AE485">
        <v>0</v>
      </c>
      <c r="AF485">
        <v>2</v>
      </c>
      <c r="AG485">
        <v>0</v>
      </c>
      <c r="AH485">
        <v>0</v>
      </c>
      <c r="AI485">
        <v>0</v>
      </c>
      <c r="AM485">
        <v>0</v>
      </c>
      <c r="AR485" t="s">
        <v>2555</v>
      </c>
      <c r="AS485" t="s">
        <v>1680</v>
      </c>
      <c r="AT485">
        <v>2024</v>
      </c>
      <c r="AU485">
        <v>12</v>
      </c>
      <c r="AV485" t="s">
        <v>78</v>
      </c>
      <c r="AX485" t="s">
        <v>2587</v>
      </c>
    </row>
    <row r="486" spans="1:50">
      <c r="A486">
        <v>33</v>
      </c>
      <c r="B486">
        <v>33</v>
      </c>
      <c r="C486" t="s">
        <v>74</v>
      </c>
      <c r="D486" t="s">
        <v>1353</v>
      </c>
      <c r="E486" t="s">
        <v>1354</v>
      </c>
      <c r="F486">
        <v>3511</v>
      </c>
      <c r="G486" s="23" t="s">
        <v>836</v>
      </c>
      <c r="H486" t="s">
        <v>2490</v>
      </c>
      <c r="I486" t="s">
        <v>2491</v>
      </c>
      <c r="K486" s="149">
        <v>0</v>
      </c>
      <c r="L486" s="149">
        <v>2675420</v>
      </c>
      <c r="M486" s="149">
        <v>508330</v>
      </c>
      <c r="N486" s="149">
        <v>3183750</v>
      </c>
      <c r="O486">
        <v>0</v>
      </c>
      <c r="P486">
        <v>0</v>
      </c>
      <c r="Q486">
        <v>0</v>
      </c>
      <c r="R486">
        <v>0</v>
      </c>
      <c r="S486">
        <v>0</v>
      </c>
      <c r="T486" t="s">
        <v>77</v>
      </c>
      <c r="U486">
        <v>0</v>
      </c>
      <c r="V486">
        <v>0</v>
      </c>
      <c r="W486">
        <v>0</v>
      </c>
      <c r="X486">
        <v>0</v>
      </c>
      <c r="Y486">
        <v>0</v>
      </c>
      <c r="AC486">
        <v>0</v>
      </c>
      <c r="AE486">
        <v>0</v>
      </c>
      <c r="AF486">
        <v>2</v>
      </c>
      <c r="AG486">
        <v>0</v>
      </c>
      <c r="AH486">
        <v>0</v>
      </c>
      <c r="AI486">
        <v>0</v>
      </c>
      <c r="AM486">
        <v>0</v>
      </c>
      <c r="AR486" t="s">
        <v>2555</v>
      </c>
      <c r="AS486" t="s">
        <v>1680</v>
      </c>
      <c r="AT486">
        <v>2024</v>
      </c>
      <c r="AU486">
        <v>12</v>
      </c>
      <c r="AV486" t="s">
        <v>78</v>
      </c>
      <c r="AX486" t="s">
        <v>2588</v>
      </c>
    </row>
    <row r="487" spans="1:50">
      <c r="A487">
        <v>34</v>
      </c>
      <c r="B487">
        <v>33</v>
      </c>
      <c r="C487" t="s">
        <v>74</v>
      </c>
      <c r="D487" t="s">
        <v>1558</v>
      </c>
      <c r="E487" t="s">
        <v>1559</v>
      </c>
      <c r="F487">
        <v>3512</v>
      </c>
      <c r="G487" s="23" t="s">
        <v>836</v>
      </c>
      <c r="H487" t="s">
        <v>2492</v>
      </c>
      <c r="I487" t="s">
        <v>2493</v>
      </c>
      <c r="K487" s="149">
        <v>0</v>
      </c>
      <c r="L487" s="149">
        <v>170400</v>
      </c>
      <c r="M487" s="149">
        <v>32376</v>
      </c>
      <c r="N487" s="149">
        <v>202776</v>
      </c>
      <c r="O487">
        <v>0</v>
      </c>
      <c r="P487">
        <v>0</v>
      </c>
      <c r="Q487">
        <v>0</v>
      </c>
      <c r="R487">
        <v>0</v>
      </c>
      <c r="S487">
        <v>0</v>
      </c>
      <c r="T487" t="s">
        <v>77</v>
      </c>
      <c r="U487">
        <v>0</v>
      </c>
      <c r="V487">
        <v>0</v>
      </c>
      <c r="W487">
        <v>0</v>
      </c>
      <c r="X487">
        <v>0</v>
      </c>
      <c r="Y487">
        <v>0</v>
      </c>
      <c r="AC487">
        <v>0</v>
      </c>
      <c r="AE487">
        <v>0</v>
      </c>
      <c r="AF487">
        <v>2</v>
      </c>
      <c r="AG487">
        <v>0</v>
      </c>
      <c r="AH487">
        <v>0</v>
      </c>
      <c r="AI487">
        <v>0</v>
      </c>
      <c r="AM487">
        <v>0</v>
      </c>
      <c r="AR487" t="s">
        <v>2555</v>
      </c>
      <c r="AS487" t="s">
        <v>1680</v>
      </c>
      <c r="AT487">
        <v>2024</v>
      </c>
      <c r="AU487">
        <v>12</v>
      </c>
      <c r="AV487" t="s">
        <v>78</v>
      </c>
      <c r="AX487" t="s">
        <v>2589</v>
      </c>
    </row>
    <row r="488" spans="1:50">
      <c r="A488">
        <v>35</v>
      </c>
      <c r="B488">
        <v>33</v>
      </c>
      <c r="C488" t="s">
        <v>74</v>
      </c>
      <c r="D488" t="s">
        <v>1569</v>
      </c>
      <c r="E488" t="s">
        <v>1570</v>
      </c>
      <c r="F488">
        <v>3513</v>
      </c>
      <c r="G488" s="23" t="s">
        <v>836</v>
      </c>
      <c r="H488" t="s">
        <v>2494</v>
      </c>
      <c r="I488" t="s">
        <v>2495</v>
      </c>
      <c r="K488" s="149">
        <v>0</v>
      </c>
      <c r="L488" s="149">
        <v>129816</v>
      </c>
      <c r="M488" s="149">
        <v>24665</v>
      </c>
      <c r="N488" s="149">
        <v>154481</v>
      </c>
      <c r="O488">
        <v>0</v>
      </c>
      <c r="P488">
        <v>0</v>
      </c>
      <c r="Q488">
        <v>0</v>
      </c>
      <c r="R488">
        <v>0</v>
      </c>
      <c r="S488">
        <v>0</v>
      </c>
      <c r="T488" t="s">
        <v>77</v>
      </c>
      <c r="U488">
        <v>0</v>
      </c>
      <c r="V488">
        <v>0</v>
      </c>
      <c r="W488">
        <v>0</v>
      </c>
      <c r="X488">
        <v>0</v>
      </c>
      <c r="Y488">
        <v>0</v>
      </c>
      <c r="AC488">
        <v>0</v>
      </c>
      <c r="AE488">
        <v>0</v>
      </c>
      <c r="AF488">
        <v>2</v>
      </c>
      <c r="AG488">
        <v>0</v>
      </c>
      <c r="AH488">
        <v>0</v>
      </c>
      <c r="AI488">
        <v>0</v>
      </c>
      <c r="AM488">
        <v>0</v>
      </c>
      <c r="AR488" t="s">
        <v>2555</v>
      </c>
      <c r="AS488" t="s">
        <v>1680</v>
      </c>
      <c r="AT488">
        <v>2024</v>
      </c>
      <c r="AU488">
        <v>12</v>
      </c>
      <c r="AV488" t="s">
        <v>78</v>
      </c>
      <c r="AX488" t="s">
        <v>2590</v>
      </c>
    </row>
    <row r="489" spans="1:50">
      <c r="A489">
        <v>36</v>
      </c>
      <c r="B489">
        <v>33</v>
      </c>
      <c r="C489" t="s">
        <v>74</v>
      </c>
      <c r="D489" t="s">
        <v>2140</v>
      </c>
      <c r="E489" t="s">
        <v>2141</v>
      </c>
      <c r="F489">
        <v>3514</v>
      </c>
      <c r="G489" s="23" t="s">
        <v>836</v>
      </c>
      <c r="H489" t="s">
        <v>2496</v>
      </c>
      <c r="K489" s="149">
        <v>0</v>
      </c>
      <c r="L489" s="149">
        <v>147020</v>
      </c>
      <c r="M489" s="149">
        <v>27934</v>
      </c>
      <c r="N489" s="149">
        <v>174954</v>
      </c>
      <c r="O489">
        <v>0</v>
      </c>
      <c r="P489">
        <v>0</v>
      </c>
      <c r="Q489">
        <v>0</v>
      </c>
      <c r="R489">
        <v>0</v>
      </c>
      <c r="S489">
        <v>0</v>
      </c>
      <c r="T489" t="s">
        <v>77</v>
      </c>
      <c r="U489">
        <v>0</v>
      </c>
      <c r="V489">
        <v>0</v>
      </c>
      <c r="W489">
        <v>0</v>
      </c>
      <c r="X489">
        <v>0</v>
      </c>
      <c r="Y489">
        <v>0</v>
      </c>
      <c r="AC489">
        <v>0</v>
      </c>
      <c r="AE489">
        <v>0</v>
      </c>
      <c r="AF489">
        <v>2</v>
      </c>
      <c r="AG489">
        <v>0</v>
      </c>
      <c r="AH489">
        <v>0</v>
      </c>
      <c r="AI489">
        <v>0</v>
      </c>
      <c r="AM489">
        <v>0</v>
      </c>
      <c r="AR489" t="s">
        <v>2555</v>
      </c>
      <c r="AS489" t="s">
        <v>1680</v>
      </c>
      <c r="AT489">
        <v>2024</v>
      </c>
      <c r="AU489">
        <v>12</v>
      </c>
      <c r="AV489" t="s">
        <v>78</v>
      </c>
      <c r="AX489" t="s">
        <v>2591</v>
      </c>
    </row>
    <row r="490" spans="1:50">
      <c r="A490">
        <v>37</v>
      </c>
      <c r="B490">
        <v>33</v>
      </c>
      <c r="C490" t="s">
        <v>74</v>
      </c>
      <c r="D490" t="s">
        <v>1988</v>
      </c>
      <c r="E490" t="s">
        <v>1989</v>
      </c>
      <c r="F490">
        <v>3515</v>
      </c>
      <c r="G490" s="23" t="s">
        <v>837</v>
      </c>
      <c r="H490" t="s">
        <v>2497</v>
      </c>
      <c r="J490" t="s">
        <v>2498</v>
      </c>
      <c r="K490" s="149">
        <v>0</v>
      </c>
      <c r="L490" s="149">
        <v>1248038</v>
      </c>
      <c r="M490" s="149">
        <v>237127</v>
      </c>
      <c r="N490" s="149">
        <v>1485165</v>
      </c>
      <c r="O490">
        <v>0</v>
      </c>
      <c r="P490">
        <v>0</v>
      </c>
      <c r="Q490">
        <v>0</v>
      </c>
      <c r="R490">
        <v>0</v>
      </c>
      <c r="S490">
        <v>0</v>
      </c>
      <c r="T490" t="s">
        <v>77</v>
      </c>
      <c r="U490">
        <v>0</v>
      </c>
      <c r="V490">
        <v>0</v>
      </c>
      <c r="W490">
        <v>0</v>
      </c>
      <c r="X490">
        <v>0</v>
      </c>
      <c r="AC490">
        <v>0</v>
      </c>
      <c r="AE490">
        <v>0</v>
      </c>
      <c r="AF490">
        <v>2</v>
      </c>
      <c r="AG490">
        <v>0</v>
      </c>
      <c r="AH490">
        <v>0</v>
      </c>
      <c r="AI490">
        <v>0</v>
      </c>
      <c r="AM490">
        <v>0</v>
      </c>
      <c r="AR490" t="s">
        <v>2555</v>
      </c>
      <c r="AS490" t="s">
        <v>1680</v>
      </c>
      <c r="AT490">
        <v>2024</v>
      </c>
      <c r="AU490">
        <v>12</v>
      </c>
      <c r="AV490" t="s">
        <v>78</v>
      </c>
      <c r="AX490" t="s">
        <v>2592</v>
      </c>
    </row>
    <row r="491" spans="1:50">
      <c r="A491">
        <v>38</v>
      </c>
      <c r="B491">
        <v>33</v>
      </c>
      <c r="C491" t="s">
        <v>74</v>
      </c>
      <c r="D491" t="s">
        <v>1597</v>
      </c>
      <c r="E491" t="s">
        <v>1598</v>
      </c>
      <c r="F491">
        <v>3516</v>
      </c>
      <c r="G491" s="23" t="s">
        <v>836</v>
      </c>
      <c r="H491" t="s">
        <v>2499</v>
      </c>
      <c r="I491" t="s">
        <v>2500</v>
      </c>
      <c r="K491" s="149">
        <v>0</v>
      </c>
      <c r="L491" s="149">
        <v>179096</v>
      </c>
      <c r="M491" s="149">
        <v>34030</v>
      </c>
      <c r="N491" s="149">
        <v>213126</v>
      </c>
      <c r="O491">
        <v>0</v>
      </c>
      <c r="P491">
        <v>0</v>
      </c>
      <c r="Q491">
        <v>0</v>
      </c>
      <c r="R491">
        <v>0</v>
      </c>
      <c r="S491">
        <v>0</v>
      </c>
      <c r="T491" t="s">
        <v>77</v>
      </c>
      <c r="U491">
        <v>0</v>
      </c>
      <c r="V491">
        <v>0</v>
      </c>
      <c r="W491">
        <v>0</v>
      </c>
      <c r="X491">
        <v>0</v>
      </c>
      <c r="Y491">
        <v>0</v>
      </c>
      <c r="AC491">
        <v>0</v>
      </c>
      <c r="AE491">
        <v>0</v>
      </c>
      <c r="AF491">
        <v>2</v>
      </c>
      <c r="AG491">
        <v>0</v>
      </c>
      <c r="AH491">
        <v>0</v>
      </c>
      <c r="AI491">
        <v>0</v>
      </c>
      <c r="AM491">
        <v>0</v>
      </c>
      <c r="AR491" t="s">
        <v>2555</v>
      </c>
      <c r="AS491" t="s">
        <v>1680</v>
      </c>
      <c r="AT491">
        <v>2024</v>
      </c>
      <c r="AU491">
        <v>12</v>
      </c>
      <c r="AV491" t="s">
        <v>78</v>
      </c>
      <c r="AX491" t="s">
        <v>2593</v>
      </c>
    </row>
    <row r="492" spans="1:50">
      <c r="A492">
        <v>39</v>
      </c>
      <c r="B492">
        <v>33</v>
      </c>
      <c r="C492" t="s">
        <v>74</v>
      </c>
      <c r="D492" t="s">
        <v>1561</v>
      </c>
      <c r="E492" t="s">
        <v>1562</v>
      </c>
      <c r="F492">
        <v>3517</v>
      </c>
      <c r="G492" s="23" t="s">
        <v>837</v>
      </c>
      <c r="H492" t="s">
        <v>2501</v>
      </c>
      <c r="J492" t="s">
        <v>2502</v>
      </c>
      <c r="K492" s="149">
        <v>0</v>
      </c>
      <c r="L492" s="149">
        <v>19683000</v>
      </c>
      <c r="M492" s="149">
        <v>3739770</v>
      </c>
      <c r="N492" s="149">
        <v>23422770</v>
      </c>
      <c r="O492">
        <v>0</v>
      </c>
      <c r="P492">
        <v>0</v>
      </c>
      <c r="Q492">
        <v>0</v>
      </c>
      <c r="R492">
        <v>0</v>
      </c>
      <c r="S492">
        <v>0</v>
      </c>
      <c r="T492" t="s">
        <v>77</v>
      </c>
      <c r="U492">
        <v>0</v>
      </c>
      <c r="V492">
        <v>0</v>
      </c>
      <c r="W492">
        <v>0</v>
      </c>
      <c r="X492">
        <v>0</v>
      </c>
      <c r="Y492">
        <v>0</v>
      </c>
      <c r="AC492">
        <v>0</v>
      </c>
      <c r="AE492">
        <v>0</v>
      </c>
      <c r="AF492">
        <v>2</v>
      </c>
      <c r="AG492">
        <v>0</v>
      </c>
      <c r="AH492">
        <v>0</v>
      </c>
      <c r="AI492">
        <v>0</v>
      </c>
      <c r="AM492">
        <v>0</v>
      </c>
      <c r="AR492" t="s">
        <v>2555</v>
      </c>
      <c r="AS492" t="s">
        <v>1680</v>
      </c>
      <c r="AT492">
        <v>2024</v>
      </c>
      <c r="AU492">
        <v>12</v>
      </c>
      <c r="AV492" t="s">
        <v>78</v>
      </c>
      <c r="AX492" t="s">
        <v>2594</v>
      </c>
    </row>
    <row r="493" spans="1:50">
      <c r="A493">
        <v>40</v>
      </c>
      <c r="B493">
        <v>33</v>
      </c>
      <c r="C493" t="s">
        <v>74</v>
      </c>
      <c r="D493" t="s">
        <v>1222</v>
      </c>
      <c r="E493" t="s">
        <v>1223</v>
      </c>
      <c r="F493">
        <v>3518</v>
      </c>
      <c r="G493" s="23" t="s">
        <v>838</v>
      </c>
      <c r="H493" t="s">
        <v>2503</v>
      </c>
      <c r="I493" t="s">
        <v>2504</v>
      </c>
      <c r="K493" s="149">
        <v>0</v>
      </c>
      <c r="L493" s="149">
        <v>16218560</v>
      </c>
      <c r="M493" s="149">
        <v>3081526</v>
      </c>
      <c r="N493" s="149">
        <v>19300086</v>
      </c>
      <c r="O493">
        <v>0</v>
      </c>
      <c r="P493">
        <v>0</v>
      </c>
      <c r="Q493">
        <v>0</v>
      </c>
      <c r="R493">
        <v>0</v>
      </c>
      <c r="S493">
        <v>0</v>
      </c>
      <c r="T493" t="s">
        <v>77</v>
      </c>
      <c r="U493">
        <v>0</v>
      </c>
      <c r="V493">
        <v>0</v>
      </c>
      <c r="W493">
        <v>0</v>
      </c>
      <c r="X493">
        <v>0</v>
      </c>
      <c r="AC493">
        <v>0</v>
      </c>
      <c r="AE493">
        <v>0</v>
      </c>
      <c r="AF493">
        <v>2</v>
      </c>
      <c r="AG493">
        <v>0</v>
      </c>
      <c r="AH493">
        <v>0</v>
      </c>
      <c r="AI493">
        <v>0</v>
      </c>
      <c r="AM493">
        <v>0</v>
      </c>
      <c r="AR493" t="s">
        <v>2555</v>
      </c>
      <c r="AS493" t="s">
        <v>1680</v>
      </c>
      <c r="AT493">
        <v>2024</v>
      </c>
      <c r="AU493">
        <v>12</v>
      </c>
      <c r="AV493" t="s">
        <v>78</v>
      </c>
      <c r="AX493" t="s">
        <v>2595</v>
      </c>
    </row>
    <row r="494" spans="1:50">
      <c r="A494">
        <v>41</v>
      </c>
      <c r="B494">
        <v>33</v>
      </c>
      <c r="C494" t="s">
        <v>74</v>
      </c>
      <c r="D494" t="s">
        <v>1988</v>
      </c>
      <c r="E494" t="s">
        <v>1989</v>
      </c>
      <c r="F494">
        <v>3519</v>
      </c>
      <c r="G494" s="23" t="s">
        <v>836</v>
      </c>
      <c r="H494" t="s">
        <v>2505</v>
      </c>
      <c r="I494" t="s">
        <v>2506</v>
      </c>
      <c r="K494" s="149">
        <v>0</v>
      </c>
      <c r="L494" s="149">
        <v>1202640</v>
      </c>
      <c r="M494" s="149">
        <v>228501</v>
      </c>
      <c r="N494" s="149">
        <v>1431141</v>
      </c>
      <c r="O494">
        <v>0</v>
      </c>
      <c r="P494">
        <v>0</v>
      </c>
      <c r="Q494">
        <v>0</v>
      </c>
      <c r="R494">
        <v>0</v>
      </c>
      <c r="S494">
        <v>0</v>
      </c>
      <c r="T494" t="s">
        <v>77</v>
      </c>
      <c r="U494">
        <v>0</v>
      </c>
      <c r="V494">
        <v>0</v>
      </c>
      <c r="W494">
        <v>0</v>
      </c>
      <c r="X494">
        <v>0</v>
      </c>
      <c r="AC494">
        <v>0</v>
      </c>
      <c r="AE494">
        <v>0</v>
      </c>
      <c r="AF494">
        <v>2</v>
      </c>
      <c r="AG494">
        <v>0</v>
      </c>
      <c r="AH494">
        <v>0</v>
      </c>
      <c r="AI494">
        <v>0</v>
      </c>
      <c r="AM494">
        <v>0</v>
      </c>
      <c r="AR494" t="s">
        <v>2555</v>
      </c>
      <c r="AS494" t="s">
        <v>1680</v>
      </c>
      <c r="AT494">
        <v>2024</v>
      </c>
      <c r="AU494">
        <v>12</v>
      </c>
      <c r="AV494" t="s">
        <v>78</v>
      </c>
      <c r="AX494" t="s">
        <v>2596</v>
      </c>
    </row>
    <row r="495" spans="1:50">
      <c r="A495">
        <v>42</v>
      </c>
      <c r="B495">
        <v>33</v>
      </c>
      <c r="C495" t="s">
        <v>74</v>
      </c>
      <c r="D495" t="s">
        <v>2329</v>
      </c>
      <c r="E495" t="s">
        <v>2330</v>
      </c>
      <c r="F495">
        <v>3520</v>
      </c>
      <c r="G495" s="23" t="s">
        <v>838</v>
      </c>
      <c r="H495" t="s">
        <v>2507</v>
      </c>
      <c r="I495" t="s">
        <v>2508</v>
      </c>
      <c r="K495" s="149">
        <v>0</v>
      </c>
      <c r="L495" s="149">
        <v>336000</v>
      </c>
      <c r="M495" s="149">
        <v>63840</v>
      </c>
      <c r="N495" s="149">
        <v>399840</v>
      </c>
      <c r="O495">
        <v>0</v>
      </c>
      <c r="P495">
        <v>0</v>
      </c>
      <c r="Q495">
        <v>0</v>
      </c>
      <c r="R495">
        <v>0</v>
      </c>
      <c r="S495">
        <v>0</v>
      </c>
      <c r="T495" t="s">
        <v>77</v>
      </c>
      <c r="U495">
        <v>0</v>
      </c>
      <c r="V495">
        <v>0</v>
      </c>
      <c r="W495">
        <v>0</v>
      </c>
      <c r="X495">
        <v>0</v>
      </c>
      <c r="Y495">
        <v>0</v>
      </c>
      <c r="AC495">
        <v>0</v>
      </c>
      <c r="AE495">
        <v>0</v>
      </c>
      <c r="AF495">
        <v>2</v>
      </c>
      <c r="AG495">
        <v>0</v>
      </c>
      <c r="AH495">
        <v>0</v>
      </c>
      <c r="AI495">
        <v>0</v>
      </c>
      <c r="AM495">
        <v>0</v>
      </c>
      <c r="AR495" t="s">
        <v>2555</v>
      </c>
      <c r="AS495" t="s">
        <v>1680</v>
      </c>
      <c r="AT495">
        <v>2024</v>
      </c>
      <c r="AU495">
        <v>12</v>
      </c>
      <c r="AV495" t="s">
        <v>78</v>
      </c>
      <c r="AX495" t="s">
        <v>2597</v>
      </c>
    </row>
    <row r="496" spans="1:50">
      <c r="A496">
        <v>43</v>
      </c>
      <c r="B496">
        <v>33</v>
      </c>
      <c r="C496" t="s">
        <v>74</v>
      </c>
      <c r="D496" t="s">
        <v>2509</v>
      </c>
      <c r="E496" t="s">
        <v>2510</v>
      </c>
      <c r="F496">
        <v>3521</v>
      </c>
      <c r="G496" s="23" t="s">
        <v>838</v>
      </c>
      <c r="H496" t="s">
        <v>2511</v>
      </c>
      <c r="I496" t="s">
        <v>2512</v>
      </c>
      <c r="K496" s="149">
        <v>0</v>
      </c>
      <c r="L496" s="149">
        <v>288712</v>
      </c>
      <c r="M496" s="149">
        <v>54856</v>
      </c>
      <c r="N496" s="149">
        <v>343568</v>
      </c>
      <c r="O496">
        <v>0</v>
      </c>
      <c r="P496">
        <v>0</v>
      </c>
      <c r="Q496">
        <v>0</v>
      </c>
      <c r="R496">
        <v>0</v>
      </c>
      <c r="S496">
        <v>0</v>
      </c>
      <c r="T496" t="s">
        <v>77</v>
      </c>
      <c r="U496">
        <v>0</v>
      </c>
      <c r="V496">
        <v>0</v>
      </c>
      <c r="W496">
        <v>0</v>
      </c>
      <c r="X496">
        <v>0</v>
      </c>
      <c r="Y496">
        <v>0</v>
      </c>
      <c r="AC496">
        <v>0</v>
      </c>
      <c r="AE496">
        <v>0</v>
      </c>
      <c r="AF496">
        <v>2</v>
      </c>
      <c r="AG496">
        <v>0</v>
      </c>
      <c r="AH496">
        <v>0</v>
      </c>
      <c r="AI496">
        <v>0</v>
      </c>
      <c r="AM496">
        <v>0</v>
      </c>
      <c r="AR496" t="s">
        <v>2555</v>
      </c>
      <c r="AS496" t="s">
        <v>1680</v>
      </c>
      <c r="AT496">
        <v>2024</v>
      </c>
      <c r="AU496">
        <v>12</v>
      </c>
      <c r="AV496" t="s">
        <v>78</v>
      </c>
      <c r="AX496" t="s">
        <v>2598</v>
      </c>
    </row>
    <row r="497" spans="1:50">
      <c r="A497">
        <v>44</v>
      </c>
      <c r="B497">
        <v>33</v>
      </c>
      <c r="C497" t="s">
        <v>74</v>
      </c>
      <c r="D497" t="s">
        <v>1571</v>
      </c>
      <c r="E497" t="s">
        <v>1572</v>
      </c>
      <c r="F497">
        <v>3522</v>
      </c>
      <c r="G497" s="23" t="s">
        <v>838</v>
      </c>
      <c r="H497" t="s">
        <v>2513</v>
      </c>
      <c r="I497" t="s">
        <v>2514</v>
      </c>
      <c r="K497" s="149">
        <v>0</v>
      </c>
      <c r="L497" s="149">
        <v>12877292</v>
      </c>
      <c r="M497" s="149">
        <v>2446686</v>
      </c>
      <c r="N497" s="149">
        <v>15323978</v>
      </c>
      <c r="O497">
        <v>0</v>
      </c>
      <c r="P497">
        <v>0</v>
      </c>
      <c r="Q497">
        <v>0</v>
      </c>
      <c r="R497">
        <v>0</v>
      </c>
      <c r="S497">
        <v>0</v>
      </c>
      <c r="T497" t="s">
        <v>77</v>
      </c>
      <c r="U497">
        <v>0</v>
      </c>
      <c r="V497">
        <v>0</v>
      </c>
      <c r="W497">
        <v>0</v>
      </c>
      <c r="X497">
        <v>0</v>
      </c>
      <c r="AC497">
        <v>0</v>
      </c>
      <c r="AE497">
        <v>0</v>
      </c>
      <c r="AF497">
        <v>2</v>
      </c>
      <c r="AG497">
        <v>0</v>
      </c>
      <c r="AH497">
        <v>0</v>
      </c>
      <c r="AI497">
        <v>0</v>
      </c>
      <c r="AM497">
        <v>0</v>
      </c>
      <c r="AR497" t="s">
        <v>2555</v>
      </c>
      <c r="AS497" t="s">
        <v>1680</v>
      </c>
      <c r="AT497">
        <v>2024</v>
      </c>
      <c r="AU497">
        <v>12</v>
      </c>
      <c r="AV497" t="s">
        <v>78</v>
      </c>
      <c r="AX497" t="s">
        <v>2599</v>
      </c>
    </row>
    <row r="498" spans="1:50">
      <c r="A498">
        <v>45</v>
      </c>
      <c r="B498">
        <v>33</v>
      </c>
      <c r="C498" t="s">
        <v>74</v>
      </c>
      <c r="D498" t="s">
        <v>1581</v>
      </c>
      <c r="E498" t="s">
        <v>1582</v>
      </c>
      <c r="F498">
        <v>3523</v>
      </c>
      <c r="G498" s="23" t="s">
        <v>838</v>
      </c>
      <c r="H498" t="s">
        <v>2515</v>
      </c>
      <c r="I498" t="s">
        <v>2516</v>
      </c>
      <c r="K498" s="149">
        <v>0</v>
      </c>
      <c r="L498" s="149">
        <v>950855</v>
      </c>
      <c r="M498" s="149">
        <v>180663</v>
      </c>
      <c r="N498" s="149">
        <v>1131518</v>
      </c>
      <c r="O498">
        <v>0</v>
      </c>
      <c r="P498">
        <v>0</v>
      </c>
      <c r="Q498">
        <v>0</v>
      </c>
      <c r="R498">
        <v>0</v>
      </c>
      <c r="S498">
        <v>0</v>
      </c>
      <c r="T498" t="s">
        <v>77</v>
      </c>
      <c r="U498">
        <v>0</v>
      </c>
      <c r="V498">
        <v>0</v>
      </c>
      <c r="W498">
        <v>0</v>
      </c>
      <c r="X498">
        <v>0</v>
      </c>
      <c r="Y498">
        <v>0</v>
      </c>
      <c r="AC498">
        <v>0</v>
      </c>
      <c r="AE498">
        <v>0</v>
      </c>
      <c r="AF498">
        <v>2</v>
      </c>
      <c r="AG498">
        <v>0</v>
      </c>
      <c r="AH498">
        <v>0</v>
      </c>
      <c r="AI498">
        <v>0</v>
      </c>
      <c r="AM498">
        <v>0</v>
      </c>
      <c r="AR498" t="s">
        <v>2555</v>
      </c>
      <c r="AS498" t="s">
        <v>1680</v>
      </c>
      <c r="AT498">
        <v>2024</v>
      </c>
      <c r="AU498">
        <v>12</v>
      </c>
      <c r="AV498" t="s">
        <v>78</v>
      </c>
      <c r="AX498" t="s">
        <v>2600</v>
      </c>
    </row>
    <row r="499" spans="1:50">
      <c r="A499">
        <v>46</v>
      </c>
      <c r="B499">
        <v>33</v>
      </c>
      <c r="C499" t="s">
        <v>74</v>
      </c>
      <c r="D499" t="s">
        <v>1561</v>
      </c>
      <c r="E499" t="s">
        <v>1562</v>
      </c>
      <c r="F499">
        <v>3524</v>
      </c>
      <c r="G499" s="23" t="s">
        <v>839</v>
      </c>
      <c r="H499" s="2" t="s">
        <v>2517</v>
      </c>
      <c r="K499" s="149">
        <v>0</v>
      </c>
      <c r="L499" s="149">
        <v>19683000</v>
      </c>
      <c r="M499" s="149">
        <v>3739770</v>
      </c>
      <c r="N499" s="149">
        <v>23422770</v>
      </c>
      <c r="O499">
        <v>0</v>
      </c>
      <c r="P499">
        <v>0</v>
      </c>
      <c r="Q499">
        <v>0</v>
      </c>
      <c r="R499">
        <v>0</v>
      </c>
      <c r="S499">
        <v>0</v>
      </c>
      <c r="T499" t="s">
        <v>77</v>
      </c>
      <c r="U499">
        <v>0</v>
      </c>
      <c r="V499">
        <v>0</v>
      </c>
      <c r="W499">
        <v>0</v>
      </c>
      <c r="X499">
        <v>0</v>
      </c>
      <c r="Y499">
        <v>0</v>
      </c>
      <c r="AC499">
        <v>0</v>
      </c>
      <c r="AE499">
        <v>0</v>
      </c>
      <c r="AF499">
        <v>2</v>
      </c>
      <c r="AG499">
        <v>0</v>
      </c>
      <c r="AH499">
        <v>0</v>
      </c>
      <c r="AI499">
        <v>0</v>
      </c>
      <c r="AM499">
        <v>0</v>
      </c>
      <c r="AR499" t="s">
        <v>2555</v>
      </c>
      <c r="AS499" t="s">
        <v>1680</v>
      </c>
      <c r="AT499">
        <v>2024</v>
      </c>
      <c r="AU499">
        <v>12</v>
      </c>
      <c r="AV499" t="s">
        <v>78</v>
      </c>
      <c r="AX499" t="s">
        <v>2601</v>
      </c>
    </row>
    <row r="500" spans="1:50">
      <c r="A500">
        <v>47</v>
      </c>
      <c r="B500">
        <v>33</v>
      </c>
      <c r="C500" t="s">
        <v>74</v>
      </c>
      <c r="D500" t="s">
        <v>1988</v>
      </c>
      <c r="E500" t="s">
        <v>1989</v>
      </c>
      <c r="F500">
        <v>3525</v>
      </c>
      <c r="G500" s="23" t="s">
        <v>838</v>
      </c>
      <c r="H500" s="2" t="s">
        <v>2518</v>
      </c>
      <c r="J500" t="s">
        <v>2519</v>
      </c>
      <c r="K500" s="149">
        <v>0</v>
      </c>
      <c r="L500" s="149">
        <v>1177180</v>
      </c>
      <c r="M500" s="149">
        <v>223664</v>
      </c>
      <c r="N500" s="149">
        <v>1400844</v>
      </c>
      <c r="O500">
        <v>0</v>
      </c>
      <c r="P500">
        <v>0</v>
      </c>
      <c r="Q500">
        <v>0</v>
      </c>
      <c r="R500">
        <v>0</v>
      </c>
      <c r="S500">
        <v>0</v>
      </c>
      <c r="T500" t="s">
        <v>77</v>
      </c>
      <c r="U500">
        <v>0</v>
      </c>
      <c r="V500">
        <v>0</v>
      </c>
      <c r="W500">
        <v>0</v>
      </c>
      <c r="X500">
        <v>0</v>
      </c>
      <c r="AC500">
        <v>0</v>
      </c>
      <c r="AE500">
        <v>0</v>
      </c>
      <c r="AF500">
        <v>2</v>
      </c>
      <c r="AG500">
        <v>0</v>
      </c>
      <c r="AH500">
        <v>0</v>
      </c>
      <c r="AI500">
        <v>0</v>
      </c>
      <c r="AM500">
        <v>0</v>
      </c>
      <c r="AR500" t="s">
        <v>2555</v>
      </c>
      <c r="AS500" t="s">
        <v>1680</v>
      </c>
      <c r="AT500">
        <v>2024</v>
      </c>
      <c r="AU500">
        <v>12</v>
      </c>
      <c r="AV500" t="s">
        <v>78</v>
      </c>
      <c r="AX500" t="s">
        <v>2602</v>
      </c>
    </row>
    <row r="501" spans="1:50">
      <c r="A501">
        <v>48</v>
      </c>
      <c r="B501">
        <v>33</v>
      </c>
      <c r="C501" t="s">
        <v>74</v>
      </c>
      <c r="D501" t="s">
        <v>1353</v>
      </c>
      <c r="E501" t="s">
        <v>1354</v>
      </c>
      <c r="F501">
        <v>3526</v>
      </c>
      <c r="G501" s="23" t="s">
        <v>840</v>
      </c>
      <c r="H501" s="2" t="s">
        <v>2520</v>
      </c>
      <c r="I501" t="s">
        <v>2521</v>
      </c>
      <c r="K501" s="149">
        <v>0</v>
      </c>
      <c r="L501" s="149">
        <v>3765520</v>
      </c>
      <c r="M501" s="149">
        <v>715450</v>
      </c>
      <c r="N501" s="149">
        <v>4480970</v>
      </c>
      <c r="O501">
        <v>0</v>
      </c>
      <c r="P501">
        <v>0</v>
      </c>
      <c r="Q501">
        <v>0</v>
      </c>
      <c r="R501">
        <v>0</v>
      </c>
      <c r="S501">
        <v>0</v>
      </c>
      <c r="T501" t="s">
        <v>77</v>
      </c>
      <c r="U501">
        <v>0</v>
      </c>
      <c r="V501">
        <v>0</v>
      </c>
      <c r="W501">
        <v>0</v>
      </c>
      <c r="X501">
        <v>0</v>
      </c>
      <c r="Y501">
        <v>0</v>
      </c>
      <c r="AC501">
        <v>0</v>
      </c>
      <c r="AE501">
        <v>0</v>
      </c>
      <c r="AF501">
        <v>2</v>
      </c>
      <c r="AG501">
        <v>0</v>
      </c>
      <c r="AH501">
        <v>0</v>
      </c>
      <c r="AI501">
        <v>0</v>
      </c>
      <c r="AM501">
        <v>0</v>
      </c>
      <c r="AR501" t="s">
        <v>2555</v>
      </c>
      <c r="AS501" t="s">
        <v>1680</v>
      </c>
      <c r="AT501">
        <v>2024</v>
      </c>
      <c r="AU501">
        <v>12</v>
      </c>
      <c r="AV501" t="s">
        <v>78</v>
      </c>
      <c r="AX501" t="s">
        <v>2603</v>
      </c>
    </row>
    <row r="502" spans="1:50">
      <c r="A502">
        <v>49</v>
      </c>
      <c r="B502">
        <v>33</v>
      </c>
      <c r="C502" t="s">
        <v>74</v>
      </c>
      <c r="D502" t="s">
        <v>1631</v>
      </c>
      <c r="E502" t="s">
        <v>1632</v>
      </c>
      <c r="F502">
        <v>3527</v>
      </c>
      <c r="G502" s="23" t="s">
        <v>840</v>
      </c>
      <c r="H502" s="2" t="s">
        <v>2522</v>
      </c>
      <c r="K502" s="149">
        <v>0</v>
      </c>
      <c r="L502" s="149">
        <v>355605</v>
      </c>
      <c r="M502" s="149">
        <v>67565</v>
      </c>
      <c r="N502" s="149">
        <v>423170</v>
      </c>
      <c r="O502">
        <v>0</v>
      </c>
      <c r="P502">
        <v>0</v>
      </c>
      <c r="Q502">
        <v>0</v>
      </c>
      <c r="R502">
        <v>0</v>
      </c>
      <c r="S502">
        <v>0</v>
      </c>
      <c r="T502" t="s">
        <v>77</v>
      </c>
      <c r="U502">
        <v>0</v>
      </c>
      <c r="V502">
        <v>0</v>
      </c>
      <c r="W502">
        <v>0</v>
      </c>
      <c r="X502">
        <v>0</v>
      </c>
      <c r="Y502">
        <v>0</v>
      </c>
      <c r="AC502">
        <v>0</v>
      </c>
      <c r="AE502">
        <v>0</v>
      </c>
      <c r="AF502">
        <v>2</v>
      </c>
      <c r="AG502">
        <v>0</v>
      </c>
      <c r="AH502">
        <v>0</v>
      </c>
      <c r="AI502">
        <v>0</v>
      </c>
      <c r="AM502">
        <v>0</v>
      </c>
      <c r="AR502" t="s">
        <v>2555</v>
      </c>
      <c r="AS502" t="s">
        <v>1680</v>
      </c>
      <c r="AT502">
        <v>2024</v>
      </c>
      <c r="AU502">
        <v>12</v>
      </c>
      <c r="AV502" t="s">
        <v>78</v>
      </c>
      <c r="AX502" t="s">
        <v>2604</v>
      </c>
    </row>
    <row r="503" spans="1:50">
      <c r="A503">
        <v>50</v>
      </c>
      <c r="B503">
        <v>33</v>
      </c>
      <c r="C503" t="s">
        <v>74</v>
      </c>
      <c r="D503" t="s">
        <v>1222</v>
      </c>
      <c r="E503" t="s">
        <v>1223</v>
      </c>
      <c r="F503">
        <v>3528</v>
      </c>
      <c r="G503" s="23" t="s">
        <v>840</v>
      </c>
      <c r="H503" s="2" t="s">
        <v>2523</v>
      </c>
      <c r="I503" t="s">
        <v>2524</v>
      </c>
      <c r="K503" s="149">
        <v>0</v>
      </c>
      <c r="L503" s="149">
        <v>4025277</v>
      </c>
      <c r="M503" s="149">
        <v>764803</v>
      </c>
      <c r="N503" s="149">
        <v>4790080</v>
      </c>
      <c r="O503">
        <v>0</v>
      </c>
      <c r="P503">
        <v>0</v>
      </c>
      <c r="Q503">
        <v>0</v>
      </c>
      <c r="R503">
        <v>0</v>
      </c>
      <c r="S503">
        <v>0</v>
      </c>
      <c r="T503" t="s">
        <v>77</v>
      </c>
      <c r="U503">
        <v>0</v>
      </c>
      <c r="V503">
        <v>0</v>
      </c>
      <c r="W503">
        <v>0</v>
      </c>
      <c r="X503">
        <v>0</v>
      </c>
      <c r="AC503">
        <v>0</v>
      </c>
      <c r="AE503">
        <v>0</v>
      </c>
      <c r="AF503">
        <v>2</v>
      </c>
      <c r="AG503">
        <v>0</v>
      </c>
      <c r="AH503">
        <v>0</v>
      </c>
      <c r="AI503">
        <v>0</v>
      </c>
      <c r="AM503">
        <v>0</v>
      </c>
      <c r="AR503" t="s">
        <v>2555</v>
      </c>
      <c r="AS503" t="s">
        <v>1680</v>
      </c>
      <c r="AT503">
        <v>2024</v>
      </c>
      <c r="AU503">
        <v>12</v>
      </c>
      <c r="AV503" t="s">
        <v>78</v>
      </c>
      <c r="AX503" t="s">
        <v>2605</v>
      </c>
    </row>
    <row r="504" spans="1:50">
      <c r="A504">
        <v>51</v>
      </c>
      <c r="B504">
        <v>33</v>
      </c>
      <c r="C504" t="s">
        <v>74</v>
      </c>
      <c r="D504" t="s">
        <v>1592</v>
      </c>
      <c r="E504" t="s">
        <v>1593</v>
      </c>
      <c r="F504">
        <v>3529</v>
      </c>
      <c r="G504" s="23" t="s">
        <v>840</v>
      </c>
      <c r="H504" s="2" t="s">
        <v>2525</v>
      </c>
      <c r="K504" s="149">
        <v>0</v>
      </c>
      <c r="L504" s="149">
        <v>18590</v>
      </c>
      <c r="M504" s="149">
        <v>3532</v>
      </c>
      <c r="N504" s="149">
        <v>22122</v>
      </c>
      <c r="O504">
        <v>0</v>
      </c>
      <c r="P504">
        <v>0</v>
      </c>
      <c r="Q504">
        <v>0</v>
      </c>
      <c r="R504">
        <v>0</v>
      </c>
      <c r="S504">
        <v>0</v>
      </c>
      <c r="T504" t="s">
        <v>77</v>
      </c>
      <c r="U504">
        <v>0</v>
      </c>
      <c r="V504">
        <v>0</v>
      </c>
      <c r="W504">
        <v>0</v>
      </c>
      <c r="X504">
        <v>0</v>
      </c>
      <c r="Y504">
        <v>0</v>
      </c>
      <c r="AC504">
        <v>0</v>
      </c>
      <c r="AE504">
        <v>0</v>
      </c>
      <c r="AF504">
        <v>2</v>
      </c>
      <c r="AG504">
        <v>0</v>
      </c>
      <c r="AH504">
        <v>0</v>
      </c>
      <c r="AI504">
        <v>0</v>
      </c>
      <c r="AM504">
        <v>0</v>
      </c>
      <c r="AR504" t="s">
        <v>2555</v>
      </c>
      <c r="AS504" t="s">
        <v>1680</v>
      </c>
      <c r="AT504">
        <v>2024</v>
      </c>
      <c r="AU504">
        <v>12</v>
      </c>
      <c r="AV504" t="s">
        <v>78</v>
      </c>
      <c r="AX504" t="s">
        <v>2606</v>
      </c>
    </row>
    <row r="505" spans="1:50">
      <c r="A505">
        <v>52</v>
      </c>
      <c r="B505">
        <v>33</v>
      </c>
      <c r="C505" t="s">
        <v>74</v>
      </c>
      <c r="D505" t="s">
        <v>1592</v>
      </c>
      <c r="E505" t="s">
        <v>1593</v>
      </c>
      <c r="F505">
        <v>3530</v>
      </c>
      <c r="G505" s="23" t="s">
        <v>840</v>
      </c>
      <c r="H505" s="2" t="s">
        <v>2526</v>
      </c>
      <c r="I505" t="s">
        <v>2527</v>
      </c>
      <c r="K505" s="149">
        <v>0</v>
      </c>
      <c r="L505" s="149">
        <v>167310</v>
      </c>
      <c r="M505" s="149">
        <v>31789</v>
      </c>
      <c r="N505" s="149">
        <v>199099</v>
      </c>
      <c r="O505">
        <v>0</v>
      </c>
      <c r="P505">
        <v>0</v>
      </c>
      <c r="Q505">
        <v>0</v>
      </c>
      <c r="R505">
        <v>0</v>
      </c>
      <c r="S505">
        <v>0</v>
      </c>
      <c r="T505" t="s">
        <v>77</v>
      </c>
      <c r="U505">
        <v>0</v>
      </c>
      <c r="V505">
        <v>0</v>
      </c>
      <c r="W505">
        <v>0</v>
      </c>
      <c r="X505">
        <v>0</v>
      </c>
      <c r="Y505">
        <v>0</v>
      </c>
      <c r="AC505">
        <v>0</v>
      </c>
      <c r="AE505">
        <v>0</v>
      </c>
      <c r="AF505">
        <v>2</v>
      </c>
      <c r="AG505">
        <v>0</v>
      </c>
      <c r="AH505">
        <v>0</v>
      </c>
      <c r="AI505">
        <v>0</v>
      </c>
      <c r="AM505">
        <v>0</v>
      </c>
      <c r="AR505" t="s">
        <v>2555</v>
      </c>
      <c r="AS505" t="s">
        <v>1680</v>
      </c>
      <c r="AT505">
        <v>2024</v>
      </c>
      <c r="AU505">
        <v>12</v>
      </c>
      <c r="AV505" t="s">
        <v>78</v>
      </c>
      <c r="AX505" t="s">
        <v>2607</v>
      </c>
    </row>
    <row r="506" spans="1:50">
      <c r="A506">
        <v>53</v>
      </c>
      <c r="B506">
        <v>33</v>
      </c>
      <c r="C506" t="s">
        <v>74</v>
      </c>
      <c r="D506" t="s">
        <v>1222</v>
      </c>
      <c r="E506" t="s">
        <v>1223</v>
      </c>
      <c r="F506">
        <v>3531</v>
      </c>
      <c r="G506" s="23" t="s">
        <v>841</v>
      </c>
      <c r="H506" s="2" t="s">
        <v>2528</v>
      </c>
      <c r="I506" t="s">
        <v>2529</v>
      </c>
      <c r="K506" s="149">
        <v>0</v>
      </c>
      <c r="L506" s="149">
        <v>12581560</v>
      </c>
      <c r="M506" s="149">
        <v>2390495</v>
      </c>
      <c r="N506" s="149">
        <v>14972055</v>
      </c>
      <c r="O506">
        <v>0</v>
      </c>
      <c r="P506">
        <v>0</v>
      </c>
      <c r="Q506">
        <v>0</v>
      </c>
      <c r="R506">
        <v>0</v>
      </c>
      <c r="S506">
        <v>0</v>
      </c>
      <c r="T506" t="s">
        <v>77</v>
      </c>
      <c r="U506">
        <v>0</v>
      </c>
      <c r="V506">
        <v>0</v>
      </c>
      <c r="W506">
        <v>0</v>
      </c>
      <c r="X506">
        <v>0</v>
      </c>
      <c r="AC506">
        <v>0</v>
      </c>
      <c r="AE506">
        <v>0</v>
      </c>
      <c r="AF506">
        <v>2</v>
      </c>
      <c r="AG506">
        <v>0</v>
      </c>
      <c r="AH506">
        <v>0</v>
      </c>
      <c r="AI506">
        <v>0</v>
      </c>
      <c r="AM506">
        <v>0</v>
      </c>
      <c r="AR506" t="s">
        <v>2555</v>
      </c>
      <c r="AS506" t="s">
        <v>1680</v>
      </c>
      <c r="AT506">
        <v>2024</v>
      </c>
      <c r="AU506">
        <v>12</v>
      </c>
      <c r="AV506" t="s">
        <v>78</v>
      </c>
      <c r="AX506" t="s">
        <v>2608</v>
      </c>
    </row>
    <row r="507" spans="1:50">
      <c r="A507">
        <v>54</v>
      </c>
      <c r="B507">
        <v>33</v>
      </c>
      <c r="C507" t="s">
        <v>74</v>
      </c>
      <c r="D507" t="s">
        <v>1353</v>
      </c>
      <c r="E507" t="s">
        <v>1354</v>
      </c>
      <c r="F507">
        <v>3532</v>
      </c>
      <c r="G507" s="23" t="s">
        <v>841</v>
      </c>
      <c r="H507" s="2" t="s">
        <v>2530</v>
      </c>
      <c r="I507" t="s">
        <v>2531</v>
      </c>
      <c r="K507" s="149">
        <v>0</v>
      </c>
      <c r="L507" s="149">
        <v>357720</v>
      </c>
      <c r="M507" s="149">
        <v>67967</v>
      </c>
      <c r="N507" s="149">
        <v>425687</v>
      </c>
      <c r="O507">
        <v>0</v>
      </c>
      <c r="P507">
        <v>0</v>
      </c>
      <c r="Q507">
        <v>0</v>
      </c>
      <c r="R507">
        <v>0</v>
      </c>
      <c r="S507">
        <v>0</v>
      </c>
      <c r="T507" t="s">
        <v>77</v>
      </c>
      <c r="U507">
        <v>0</v>
      </c>
      <c r="V507">
        <v>0</v>
      </c>
      <c r="W507">
        <v>0</v>
      </c>
      <c r="X507">
        <v>0</v>
      </c>
      <c r="Y507">
        <v>0</v>
      </c>
      <c r="AC507">
        <v>0</v>
      </c>
      <c r="AE507">
        <v>0</v>
      </c>
      <c r="AF507">
        <v>2</v>
      </c>
      <c r="AG507">
        <v>0</v>
      </c>
      <c r="AH507">
        <v>0</v>
      </c>
      <c r="AI507">
        <v>0</v>
      </c>
      <c r="AM507">
        <v>0</v>
      </c>
      <c r="AR507" t="s">
        <v>2555</v>
      </c>
      <c r="AS507" t="s">
        <v>1680</v>
      </c>
      <c r="AT507">
        <v>2024</v>
      </c>
      <c r="AU507">
        <v>12</v>
      </c>
      <c r="AV507" t="s">
        <v>78</v>
      </c>
      <c r="AX507" t="s">
        <v>2609</v>
      </c>
    </row>
    <row r="508" spans="1:50">
      <c r="A508">
        <v>55</v>
      </c>
      <c r="B508">
        <v>33</v>
      </c>
      <c r="C508" t="s">
        <v>74</v>
      </c>
      <c r="D508" t="s">
        <v>1222</v>
      </c>
      <c r="E508" t="s">
        <v>1223</v>
      </c>
      <c r="F508">
        <v>3533</v>
      </c>
      <c r="G508" s="23" t="s">
        <v>842</v>
      </c>
      <c r="H508" s="2" t="s">
        <v>2532</v>
      </c>
      <c r="I508" t="s">
        <v>2533</v>
      </c>
      <c r="K508" s="149">
        <v>0</v>
      </c>
      <c r="L508" s="149">
        <v>2763990</v>
      </c>
      <c r="M508" s="149">
        <v>525158</v>
      </c>
      <c r="N508" s="149">
        <v>3289148</v>
      </c>
      <c r="O508">
        <v>0</v>
      </c>
      <c r="P508">
        <v>0</v>
      </c>
      <c r="Q508">
        <v>0</v>
      </c>
      <c r="R508">
        <v>0</v>
      </c>
      <c r="S508">
        <v>0</v>
      </c>
      <c r="T508" t="s">
        <v>77</v>
      </c>
      <c r="U508">
        <v>0</v>
      </c>
      <c r="V508">
        <v>0</v>
      </c>
      <c r="W508">
        <v>0</v>
      </c>
      <c r="X508">
        <v>0</v>
      </c>
      <c r="AC508">
        <v>0</v>
      </c>
      <c r="AE508">
        <v>0</v>
      </c>
      <c r="AF508">
        <v>2</v>
      </c>
      <c r="AG508">
        <v>0</v>
      </c>
      <c r="AH508">
        <v>0</v>
      </c>
      <c r="AI508">
        <v>0</v>
      </c>
      <c r="AM508">
        <v>0</v>
      </c>
      <c r="AR508" t="s">
        <v>2555</v>
      </c>
      <c r="AS508" t="s">
        <v>1680</v>
      </c>
      <c r="AT508">
        <v>2024</v>
      </c>
      <c r="AU508">
        <v>12</v>
      </c>
      <c r="AV508" t="s">
        <v>78</v>
      </c>
      <c r="AX508" t="s">
        <v>2610</v>
      </c>
    </row>
    <row r="509" spans="1:50">
      <c r="A509">
        <v>56</v>
      </c>
      <c r="B509">
        <v>33</v>
      </c>
      <c r="C509" t="s">
        <v>74</v>
      </c>
      <c r="D509" t="s">
        <v>1561</v>
      </c>
      <c r="E509" t="s">
        <v>1562</v>
      </c>
      <c r="F509">
        <v>3534</v>
      </c>
      <c r="G509" s="23" t="s">
        <v>842</v>
      </c>
      <c r="H509" s="2" t="s">
        <v>2534</v>
      </c>
      <c r="K509" s="149">
        <v>0</v>
      </c>
      <c r="L509" s="149">
        <v>13476000</v>
      </c>
      <c r="M509" s="149">
        <v>2560440</v>
      </c>
      <c r="N509" s="149">
        <v>16036440</v>
      </c>
      <c r="O509">
        <v>0</v>
      </c>
      <c r="P509">
        <v>0</v>
      </c>
      <c r="Q509">
        <v>0</v>
      </c>
      <c r="R509">
        <v>0</v>
      </c>
      <c r="S509">
        <v>0</v>
      </c>
      <c r="T509" t="s">
        <v>77</v>
      </c>
      <c r="U509">
        <v>0</v>
      </c>
      <c r="V509">
        <v>0</v>
      </c>
      <c r="W509">
        <v>0</v>
      </c>
      <c r="X509">
        <v>0</v>
      </c>
      <c r="Y509">
        <v>0</v>
      </c>
      <c r="AC509">
        <v>0</v>
      </c>
      <c r="AE509">
        <v>0</v>
      </c>
      <c r="AF509">
        <v>2</v>
      </c>
      <c r="AG509">
        <v>0</v>
      </c>
      <c r="AH509">
        <v>0</v>
      </c>
      <c r="AI509">
        <v>0</v>
      </c>
      <c r="AM509">
        <v>0</v>
      </c>
      <c r="AR509" t="s">
        <v>2555</v>
      </c>
      <c r="AS509" t="s">
        <v>1680</v>
      </c>
      <c r="AT509">
        <v>2024</v>
      </c>
      <c r="AU509">
        <v>12</v>
      </c>
      <c r="AV509" t="s">
        <v>78</v>
      </c>
      <c r="AX509" t="s">
        <v>2611</v>
      </c>
    </row>
    <row r="510" spans="1:50">
      <c r="A510">
        <v>57</v>
      </c>
      <c r="B510">
        <v>33</v>
      </c>
      <c r="C510" t="s">
        <v>74</v>
      </c>
      <c r="D510" t="s">
        <v>1555</v>
      </c>
      <c r="E510" t="s">
        <v>1556</v>
      </c>
      <c r="F510">
        <v>3535</v>
      </c>
      <c r="G510" s="23" t="s">
        <v>842</v>
      </c>
      <c r="H510" s="2" t="s">
        <v>2535</v>
      </c>
      <c r="I510" t="s">
        <v>2536</v>
      </c>
      <c r="K510" s="149">
        <v>0</v>
      </c>
      <c r="L510" s="149">
        <v>2332980</v>
      </c>
      <c r="M510" s="149">
        <v>443266</v>
      </c>
      <c r="N510" s="149">
        <v>2776246</v>
      </c>
      <c r="O510">
        <v>0</v>
      </c>
      <c r="P510">
        <v>0</v>
      </c>
      <c r="Q510">
        <v>0</v>
      </c>
      <c r="R510">
        <v>0</v>
      </c>
      <c r="S510">
        <v>0</v>
      </c>
      <c r="T510" t="s">
        <v>77</v>
      </c>
      <c r="U510">
        <v>0</v>
      </c>
      <c r="V510">
        <v>0</v>
      </c>
      <c r="W510">
        <v>0</v>
      </c>
      <c r="X510">
        <v>0</v>
      </c>
      <c r="AC510">
        <v>0</v>
      </c>
      <c r="AE510">
        <v>0</v>
      </c>
      <c r="AF510">
        <v>2</v>
      </c>
      <c r="AG510">
        <v>0</v>
      </c>
      <c r="AH510">
        <v>0</v>
      </c>
      <c r="AI510">
        <v>0</v>
      </c>
      <c r="AM510">
        <v>0</v>
      </c>
      <c r="AR510" t="s">
        <v>2555</v>
      </c>
      <c r="AS510" t="s">
        <v>1680</v>
      </c>
      <c r="AT510">
        <v>2024</v>
      </c>
      <c r="AU510">
        <v>12</v>
      </c>
      <c r="AV510" t="s">
        <v>78</v>
      </c>
      <c r="AX510" t="s">
        <v>2612</v>
      </c>
    </row>
    <row r="511" spans="1:50">
      <c r="A511">
        <v>58</v>
      </c>
      <c r="B511">
        <v>33</v>
      </c>
      <c r="C511" t="s">
        <v>74</v>
      </c>
      <c r="D511" t="s">
        <v>2329</v>
      </c>
      <c r="E511" t="s">
        <v>2330</v>
      </c>
      <c r="F511">
        <v>3536</v>
      </c>
      <c r="G511" s="23" t="s">
        <v>842</v>
      </c>
      <c r="H511" s="2" t="s">
        <v>2537</v>
      </c>
      <c r="I511" t="s">
        <v>2538</v>
      </c>
      <c r="K511" s="149">
        <v>0</v>
      </c>
      <c r="L511" s="149">
        <v>280000</v>
      </c>
      <c r="M511" s="149">
        <v>53200</v>
      </c>
      <c r="N511" s="149">
        <v>333200</v>
      </c>
      <c r="O511">
        <v>0</v>
      </c>
      <c r="P511">
        <v>0</v>
      </c>
      <c r="Q511">
        <v>0</v>
      </c>
      <c r="R511">
        <v>0</v>
      </c>
      <c r="S511">
        <v>0</v>
      </c>
      <c r="T511" t="s">
        <v>77</v>
      </c>
      <c r="U511">
        <v>0</v>
      </c>
      <c r="V511">
        <v>0</v>
      </c>
      <c r="W511">
        <v>0</v>
      </c>
      <c r="X511">
        <v>0</v>
      </c>
      <c r="Y511">
        <v>0</v>
      </c>
      <c r="AC511">
        <v>0</v>
      </c>
      <c r="AE511">
        <v>0</v>
      </c>
      <c r="AF511">
        <v>2</v>
      </c>
      <c r="AG511">
        <v>0</v>
      </c>
      <c r="AH511">
        <v>0</v>
      </c>
      <c r="AI511">
        <v>0</v>
      </c>
      <c r="AM511">
        <v>0</v>
      </c>
      <c r="AR511" t="s">
        <v>2555</v>
      </c>
      <c r="AS511" t="s">
        <v>1680</v>
      </c>
      <c r="AT511">
        <v>2024</v>
      </c>
      <c r="AU511">
        <v>12</v>
      </c>
      <c r="AV511" t="s">
        <v>78</v>
      </c>
      <c r="AX511" t="s">
        <v>2613</v>
      </c>
    </row>
    <row r="512" spans="1:50">
      <c r="A512">
        <v>59</v>
      </c>
      <c r="B512">
        <v>33</v>
      </c>
      <c r="C512" t="s">
        <v>74</v>
      </c>
      <c r="D512" t="s">
        <v>1222</v>
      </c>
      <c r="E512" t="s">
        <v>1223</v>
      </c>
      <c r="F512">
        <v>3537</v>
      </c>
      <c r="G512" s="23" t="s">
        <v>843</v>
      </c>
      <c r="H512" s="2" t="s">
        <v>2539</v>
      </c>
      <c r="I512" t="s">
        <v>2540</v>
      </c>
      <c r="K512" s="149">
        <v>0</v>
      </c>
      <c r="L512" s="149">
        <v>3403992</v>
      </c>
      <c r="M512" s="149">
        <v>646758</v>
      </c>
      <c r="N512" s="149">
        <v>4050750</v>
      </c>
      <c r="O512">
        <v>0</v>
      </c>
      <c r="P512">
        <v>0</v>
      </c>
      <c r="Q512">
        <v>0</v>
      </c>
      <c r="R512">
        <v>0</v>
      </c>
      <c r="S512">
        <v>0</v>
      </c>
      <c r="T512" t="s">
        <v>77</v>
      </c>
      <c r="U512">
        <v>0</v>
      </c>
      <c r="V512">
        <v>0</v>
      </c>
      <c r="W512">
        <v>0</v>
      </c>
      <c r="X512">
        <v>0</v>
      </c>
      <c r="AC512">
        <v>0</v>
      </c>
      <c r="AE512">
        <v>0</v>
      </c>
      <c r="AF512">
        <v>2</v>
      </c>
      <c r="AG512">
        <v>0</v>
      </c>
      <c r="AH512">
        <v>0</v>
      </c>
      <c r="AI512">
        <v>0</v>
      </c>
      <c r="AM512">
        <v>0</v>
      </c>
      <c r="AR512" t="s">
        <v>2555</v>
      </c>
      <c r="AS512" t="s">
        <v>1680</v>
      </c>
      <c r="AT512">
        <v>2024</v>
      </c>
      <c r="AU512">
        <v>12</v>
      </c>
      <c r="AV512" t="s">
        <v>78</v>
      </c>
      <c r="AX512" t="s">
        <v>2614</v>
      </c>
    </row>
    <row r="513" spans="1:50">
      <c r="A513">
        <v>60</v>
      </c>
      <c r="B513">
        <v>33</v>
      </c>
      <c r="C513" t="s">
        <v>74</v>
      </c>
      <c r="D513" t="s">
        <v>1988</v>
      </c>
      <c r="E513" t="s">
        <v>1989</v>
      </c>
      <c r="F513">
        <v>3538</v>
      </c>
      <c r="G513" s="23" t="s">
        <v>843</v>
      </c>
      <c r="H513" s="2" t="s">
        <v>2541</v>
      </c>
      <c r="I513" s="2">
        <v>45717.354305555556</v>
      </c>
      <c r="K513" s="149">
        <v>0</v>
      </c>
      <c r="L513" s="149">
        <v>1177180</v>
      </c>
      <c r="M513" s="149">
        <v>223664</v>
      </c>
      <c r="N513" s="149">
        <v>1400844</v>
      </c>
      <c r="O513">
        <v>0</v>
      </c>
      <c r="P513">
        <v>0</v>
      </c>
      <c r="Q513">
        <v>0</v>
      </c>
      <c r="R513">
        <v>0</v>
      </c>
      <c r="S513">
        <v>0</v>
      </c>
      <c r="T513" t="s">
        <v>77</v>
      </c>
      <c r="U513">
        <v>0</v>
      </c>
      <c r="V513">
        <v>0</v>
      </c>
      <c r="W513">
        <v>0</v>
      </c>
      <c r="X513">
        <v>0</v>
      </c>
      <c r="AC513">
        <v>0</v>
      </c>
      <c r="AE513">
        <v>0</v>
      </c>
      <c r="AF513">
        <v>2</v>
      </c>
      <c r="AG513">
        <v>0</v>
      </c>
      <c r="AH513">
        <v>0</v>
      </c>
      <c r="AI513">
        <v>0</v>
      </c>
      <c r="AM513">
        <v>0</v>
      </c>
      <c r="AR513" t="s">
        <v>2555</v>
      </c>
      <c r="AS513" t="s">
        <v>1680</v>
      </c>
      <c r="AT513">
        <v>2024</v>
      </c>
      <c r="AU513">
        <v>12</v>
      </c>
      <c r="AV513" t="s">
        <v>78</v>
      </c>
      <c r="AX513" t="s">
        <v>2615</v>
      </c>
    </row>
    <row r="514" spans="1:50">
      <c r="A514">
        <v>61</v>
      </c>
      <c r="B514">
        <v>33</v>
      </c>
      <c r="C514" t="s">
        <v>74</v>
      </c>
      <c r="D514" t="s">
        <v>1988</v>
      </c>
      <c r="E514" t="s">
        <v>1989</v>
      </c>
      <c r="F514">
        <v>3539</v>
      </c>
      <c r="G514" s="23" t="s">
        <v>843</v>
      </c>
      <c r="H514" s="2" t="s">
        <v>2542</v>
      </c>
      <c r="I514" s="2">
        <v>45717.354421296295</v>
      </c>
      <c r="K514" s="149">
        <v>0</v>
      </c>
      <c r="L514" s="149">
        <v>1248038</v>
      </c>
      <c r="M514" s="149">
        <v>237127</v>
      </c>
      <c r="N514" s="149">
        <v>1485165</v>
      </c>
      <c r="O514">
        <v>0</v>
      </c>
      <c r="P514">
        <v>0</v>
      </c>
      <c r="Q514">
        <v>0</v>
      </c>
      <c r="R514">
        <v>0</v>
      </c>
      <c r="S514">
        <v>0</v>
      </c>
      <c r="T514" t="s">
        <v>77</v>
      </c>
      <c r="U514">
        <v>0</v>
      </c>
      <c r="V514">
        <v>0</v>
      </c>
      <c r="W514">
        <v>0</v>
      </c>
      <c r="X514">
        <v>0</v>
      </c>
      <c r="AC514">
        <v>0</v>
      </c>
      <c r="AE514">
        <v>0</v>
      </c>
      <c r="AF514">
        <v>2</v>
      </c>
      <c r="AG514">
        <v>0</v>
      </c>
      <c r="AH514">
        <v>0</v>
      </c>
      <c r="AI514">
        <v>0</v>
      </c>
      <c r="AM514">
        <v>0</v>
      </c>
      <c r="AR514" t="s">
        <v>2555</v>
      </c>
      <c r="AS514" t="s">
        <v>1680</v>
      </c>
      <c r="AT514">
        <v>2024</v>
      </c>
      <c r="AU514">
        <v>12</v>
      </c>
      <c r="AV514" t="s">
        <v>78</v>
      </c>
      <c r="AX514" t="s">
        <v>2616</v>
      </c>
    </row>
    <row r="515" spans="1:50">
      <c r="A515">
        <v>62</v>
      </c>
      <c r="B515">
        <v>33</v>
      </c>
      <c r="C515" t="s">
        <v>74</v>
      </c>
      <c r="D515" t="s">
        <v>1353</v>
      </c>
      <c r="E515" t="s">
        <v>1354</v>
      </c>
      <c r="F515">
        <v>3540</v>
      </c>
      <c r="G515" s="23" t="s">
        <v>846</v>
      </c>
      <c r="H515" s="2" t="s">
        <v>2543</v>
      </c>
      <c r="I515" t="s">
        <v>2544</v>
      </c>
      <c r="K515" s="149">
        <v>0</v>
      </c>
      <c r="L515" s="149">
        <v>8712700</v>
      </c>
      <c r="M515" s="149">
        <v>1655413</v>
      </c>
      <c r="N515" s="149">
        <v>10368113</v>
      </c>
      <c r="O515">
        <v>0</v>
      </c>
      <c r="P515">
        <v>0</v>
      </c>
      <c r="Q515">
        <v>0</v>
      </c>
      <c r="R515">
        <v>0</v>
      </c>
      <c r="S515">
        <v>0</v>
      </c>
      <c r="T515" t="s">
        <v>77</v>
      </c>
      <c r="U515">
        <v>0</v>
      </c>
      <c r="V515">
        <v>0</v>
      </c>
      <c r="W515">
        <v>0</v>
      </c>
      <c r="X515">
        <v>0</v>
      </c>
      <c r="Y515">
        <v>0</v>
      </c>
      <c r="AC515">
        <v>0</v>
      </c>
      <c r="AE515">
        <v>0</v>
      </c>
      <c r="AF515">
        <v>2</v>
      </c>
      <c r="AG515">
        <v>0</v>
      </c>
      <c r="AH515">
        <v>0</v>
      </c>
      <c r="AI515">
        <v>0</v>
      </c>
      <c r="AM515">
        <v>0</v>
      </c>
      <c r="AR515" t="s">
        <v>2555</v>
      </c>
      <c r="AS515" t="s">
        <v>1680</v>
      </c>
      <c r="AT515">
        <v>2024</v>
      </c>
      <c r="AU515">
        <v>12</v>
      </c>
      <c r="AV515" t="s">
        <v>78</v>
      </c>
      <c r="AX515" t="s">
        <v>2617</v>
      </c>
    </row>
    <row r="516" spans="1:50">
      <c r="A516">
        <v>63</v>
      </c>
      <c r="B516">
        <v>33</v>
      </c>
      <c r="C516" t="s">
        <v>74</v>
      </c>
      <c r="D516" t="s">
        <v>1353</v>
      </c>
      <c r="E516" t="s">
        <v>1354</v>
      </c>
      <c r="F516">
        <v>3541</v>
      </c>
      <c r="G516" s="23" t="s">
        <v>846</v>
      </c>
      <c r="H516" s="2" t="s">
        <v>2545</v>
      </c>
      <c r="I516" t="s">
        <v>2546</v>
      </c>
      <c r="K516" s="149">
        <v>0</v>
      </c>
      <c r="L516" s="149">
        <v>476960</v>
      </c>
      <c r="M516" s="149">
        <v>90622</v>
      </c>
      <c r="N516" s="149">
        <v>567582</v>
      </c>
      <c r="O516">
        <v>0</v>
      </c>
      <c r="P516">
        <v>0</v>
      </c>
      <c r="Q516">
        <v>0</v>
      </c>
      <c r="R516">
        <v>0</v>
      </c>
      <c r="S516">
        <v>0</v>
      </c>
      <c r="T516" t="s">
        <v>77</v>
      </c>
      <c r="U516">
        <v>0</v>
      </c>
      <c r="V516">
        <v>0</v>
      </c>
      <c r="W516">
        <v>0</v>
      </c>
      <c r="X516">
        <v>0</v>
      </c>
      <c r="Y516">
        <v>0</v>
      </c>
      <c r="AC516">
        <v>0</v>
      </c>
      <c r="AE516">
        <v>0</v>
      </c>
      <c r="AF516">
        <v>2</v>
      </c>
      <c r="AG516">
        <v>0</v>
      </c>
      <c r="AH516">
        <v>0</v>
      </c>
      <c r="AI516">
        <v>0</v>
      </c>
      <c r="AM516">
        <v>0</v>
      </c>
      <c r="AR516" t="s">
        <v>2555</v>
      </c>
      <c r="AS516" t="s">
        <v>1680</v>
      </c>
      <c r="AT516">
        <v>2024</v>
      </c>
      <c r="AU516">
        <v>12</v>
      </c>
      <c r="AV516" t="s">
        <v>78</v>
      </c>
      <c r="AX516" t="s">
        <v>2618</v>
      </c>
    </row>
    <row r="517" spans="1:50">
      <c r="A517">
        <v>64</v>
      </c>
      <c r="B517">
        <v>33</v>
      </c>
      <c r="C517" t="s">
        <v>74</v>
      </c>
      <c r="D517" t="s">
        <v>319</v>
      </c>
      <c r="E517" t="s">
        <v>2547</v>
      </c>
      <c r="F517">
        <v>3551</v>
      </c>
      <c r="G517" s="23" t="s">
        <v>843</v>
      </c>
      <c r="H517" s="2">
        <v>45717.826597222222</v>
      </c>
      <c r="K517" s="149">
        <v>0</v>
      </c>
      <c r="L517" s="149">
        <v>16917588</v>
      </c>
      <c r="M517" s="149">
        <v>3214342</v>
      </c>
      <c r="N517" s="149">
        <v>20131930</v>
      </c>
      <c r="O517">
        <v>0</v>
      </c>
      <c r="P517">
        <v>0</v>
      </c>
      <c r="Q517">
        <v>0</v>
      </c>
      <c r="R517">
        <v>0</v>
      </c>
      <c r="S517">
        <v>0</v>
      </c>
      <c r="T517" t="s">
        <v>77</v>
      </c>
      <c r="U517">
        <v>0</v>
      </c>
      <c r="V517">
        <v>0</v>
      </c>
      <c r="W517">
        <v>0</v>
      </c>
      <c r="X517">
        <v>0</v>
      </c>
      <c r="Y517">
        <v>0</v>
      </c>
      <c r="AC517">
        <v>0</v>
      </c>
      <c r="AE517">
        <v>0</v>
      </c>
      <c r="AF517">
        <v>2</v>
      </c>
      <c r="AG517">
        <v>0</v>
      </c>
      <c r="AH517">
        <v>0</v>
      </c>
      <c r="AI517">
        <v>0</v>
      </c>
      <c r="AM517">
        <v>0</v>
      </c>
      <c r="AR517" t="s">
        <v>2555</v>
      </c>
      <c r="AS517" t="s">
        <v>1680</v>
      </c>
      <c r="AT517">
        <v>2024</v>
      </c>
      <c r="AU517">
        <v>12</v>
      </c>
      <c r="AV517" t="s">
        <v>78</v>
      </c>
      <c r="AX517" t="s">
        <v>2619</v>
      </c>
    </row>
    <row r="518" spans="1:50">
      <c r="A518">
        <v>65</v>
      </c>
      <c r="B518">
        <v>61</v>
      </c>
      <c r="C518" t="s">
        <v>74</v>
      </c>
      <c r="D518" t="s">
        <v>1571</v>
      </c>
      <c r="E518" t="s">
        <v>1572</v>
      </c>
      <c r="F518">
        <v>757</v>
      </c>
      <c r="G518" s="23">
        <v>45632</v>
      </c>
      <c r="H518" s="2">
        <v>45455.726134259261</v>
      </c>
      <c r="J518" s="2">
        <v>45455.843923611108</v>
      </c>
      <c r="K518" s="149">
        <v>0</v>
      </c>
      <c r="L518" s="149">
        <v>-9973350</v>
      </c>
      <c r="M518" s="149">
        <v>-1894937</v>
      </c>
      <c r="N518" s="149">
        <v>-11868287</v>
      </c>
      <c r="O518">
        <v>0</v>
      </c>
      <c r="P518">
        <v>0</v>
      </c>
      <c r="Q518">
        <v>0</v>
      </c>
      <c r="R518">
        <v>0</v>
      </c>
      <c r="S518">
        <v>0</v>
      </c>
      <c r="T518" t="s">
        <v>77</v>
      </c>
      <c r="U518">
        <v>0</v>
      </c>
      <c r="V518">
        <v>0</v>
      </c>
      <c r="W518">
        <v>0</v>
      </c>
      <c r="X518">
        <v>0</v>
      </c>
      <c r="Y518">
        <v>33</v>
      </c>
      <c r="Z518">
        <v>3491</v>
      </c>
      <c r="AC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M518">
        <v>0</v>
      </c>
      <c r="AR518" t="s">
        <v>2555</v>
      </c>
      <c r="AS518" t="s">
        <v>1680</v>
      </c>
      <c r="AT518">
        <v>2024</v>
      </c>
      <c r="AU518">
        <v>12</v>
      </c>
      <c r="AV518" t="s">
        <v>318</v>
      </c>
      <c r="AX518" t="s">
        <v>2620</v>
      </c>
    </row>
    <row r="519" spans="1:50">
      <c r="A519">
        <v>66</v>
      </c>
      <c r="B519">
        <v>61</v>
      </c>
      <c r="C519" t="s">
        <v>74</v>
      </c>
      <c r="D519" t="s">
        <v>1579</v>
      </c>
      <c r="E519" t="s">
        <v>1580</v>
      </c>
      <c r="F519">
        <v>776</v>
      </c>
      <c r="G519" s="23">
        <v>45638</v>
      </c>
      <c r="H519" s="2">
        <v>45638.711712962962</v>
      </c>
      <c r="K519" s="149">
        <v>0</v>
      </c>
      <c r="L519" s="149">
        <v>-1192400</v>
      </c>
      <c r="M519" s="149">
        <v>-226556</v>
      </c>
      <c r="N519" s="149">
        <v>-1418956</v>
      </c>
      <c r="O519">
        <v>0</v>
      </c>
      <c r="P519">
        <v>0</v>
      </c>
      <c r="Q519">
        <v>0</v>
      </c>
      <c r="R519">
        <v>0</v>
      </c>
      <c r="S519">
        <v>0</v>
      </c>
      <c r="T519" t="s">
        <v>77</v>
      </c>
      <c r="U519">
        <v>0</v>
      </c>
      <c r="V519">
        <v>0</v>
      </c>
      <c r="W519">
        <v>0</v>
      </c>
      <c r="X519">
        <v>0</v>
      </c>
      <c r="Y519">
        <v>33</v>
      </c>
      <c r="Z519">
        <v>3310</v>
      </c>
      <c r="AC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M519">
        <v>0</v>
      </c>
      <c r="AR519" t="s">
        <v>2555</v>
      </c>
      <c r="AS519" t="s">
        <v>1680</v>
      </c>
      <c r="AT519">
        <v>2024</v>
      </c>
      <c r="AU519">
        <v>12</v>
      </c>
      <c r="AV519" t="s">
        <v>318</v>
      </c>
      <c r="AX519" t="s">
        <v>2621</v>
      </c>
    </row>
    <row r="520" spans="1:50">
      <c r="A520">
        <v>67</v>
      </c>
      <c r="B520">
        <v>61</v>
      </c>
      <c r="C520" t="s">
        <v>74</v>
      </c>
      <c r="D520" t="s">
        <v>1569</v>
      </c>
      <c r="E520" t="s">
        <v>1570</v>
      </c>
      <c r="F520">
        <v>777</v>
      </c>
      <c r="G520" s="23" t="s">
        <v>836</v>
      </c>
      <c r="H520" s="2" t="s">
        <v>2548</v>
      </c>
      <c r="I520" t="s">
        <v>2495</v>
      </c>
      <c r="K520" s="149">
        <v>0</v>
      </c>
      <c r="L520" s="149">
        <v>-20448</v>
      </c>
      <c r="M520" s="149">
        <v>-3885</v>
      </c>
      <c r="N520" s="149">
        <v>-24333</v>
      </c>
      <c r="O520">
        <v>0</v>
      </c>
      <c r="P520">
        <v>0</v>
      </c>
      <c r="Q520">
        <v>0</v>
      </c>
      <c r="R520">
        <v>0</v>
      </c>
      <c r="S520">
        <v>0</v>
      </c>
      <c r="T520" t="s">
        <v>77</v>
      </c>
      <c r="U520">
        <v>0</v>
      </c>
      <c r="V520">
        <v>0</v>
      </c>
      <c r="W520">
        <v>0</v>
      </c>
      <c r="X520">
        <v>0</v>
      </c>
      <c r="Y520">
        <v>33</v>
      </c>
      <c r="Z520">
        <v>3513</v>
      </c>
      <c r="AC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M520">
        <v>0</v>
      </c>
      <c r="AR520" t="s">
        <v>2555</v>
      </c>
      <c r="AS520" t="s">
        <v>1680</v>
      </c>
      <c r="AT520">
        <v>2024</v>
      </c>
      <c r="AU520">
        <v>12</v>
      </c>
      <c r="AV520" t="s">
        <v>318</v>
      </c>
      <c r="AX520" t="s">
        <v>2622</v>
      </c>
    </row>
    <row r="521" spans="1:50">
      <c r="A521">
        <v>68</v>
      </c>
      <c r="B521">
        <v>61</v>
      </c>
      <c r="C521" t="s">
        <v>74</v>
      </c>
      <c r="D521" t="s">
        <v>1988</v>
      </c>
      <c r="E521" t="s">
        <v>1989</v>
      </c>
      <c r="F521">
        <v>778</v>
      </c>
      <c r="G521" s="23" t="s">
        <v>836</v>
      </c>
      <c r="H521" s="2" t="s">
        <v>2549</v>
      </c>
      <c r="K521" s="149">
        <v>0</v>
      </c>
      <c r="L521" s="149">
        <v>-1211544</v>
      </c>
      <c r="M521" s="149">
        <v>-230193</v>
      </c>
      <c r="N521" s="149">
        <v>-1441737</v>
      </c>
      <c r="O521">
        <v>0</v>
      </c>
      <c r="P521">
        <v>0</v>
      </c>
      <c r="Q521">
        <v>0</v>
      </c>
      <c r="R521">
        <v>0</v>
      </c>
      <c r="S521">
        <v>0</v>
      </c>
      <c r="T521" t="s">
        <v>77</v>
      </c>
      <c r="U521">
        <v>0</v>
      </c>
      <c r="V521">
        <v>0</v>
      </c>
      <c r="W521">
        <v>0</v>
      </c>
      <c r="X521">
        <v>0</v>
      </c>
      <c r="Y521">
        <v>33</v>
      </c>
      <c r="Z521">
        <v>3489</v>
      </c>
      <c r="AC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M521">
        <v>0</v>
      </c>
      <c r="AR521" t="s">
        <v>2555</v>
      </c>
      <c r="AS521" t="s">
        <v>1680</v>
      </c>
      <c r="AT521">
        <v>2024</v>
      </c>
      <c r="AU521">
        <v>12</v>
      </c>
      <c r="AV521" t="s">
        <v>318</v>
      </c>
      <c r="AX521" t="s">
        <v>2623</v>
      </c>
    </row>
    <row r="522" spans="1:50">
      <c r="A522">
        <v>69</v>
      </c>
      <c r="B522">
        <v>61</v>
      </c>
      <c r="C522" t="s">
        <v>74</v>
      </c>
      <c r="D522" t="s">
        <v>1581</v>
      </c>
      <c r="E522" t="s">
        <v>1582</v>
      </c>
      <c r="F522">
        <v>779</v>
      </c>
      <c r="G522" s="23" t="s">
        <v>838</v>
      </c>
      <c r="H522" s="2" t="s">
        <v>2550</v>
      </c>
      <c r="I522" t="s">
        <v>2516</v>
      </c>
      <c r="K522" s="149">
        <v>0</v>
      </c>
      <c r="L522" s="149">
        <v>-106400</v>
      </c>
      <c r="M522" s="149">
        <v>-20216</v>
      </c>
      <c r="N522" s="149">
        <v>-126616</v>
      </c>
      <c r="O522">
        <v>0</v>
      </c>
      <c r="P522">
        <v>0</v>
      </c>
      <c r="Q522">
        <v>0</v>
      </c>
      <c r="R522">
        <v>0</v>
      </c>
      <c r="S522">
        <v>0</v>
      </c>
      <c r="T522" t="s">
        <v>77</v>
      </c>
      <c r="U522">
        <v>0</v>
      </c>
      <c r="V522">
        <v>0</v>
      </c>
      <c r="W522">
        <v>0</v>
      </c>
      <c r="X522">
        <v>0</v>
      </c>
      <c r="Y522">
        <v>33</v>
      </c>
      <c r="Z522">
        <v>3523</v>
      </c>
      <c r="AC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M522">
        <v>0</v>
      </c>
      <c r="AR522" t="s">
        <v>2555</v>
      </c>
      <c r="AS522" t="s">
        <v>1680</v>
      </c>
      <c r="AT522">
        <v>2024</v>
      </c>
      <c r="AU522">
        <v>12</v>
      </c>
      <c r="AV522" t="s">
        <v>318</v>
      </c>
      <c r="AX522" t="s">
        <v>2624</v>
      </c>
    </row>
    <row r="523" spans="1:50">
      <c r="A523">
        <v>70</v>
      </c>
      <c r="B523">
        <v>61</v>
      </c>
      <c r="C523" t="s">
        <v>74</v>
      </c>
      <c r="D523" t="s">
        <v>1561</v>
      </c>
      <c r="E523" t="s">
        <v>1562</v>
      </c>
      <c r="F523">
        <v>780</v>
      </c>
      <c r="G523" s="23" t="s">
        <v>838</v>
      </c>
      <c r="H523" s="2" t="s">
        <v>2551</v>
      </c>
      <c r="J523" t="s">
        <v>2502</v>
      </c>
      <c r="K523" s="149">
        <v>0</v>
      </c>
      <c r="L523" s="149">
        <v>-19683000</v>
      </c>
      <c r="M523" s="149">
        <v>-3739770</v>
      </c>
      <c r="N523" s="149">
        <v>-23422770</v>
      </c>
      <c r="O523">
        <v>0</v>
      </c>
      <c r="P523">
        <v>0</v>
      </c>
      <c r="Q523">
        <v>0</v>
      </c>
      <c r="R523">
        <v>0</v>
      </c>
      <c r="S523">
        <v>0</v>
      </c>
      <c r="T523" t="s">
        <v>77</v>
      </c>
      <c r="U523">
        <v>0</v>
      </c>
      <c r="V523">
        <v>0</v>
      </c>
      <c r="W523">
        <v>0</v>
      </c>
      <c r="X523">
        <v>0</v>
      </c>
      <c r="Y523">
        <v>33</v>
      </c>
      <c r="Z523">
        <v>3517</v>
      </c>
      <c r="AC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M523">
        <v>0</v>
      </c>
      <c r="AR523" t="s">
        <v>2555</v>
      </c>
      <c r="AS523" t="s">
        <v>1680</v>
      </c>
      <c r="AT523">
        <v>2024</v>
      </c>
      <c r="AU523">
        <v>12</v>
      </c>
      <c r="AV523" t="s">
        <v>318</v>
      </c>
      <c r="AX523" t="s">
        <v>2625</v>
      </c>
    </row>
    <row r="524" spans="1:50">
      <c r="A524">
        <v>71</v>
      </c>
      <c r="B524">
        <v>61</v>
      </c>
      <c r="C524" t="s">
        <v>74</v>
      </c>
      <c r="D524" t="s">
        <v>1988</v>
      </c>
      <c r="E524" t="s">
        <v>1989</v>
      </c>
      <c r="F524">
        <v>781</v>
      </c>
      <c r="G524" s="23" t="s">
        <v>838</v>
      </c>
      <c r="H524" s="2" t="s">
        <v>2552</v>
      </c>
      <c r="K524" s="149">
        <v>0</v>
      </c>
      <c r="L524" s="149">
        <v>-1177180</v>
      </c>
      <c r="M524" s="149">
        <v>-223664</v>
      </c>
      <c r="N524" s="149">
        <v>-1400844</v>
      </c>
      <c r="O524">
        <v>0</v>
      </c>
      <c r="P524">
        <v>0</v>
      </c>
      <c r="Q524">
        <v>0</v>
      </c>
      <c r="R524">
        <v>0</v>
      </c>
      <c r="S524">
        <v>0</v>
      </c>
      <c r="T524" t="s">
        <v>77</v>
      </c>
      <c r="U524">
        <v>0</v>
      </c>
      <c r="V524">
        <v>0</v>
      </c>
      <c r="W524">
        <v>0</v>
      </c>
      <c r="X524">
        <v>0</v>
      </c>
      <c r="Y524">
        <v>33</v>
      </c>
      <c r="Z524">
        <v>3500</v>
      </c>
      <c r="AC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M524">
        <v>0</v>
      </c>
      <c r="AR524" t="s">
        <v>2555</v>
      </c>
      <c r="AS524" t="s">
        <v>1680</v>
      </c>
      <c r="AT524">
        <v>2024</v>
      </c>
      <c r="AU524">
        <v>12</v>
      </c>
      <c r="AV524" t="s">
        <v>318</v>
      </c>
      <c r="AX524" t="s">
        <v>2626</v>
      </c>
    </row>
    <row r="525" spans="1:50">
      <c r="A525">
        <v>72</v>
      </c>
      <c r="B525">
        <v>61</v>
      </c>
      <c r="C525" t="s">
        <v>74</v>
      </c>
      <c r="D525" t="s">
        <v>1988</v>
      </c>
      <c r="E525" t="s">
        <v>1989</v>
      </c>
      <c r="F525">
        <v>782</v>
      </c>
      <c r="G525" s="23" t="s">
        <v>843</v>
      </c>
      <c r="H525" s="2" t="s">
        <v>2553</v>
      </c>
      <c r="K525" s="149">
        <v>0</v>
      </c>
      <c r="L525" s="149">
        <v>-1177180</v>
      </c>
      <c r="M525" s="149">
        <v>-223664</v>
      </c>
      <c r="N525" s="149">
        <v>-1400844</v>
      </c>
      <c r="O525">
        <v>0</v>
      </c>
      <c r="P525">
        <v>0</v>
      </c>
      <c r="Q525">
        <v>0</v>
      </c>
      <c r="R525">
        <v>0</v>
      </c>
      <c r="S525">
        <v>0</v>
      </c>
      <c r="T525" t="s">
        <v>77</v>
      </c>
      <c r="U525">
        <v>0</v>
      </c>
      <c r="V525">
        <v>0</v>
      </c>
      <c r="W525">
        <v>0</v>
      </c>
      <c r="X525">
        <v>0</v>
      </c>
      <c r="Y525">
        <v>33</v>
      </c>
      <c r="Z525">
        <v>3525</v>
      </c>
      <c r="AC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M525">
        <v>0</v>
      </c>
      <c r="AR525" t="s">
        <v>2555</v>
      </c>
      <c r="AS525" t="s">
        <v>1680</v>
      </c>
      <c r="AT525">
        <v>2024</v>
      </c>
      <c r="AU525">
        <v>12</v>
      </c>
      <c r="AV525" t="s">
        <v>318</v>
      </c>
      <c r="AX525" t="s">
        <v>2627</v>
      </c>
    </row>
    <row r="526" spans="1:50">
      <c r="A526">
        <v>73</v>
      </c>
      <c r="B526">
        <v>61</v>
      </c>
      <c r="C526" t="s">
        <v>74</v>
      </c>
      <c r="D526" t="s">
        <v>1988</v>
      </c>
      <c r="E526" t="s">
        <v>1989</v>
      </c>
      <c r="F526">
        <v>783</v>
      </c>
      <c r="G526" s="23" t="s">
        <v>843</v>
      </c>
      <c r="H526" s="2" t="s">
        <v>2554</v>
      </c>
      <c r="K526" s="149">
        <v>0</v>
      </c>
      <c r="L526" s="149">
        <v>-1248038</v>
      </c>
      <c r="M526" s="149">
        <v>-237127</v>
      </c>
      <c r="N526" s="149">
        <v>-1485165</v>
      </c>
      <c r="O526">
        <v>0</v>
      </c>
      <c r="P526">
        <v>0</v>
      </c>
      <c r="Q526">
        <v>0</v>
      </c>
      <c r="R526">
        <v>0</v>
      </c>
      <c r="S526">
        <v>0</v>
      </c>
      <c r="T526" t="s">
        <v>77</v>
      </c>
      <c r="U526">
        <v>0</v>
      </c>
      <c r="V526">
        <v>0</v>
      </c>
      <c r="W526">
        <v>0</v>
      </c>
      <c r="X526">
        <v>0</v>
      </c>
      <c r="Y526">
        <v>33</v>
      </c>
      <c r="Z526">
        <v>3515</v>
      </c>
      <c r="AC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M526">
        <v>0</v>
      </c>
      <c r="AR526" t="s">
        <v>2555</v>
      </c>
      <c r="AS526" t="s">
        <v>1680</v>
      </c>
      <c r="AT526">
        <v>2024</v>
      </c>
      <c r="AU526">
        <v>12</v>
      </c>
      <c r="AV526" t="s">
        <v>318</v>
      </c>
      <c r="AX526" t="s">
        <v>2628</v>
      </c>
    </row>
    <row r="527" spans="1:50">
      <c r="A527">
        <v>1</v>
      </c>
      <c r="B527">
        <v>33</v>
      </c>
      <c r="C527" t="s">
        <v>74</v>
      </c>
      <c r="D527" t="s">
        <v>1222</v>
      </c>
      <c r="E527" t="s">
        <v>1223</v>
      </c>
      <c r="F527">
        <v>3542</v>
      </c>
      <c r="G527" s="23">
        <v>45659</v>
      </c>
      <c r="H527" s="2" t="s">
        <v>2629</v>
      </c>
      <c r="I527" s="2">
        <v>45717.696909722225</v>
      </c>
      <c r="K527" s="149">
        <v>0</v>
      </c>
      <c r="L527" s="149">
        <v>13369820</v>
      </c>
      <c r="M527" s="149">
        <v>2540266</v>
      </c>
      <c r="N527" s="149">
        <v>15910086</v>
      </c>
      <c r="O527">
        <v>0</v>
      </c>
      <c r="P527">
        <v>0</v>
      </c>
      <c r="Q527">
        <v>0</v>
      </c>
      <c r="R527">
        <v>0</v>
      </c>
      <c r="S527">
        <v>0</v>
      </c>
      <c r="T527" t="s">
        <v>77</v>
      </c>
      <c r="U527">
        <v>0</v>
      </c>
      <c r="V527">
        <v>0</v>
      </c>
      <c r="W527">
        <v>0</v>
      </c>
      <c r="X527">
        <v>0</v>
      </c>
      <c r="AC527">
        <v>0</v>
      </c>
      <c r="AE527">
        <v>0</v>
      </c>
      <c r="AF527">
        <v>2</v>
      </c>
      <c r="AG527">
        <v>0</v>
      </c>
      <c r="AH527">
        <v>0</v>
      </c>
      <c r="AI527">
        <v>0</v>
      </c>
      <c r="AM527">
        <v>0</v>
      </c>
      <c r="AR527" t="s">
        <v>2671</v>
      </c>
      <c r="AS527" t="s">
        <v>1680</v>
      </c>
      <c r="AT527">
        <v>2025</v>
      </c>
      <c r="AU527">
        <v>1</v>
      </c>
      <c r="AV527" t="s">
        <v>78</v>
      </c>
      <c r="AX527" t="s">
        <v>2672</v>
      </c>
    </row>
    <row r="528" spans="1:50">
      <c r="A528">
        <v>2</v>
      </c>
      <c r="B528">
        <v>33</v>
      </c>
      <c r="C528" t="s">
        <v>74</v>
      </c>
      <c r="D528" t="s">
        <v>1581</v>
      </c>
      <c r="E528" t="s">
        <v>1582</v>
      </c>
      <c r="F528">
        <v>3543</v>
      </c>
      <c r="G528" s="23">
        <v>45659</v>
      </c>
      <c r="H528" s="2" t="s">
        <v>2630</v>
      </c>
      <c r="I528" s="2">
        <v>45839.636180555557</v>
      </c>
      <c r="K528" s="149">
        <v>0</v>
      </c>
      <c r="L528" s="149">
        <v>1468250</v>
      </c>
      <c r="M528" s="149">
        <v>278968</v>
      </c>
      <c r="N528" s="149">
        <v>1747218</v>
      </c>
      <c r="O528">
        <v>0</v>
      </c>
      <c r="P528">
        <v>0</v>
      </c>
      <c r="Q528">
        <v>0</v>
      </c>
      <c r="R528">
        <v>0</v>
      </c>
      <c r="S528">
        <v>0</v>
      </c>
      <c r="T528" t="s">
        <v>77</v>
      </c>
      <c r="U528">
        <v>0</v>
      </c>
      <c r="V528">
        <v>0</v>
      </c>
      <c r="W528">
        <v>0</v>
      </c>
      <c r="X528">
        <v>0</v>
      </c>
      <c r="Y528">
        <v>0</v>
      </c>
      <c r="AC528">
        <v>0</v>
      </c>
      <c r="AE528">
        <v>0</v>
      </c>
      <c r="AF528">
        <v>2</v>
      </c>
      <c r="AG528">
        <v>0</v>
      </c>
      <c r="AH528">
        <v>0</v>
      </c>
      <c r="AI528">
        <v>0</v>
      </c>
      <c r="AM528">
        <v>0</v>
      </c>
      <c r="AR528" t="s">
        <v>2671</v>
      </c>
      <c r="AS528" t="s">
        <v>1680</v>
      </c>
      <c r="AT528">
        <v>2025</v>
      </c>
      <c r="AU528">
        <v>1</v>
      </c>
      <c r="AV528" t="s">
        <v>78</v>
      </c>
      <c r="AX528" t="s">
        <v>2673</v>
      </c>
    </row>
    <row r="529" spans="1:50">
      <c r="A529">
        <v>3</v>
      </c>
      <c r="B529">
        <v>33</v>
      </c>
      <c r="C529" t="s">
        <v>74</v>
      </c>
      <c r="D529" t="s">
        <v>1561</v>
      </c>
      <c r="E529" t="s">
        <v>1562</v>
      </c>
      <c r="F529">
        <v>3544</v>
      </c>
      <c r="G529" s="23">
        <v>45660</v>
      </c>
      <c r="H529" s="2" t="s">
        <v>2631</v>
      </c>
      <c r="I529" s="2">
        <v>45809.599143518521</v>
      </c>
      <c r="K529" s="149">
        <v>0</v>
      </c>
      <c r="L529" s="149">
        <v>12414000</v>
      </c>
      <c r="M529" s="149">
        <v>2358660</v>
      </c>
      <c r="N529" s="149">
        <v>14772660</v>
      </c>
      <c r="O529">
        <v>0</v>
      </c>
      <c r="P529">
        <v>0</v>
      </c>
      <c r="Q529">
        <v>0</v>
      </c>
      <c r="R529">
        <v>0</v>
      </c>
      <c r="S529">
        <v>0</v>
      </c>
      <c r="T529" t="s">
        <v>77</v>
      </c>
      <c r="U529">
        <v>0</v>
      </c>
      <c r="V529">
        <v>0</v>
      </c>
      <c r="W529">
        <v>0</v>
      </c>
      <c r="X529">
        <v>0</v>
      </c>
      <c r="Y529">
        <v>0</v>
      </c>
      <c r="AC529">
        <v>0</v>
      </c>
      <c r="AE529">
        <v>0</v>
      </c>
      <c r="AF529">
        <v>2</v>
      </c>
      <c r="AG529">
        <v>0</v>
      </c>
      <c r="AH529">
        <v>0</v>
      </c>
      <c r="AI529">
        <v>0</v>
      </c>
      <c r="AM529">
        <v>0</v>
      </c>
      <c r="AR529" t="s">
        <v>2671</v>
      </c>
      <c r="AS529" t="s">
        <v>1680</v>
      </c>
      <c r="AT529">
        <v>2025</v>
      </c>
      <c r="AU529">
        <v>1</v>
      </c>
      <c r="AV529" t="s">
        <v>78</v>
      </c>
      <c r="AX529" t="s">
        <v>2674</v>
      </c>
    </row>
    <row r="530" spans="1:50">
      <c r="A530">
        <v>4</v>
      </c>
      <c r="B530">
        <v>33</v>
      </c>
      <c r="C530" t="s">
        <v>74</v>
      </c>
      <c r="D530" t="s">
        <v>1353</v>
      </c>
      <c r="E530" t="s">
        <v>1354</v>
      </c>
      <c r="F530">
        <v>3545</v>
      </c>
      <c r="G530" s="23">
        <v>45659</v>
      </c>
      <c r="H530" s="2">
        <v>45689.443784722222</v>
      </c>
      <c r="I530" s="2">
        <v>45689.796053240738</v>
      </c>
      <c r="K530" s="149">
        <v>0</v>
      </c>
      <c r="L530" s="149">
        <v>47696</v>
      </c>
      <c r="M530" s="149">
        <v>9062</v>
      </c>
      <c r="N530" s="149">
        <v>56758</v>
      </c>
      <c r="O530">
        <v>0</v>
      </c>
      <c r="P530">
        <v>0</v>
      </c>
      <c r="Q530">
        <v>0</v>
      </c>
      <c r="R530">
        <v>0</v>
      </c>
      <c r="S530">
        <v>0</v>
      </c>
      <c r="T530" t="s">
        <v>77</v>
      </c>
      <c r="U530">
        <v>0</v>
      </c>
      <c r="V530">
        <v>0</v>
      </c>
      <c r="W530">
        <v>0</v>
      </c>
      <c r="X530">
        <v>0</v>
      </c>
      <c r="Y530">
        <v>0</v>
      </c>
      <c r="AC530">
        <v>0</v>
      </c>
      <c r="AE530">
        <v>0</v>
      </c>
      <c r="AF530">
        <v>2</v>
      </c>
      <c r="AG530">
        <v>0</v>
      </c>
      <c r="AH530">
        <v>0</v>
      </c>
      <c r="AI530">
        <v>0</v>
      </c>
      <c r="AM530">
        <v>0</v>
      </c>
      <c r="AR530" t="s">
        <v>2671</v>
      </c>
      <c r="AS530" t="s">
        <v>1680</v>
      </c>
      <c r="AT530">
        <v>2025</v>
      </c>
      <c r="AU530">
        <v>1</v>
      </c>
      <c r="AV530" t="s">
        <v>78</v>
      </c>
      <c r="AX530" t="s">
        <v>2675</v>
      </c>
    </row>
    <row r="531" spans="1:50">
      <c r="A531">
        <v>5</v>
      </c>
      <c r="B531">
        <v>33</v>
      </c>
      <c r="C531" t="s">
        <v>74</v>
      </c>
      <c r="D531" t="s">
        <v>1222</v>
      </c>
      <c r="E531" t="s">
        <v>1223</v>
      </c>
      <c r="F531">
        <v>3546</v>
      </c>
      <c r="G531" s="23">
        <v>45663</v>
      </c>
      <c r="H531" s="2">
        <v>45717.436423611114</v>
      </c>
      <c r="I531" s="2">
        <v>45870.513518518521</v>
      </c>
      <c r="K531" s="149">
        <v>0</v>
      </c>
      <c r="L531" s="149">
        <v>12184820</v>
      </c>
      <c r="M531" s="149">
        <v>2315115</v>
      </c>
      <c r="N531" s="149">
        <v>14499935</v>
      </c>
      <c r="O531">
        <v>0</v>
      </c>
      <c r="P531">
        <v>0</v>
      </c>
      <c r="Q531">
        <v>0</v>
      </c>
      <c r="R531">
        <v>0</v>
      </c>
      <c r="S531">
        <v>0</v>
      </c>
      <c r="T531" t="s">
        <v>77</v>
      </c>
      <c r="U531">
        <v>0</v>
      </c>
      <c r="V531">
        <v>0</v>
      </c>
      <c r="W531">
        <v>0</v>
      </c>
      <c r="X531">
        <v>0</v>
      </c>
      <c r="AC531">
        <v>0</v>
      </c>
      <c r="AE531">
        <v>0</v>
      </c>
      <c r="AF531">
        <v>2</v>
      </c>
      <c r="AG531">
        <v>0</v>
      </c>
      <c r="AH531">
        <v>0</v>
      </c>
      <c r="AI531">
        <v>0</v>
      </c>
      <c r="AM531">
        <v>0</v>
      </c>
      <c r="AR531" t="s">
        <v>2671</v>
      </c>
      <c r="AS531" t="s">
        <v>1680</v>
      </c>
      <c r="AT531">
        <v>2025</v>
      </c>
      <c r="AU531">
        <v>1</v>
      </c>
      <c r="AV531" t="s">
        <v>78</v>
      </c>
      <c r="AX531" t="s">
        <v>2676</v>
      </c>
    </row>
    <row r="532" spans="1:50">
      <c r="A532">
        <v>6</v>
      </c>
      <c r="B532">
        <v>33</v>
      </c>
      <c r="C532" t="s">
        <v>74</v>
      </c>
      <c r="D532" t="s">
        <v>1222</v>
      </c>
      <c r="E532" t="s">
        <v>1223</v>
      </c>
      <c r="F532">
        <v>3547</v>
      </c>
      <c r="G532" s="23">
        <v>45663</v>
      </c>
      <c r="H532" s="2">
        <v>45717.450706018521</v>
      </c>
      <c r="I532" s="2">
        <v>45870.513483796298</v>
      </c>
      <c r="K532" s="149">
        <v>0</v>
      </c>
      <c r="L532" s="149">
        <v>10697894</v>
      </c>
      <c r="M532" s="149">
        <v>2032601</v>
      </c>
      <c r="N532" s="149">
        <v>12730495</v>
      </c>
      <c r="O532">
        <v>0</v>
      </c>
      <c r="P532">
        <v>0</v>
      </c>
      <c r="Q532">
        <v>0</v>
      </c>
      <c r="R532">
        <v>0</v>
      </c>
      <c r="S532">
        <v>0</v>
      </c>
      <c r="T532" t="s">
        <v>77</v>
      </c>
      <c r="U532">
        <v>0</v>
      </c>
      <c r="V532">
        <v>0</v>
      </c>
      <c r="W532">
        <v>0</v>
      </c>
      <c r="X532">
        <v>0</v>
      </c>
      <c r="AC532">
        <v>0</v>
      </c>
      <c r="AE532">
        <v>0</v>
      </c>
      <c r="AF532">
        <v>2</v>
      </c>
      <c r="AG532">
        <v>0</v>
      </c>
      <c r="AH532">
        <v>0</v>
      </c>
      <c r="AI532">
        <v>0</v>
      </c>
      <c r="AM532">
        <v>0</v>
      </c>
      <c r="AR532" t="s">
        <v>2671</v>
      </c>
      <c r="AS532" t="s">
        <v>1680</v>
      </c>
      <c r="AT532">
        <v>2025</v>
      </c>
      <c r="AU532">
        <v>1</v>
      </c>
      <c r="AV532" t="s">
        <v>78</v>
      </c>
      <c r="AX532" t="s">
        <v>2677</v>
      </c>
    </row>
    <row r="533" spans="1:50">
      <c r="A533">
        <v>7</v>
      </c>
      <c r="B533">
        <v>33</v>
      </c>
      <c r="C533" t="s">
        <v>74</v>
      </c>
      <c r="D533" t="s">
        <v>1581</v>
      </c>
      <c r="E533" t="s">
        <v>1582</v>
      </c>
      <c r="F533">
        <v>3548</v>
      </c>
      <c r="G533" s="23">
        <v>45663</v>
      </c>
      <c r="H533" s="2">
        <v>45717.478368055556</v>
      </c>
      <c r="I533" s="2">
        <v>45839.636180555557</v>
      </c>
      <c r="K533" s="149">
        <v>0</v>
      </c>
      <c r="L533" s="149">
        <v>524400</v>
      </c>
      <c r="M533" s="149">
        <v>99636</v>
      </c>
      <c r="N533" s="149">
        <v>624036</v>
      </c>
      <c r="O533">
        <v>0</v>
      </c>
      <c r="P533">
        <v>0</v>
      </c>
      <c r="Q533">
        <v>0</v>
      </c>
      <c r="R533">
        <v>0</v>
      </c>
      <c r="S533">
        <v>0</v>
      </c>
      <c r="T533" t="s">
        <v>77</v>
      </c>
      <c r="U533">
        <v>0</v>
      </c>
      <c r="V533">
        <v>0</v>
      </c>
      <c r="W533">
        <v>0</v>
      </c>
      <c r="X533">
        <v>0</v>
      </c>
      <c r="Y533">
        <v>0</v>
      </c>
      <c r="AC533">
        <v>0</v>
      </c>
      <c r="AE533">
        <v>0</v>
      </c>
      <c r="AF533">
        <v>2</v>
      </c>
      <c r="AG533">
        <v>0</v>
      </c>
      <c r="AH533">
        <v>0</v>
      </c>
      <c r="AI533">
        <v>0</v>
      </c>
      <c r="AM533">
        <v>0</v>
      </c>
      <c r="AR533" t="s">
        <v>2671</v>
      </c>
      <c r="AS533" t="s">
        <v>1680</v>
      </c>
      <c r="AT533">
        <v>2025</v>
      </c>
      <c r="AU533">
        <v>1</v>
      </c>
      <c r="AV533" t="s">
        <v>78</v>
      </c>
      <c r="AX533" t="s">
        <v>2678</v>
      </c>
    </row>
    <row r="534" spans="1:50">
      <c r="A534">
        <v>8</v>
      </c>
      <c r="B534">
        <v>33</v>
      </c>
      <c r="C534" t="s">
        <v>74</v>
      </c>
      <c r="D534" t="s">
        <v>1564</v>
      </c>
      <c r="E534" t="s">
        <v>1565</v>
      </c>
      <c r="F534">
        <v>3549</v>
      </c>
      <c r="G534" s="23">
        <v>45664</v>
      </c>
      <c r="H534" s="2">
        <v>45717.703761574077</v>
      </c>
      <c r="I534" s="2"/>
      <c r="K534" s="149">
        <v>0</v>
      </c>
      <c r="L534" s="149">
        <v>253395</v>
      </c>
      <c r="M534" s="149">
        <v>48147</v>
      </c>
      <c r="N534" s="149">
        <v>301542</v>
      </c>
      <c r="O534">
        <v>0</v>
      </c>
      <c r="P534">
        <v>0</v>
      </c>
      <c r="Q534">
        <v>0</v>
      </c>
      <c r="R534">
        <v>0</v>
      </c>
      <c r="S534">
        <v>0</v>
      </c>
      <c r="T534" t="s">
        <v>77</v>
      </c>
      <c r="U534">
        <v>0</v>
      </c>
      <c r="V534">
        <v>0</v>
      </c>
      <c r="W534">
        <v>0</v>
      </c>
      <c r="X534">
        <v>0</v>
      </c>
      <c r="Y534">
        <v>0</v>
      </c>
      <c r="AC534">
        <v>0</v>
      </c>
      <c r="AE534">
        <v>0</v>
      </c>
      <c r="AF534">
        <v>2</v>
      </c>
      <c r="AG534">
        <v>0</v>
      </c>
      <c r="AH534">
        <v>0</v>
      </c>
      <c r="AI534">
        <v>0</v>
      </c>
      <c r="AM534">
        <v>0</v>
      </c>
      <c r="AR534" t="s">
        <v>2671</v>
      </c>
      <c r="AS534" t="s">
        <v>1680</v>
      </c>
      <c r="AT534">
        <v>2025</v>
      </c>
      <c r="AU534">
        <v>1</v>
      </c>
      <c r="AV534" t="s">
        <v>78</v>
      </c>
      <c r="AX534" t="s">
        <v>2679</v>
      </c>
    </row>
    <row r="535" spans="1:50">
      <c r="A535">
        <v>9</v>
      </c>
      <c r="B535">
        <v>33</v>
      </c>
      <c r="C535" t="s">
        <v>74</v>
      </c>
      <c r="D535" t="s">
        <v>1555</v>
      </c>
      <c r="E535" t="s">
        <v>1556</v>
      </c>
      <c r="F535">
        <v>3550</v>
      </c>
      <c r="G535" s="23">
        <v>45664</v>
      </c>
      <c r="H535" s="2">
        <v>45717.718090277776</v>
      </c>
      <c r="I535" s="2">
        <v>45839.719976851855</v>
      </c>
      <c r="K535" s="149">
        <v>0</v>
      </c>
      <c r="L535" s="149">
        <v>2091380</v>
      </c>
      <c r="M535" s="149">
        <v>397362</v>
      </c>
      <c r="N535" s="149">
        <v>2488742</v>
      </c>
      <c r="O535">
        <v>0</v>
      </c>
      <c r="P535">
        <v>0</v>
      </c>
      <c r="Q535">
        <v>0</v>
      </c>
      <c r="R535">
        <v>0</v>
      </c>
      <c r="S535">
        <v>0</v>
      </c>
      <c r="T535" t="s">
        <v>77</v>
      </c>
      <c r="U535">
        <v>0</v>
      </c>
      <c r="V535">
        <v>0</v>
      </c>
      <c r="W535">
        <v>0</v>
      </c>
      <c r="X535">
        <v>0</v>
      </c>
      <c r="AC535">
        <v>0</v>
      </c>
      <c r="AE535">
        <v>0</v>
      </c>
      <c r="AF535">
        <v>2</v>
      </c>
      <c r="AG535">
        <v>0</v>
      </c>
      <c r="AH535">
        <v>0</v>
      </c>
      <c r="AI535">
        <v>0</v>
      </c>
      <c r="AM535">
        <v>0</v>
      </c>
      <c r="AR535" t="s">
        <v>2671</v>
      </c>
      <c r="AS535" t="s">
        <v>1680</v>
      </c>
      <c r="AT535">
        <v>2025</v>
      </c>
      <c r="AU535">
        <v>1</v>
      </c>
      <c r="AV535" t="s">
        <v>78</v>
      </c>
      <c r="AX535" t="s">
        <v>2680</v>
      </c>
    </row>
    <row r="536" spans="1:50">
      <c r="A536">
        <v>10</v>
      </c>
      <c r="B536">
        <v>33</v>
      </c>
      <c r="C536" t="s">
        <v>74</v>
      </c>
      <c r="D536" t="s">
        <v>1573</v>
      </c>
      <c r="E536" t="s">
        <v>1574</v>
      </c>
      <c r="F536">
        <v>3552</v>
      </c>
      <c r="G536" s="23">
        <v>45664</v>
      </c>
      <c r="H536" s="2">
        <v>45809.442418981482</v>
      </c>
      <c r="I536" s="2">
        <v>45809.57309027778</v>
      </c>
      <c r="K536" s="149">
        <v>0</v>
      </c>
      <c r="L536" s="149">
        <v>373746</v>
      </c>
      <c r="M536" s="149">
        <v>71013</v>
      </c>
      <c r="N536" s="149">
        <v>444759</v>
      </c>
      <c r="O536">
        <v>0</v>
      </c>
      <c r="P536">
        <v>0</v>
      </c>
      <c r="Q536">
        <v>0</v>
      </c>
      <c r="R536">
        <v>0</v>
      </c>
      <c r="S536">
        <v>0</v>
      </c>
      <c r="T536" t="s">
        <v>77</v>
      </c>
      <c r="U536">
        <v>0</v>
      </c>
      <c r="V536">
        <v>0</v>
      </c>
      <c r="W536">
        <v>0</v>
      </c>
      <c r="X536">
        <v>0</v>
      </c>
      <c r="Y536">
        <v>0</v>
      </c>
      <c r="AC536">
        <v>0</v>
      </c>
      <c r="AE536">
        <v>0</v>
      </c>
      <c r="AF536">
        <v>2</v>
      </c>
      <c r="AG536">
        <v>0</v>
      </c>
      <c r="AH536">
        <v>0</v>
      </c>
      <c r="AI536">
        <v>0</v>
      </c>
      <c r="AM536">
        <v>0</v>
      </c>
      <c r="AR536" t="s">
        <v>2671</v>
      </c>
      <c r="AS536" t="s">
        <v>1680</v>
      </c>
      <c r="AT536">
        <v>2025</v>
      </c>
      <c r="AU536">
        <v>1</v>
      </c>
      <c r="AV536" t="s">
        <v>78</v>
      </c>
      <c r="AX536" t="s">
        <v>2681</v>
      </c>
    </row>
    <row r="537" spans="1:50">
      <c r="A537">
        <v>11</v>
      </c>
      <c r="B537">
        <v>33</v>
      </c>
      <c r="C537" t="s">
        <v>74</v>
      </c>
      <c r="D537" t="s">
        <v>1785</v>
      </c>
      <c r="E537" t="s">
        <v>1786</v>
      </c>
      <c r="F537">
        <v>3553</v>
      </c>
      <c r="G537" s="23">
        <v>45664</v>
      </c>
      <c r="H537" s="2">
        <v>45809.454317129632</v>
      </c>
      <c r="I537" s="2"/>
      <c r="K537" s="149">
        <v>0</v>
      </c>
      <c r="L537" s="149">
        <v>175846</v>
      </c>
      <c r="M537" s="149">
        <v>33411</v>
      </c>
      <c r="N537" s="149">
        <v>209257</v>
      </c>
      <c r="O537">
        <v>0</v>
      </c>
      <c r="P537">
        <v>0</v>
      </c>
      <c r="Q537">
        <v>0</v>
      </c>
      <c r="R537">
        <v>0</v>
      </c>
      <c r="S537">
        <v>0</v>
      </c>
      <c r="T537" t="s">
        <v>77</v>
      </c>
      <c r="U537">
        <v>0</v>
      </c>
      <c r="V537">
        <v>0</v>
      </c>
      <c r="W537">
        <v>0</v>
      </c>
      <c r="X537">
        <v>0</v>
      </c>
      <c r="Y537">
        <v>0</v>
      </c>
      <c r="AC537">
        <v>0</v>
      </c>
      <c r="AE537">
        <v>0</v>
      </c>
      <c r="AF537">
        <v>2</v>
      </c>
      <c r="AG537">
        <v>0</v>
      </c>
      <c r="AH537">
        <v>0</v>
      </c>
      <c r="AI537">
        <v>0</v>
      </c>
      <c r="AM537">
        <v>0</v>
      </c>
      <c r="AR537" t="s">
        <v>2671</v>
      </c>
      <c r="AS537" t="s">
        <v>1680</v>
      </c>
      <c r="AT537">
        <v>2025</v>
      </c>
      <c r="AU537">
        <v>1</v>
      </c>
      <c r="AV537" t="s">
        <v>78</v>
      </c>
      <c r="AX537" t="s">
        <v>2682</v>
      </c>
    </row>
    <row r="538" spans="1:50">
      <c r="A538">
        <v>12</v>
      </c>
      <c r="B538">
        <v>33</v>
      </c>
      <c r="C538" t="s">
        <v>74</v>
      </c>
      <c r="D538" t="s">
        <v>1222</v>
      </c>
      <c r="E538" t="s">
        <v>1223</v>
      </c>
      <c r="F538">
        <v>3554</v>
      </c>
      <c r="G538" s="23">
        <v>45666</v>
      </c>
      <c r="H538" s="2">
        <v>45809.713263888887</v>
      </c>
      <c r="I538" s="2">
        <v>45931.492395833331</v>
      </c>
      <c r="K538" s="149">
        <v>0</v>
      </c>
      <c r="L538" s="149">
        <v>15624000</v>
      </c>
      <c r="M538" s="149">
        <v>2968560</v>
      </c>
      <c r="N538" s="149">
        <v>18592560</v>
      </c>
      <c r="O538">
        <v>0</v>
      </c>
      <c r="P538">
        <v>0</v>
      </c>
      <c r="Q538">
        <v>0</v>
      </c>
      <c r="R538">
        <v>0</v>
      </c>
      <c r="S538">
        <v>0</v>
      </c>
      <c r="T538" t="s">
        <v>77</v>
      </c>
      <c r="U538">
        <v>0</v>
      </c>
      <c r="V538">
        <v>0</v>
      </c>
      <c r="W538">
        <v>0</v>
      </c>
      <c r="X538">
        <v>0</v>
      </c>
      <c r="AC538">
        <v>0</v>
      </c>
      <c r="AE538">
        <v>0</v>
      </c>
      <c r="AF538">
        <v>2</v>
      </c>
      <c r="AG538">
        <v>0</v>
      </c>
      <c r="AH538">
        <v>0</v>
      </c>
      <c r="AI538">
        <v>0</v>
      </c>
      <c r="AM538">
        <v>0</v>
      </c>
      <c r="AR538" t="s">
        <v>2671</v>
      </c>
      <c r="AS538" t="s">
        <v>1680</v>
      </c>
      <c r="AT538">
        <v>2025</v>
      </c>
      <c r="AU538">
        <v>1</v>
      </c>
      <c r="AV538" t="s">
        <v>78</v>
      </c>
      <c r="AX538" t="s">
        <v>2683</v>
      </c>
    </row>
    <row r="539" spans="1:50">
      <c r="A539">
        <v>13</v>
      </c>
      <c r="B539">
        <v>33</v>
      </c>
      <c r="C539" t="s">
        <v>74</v>
      </c>
      <c r="D539" t="s">
        <v>1579</v>
      </c>
      <c r="E539" t="s">
        <v>1580</v>
      </c>
      <c r="F539">
        <v>3555</v>
      </c>
      <c r="G539" s="23">
        <v>45666</v>
      </c>
      <c r="H539" s="2">
        <v>45839.497210648151</v>
      </c>
      <c r="I539" s="2"/>
      <c r="K539" s="149">
        <v>0</v>
      </c>
      <c r="L539" s="149">
        <v>9931060</v>
      </c>
      <c r="M539" s="149">
        <v>1886901</v>
      </c>
      <c r="N539" s="149">
        <v>11817961</v>
      </c>
      <c r="O539">
        <v>0</v>
      </c>
      <c r="P539">
        <v>0</v>
      </c>
      <c r="Q539">
        <v>0</v>
      </c>
      <c r="R539">
        <v>0</v>
      </c>
      <c r="S539">
        <v>0</v>
      </c>
      <c r="T539" t="s">
        <v>77</v>
      </c>
      <c r="U539">
        <v>0</v>
      </c>
      <c r="V539">
        <v>0</v>
      </c>
      <c r="W539">
        <v>0</v>
      </c>
      <c r="X539">
        <v>0</v>
      </c>
      <c r="Y539">
        <v>0</v>
      </c>
      <c r="AC539">
        <v>0</v>
      </c>
      <c r="AE539">
        <v>0</v>
      </c>
      <c r="AF539">
        <v>2</v>
      </c>
      <c r="AG539">
        <v>0</v>
      </c>
      <c r="AH539">
        <v>0</v>
      </c>
      <c r="AI539">
        <v>0</v>
      </c>
      <c r="AM539">
        <v>0</v>
      </c>
      <c r="AR539" t="s">
        <v>2671</v>
      </c>
      <c r="AS539" t="s">
        <v>1680</v>
      </c>
      <c r="AT539">
        <v>2025</v>
      </c>
      <c r="AU539">
        <v>1</v>
      </c>
      <c r="AV539" t="s">
        <v>78</v>
      </c>
      <c r="AX539" t="s">
        <v>2684</v>
      </c>
    </row>
    <row r="540" spans="1:50">
      <c r="A540">
        <v>14</v>
      </c>
      <c r="B540">
        <v>33</v>
      </c>
      <c r="C540" t="s">
        <v>74</v>
      </c>
      <c r="D540" t="s">
        <v>1988</v>
      </c>
      <c r="E540" t="s">
        <v>1989</v>
      </c>
      <c r="F540">
        <v>3556</v>
      </c>
      <c r="G540" s="23">
        <v>45667</v>
      </c>
      <c r="H540" s="2">
        <v>45901.498391203706</v>
      </c>
      <c r="I540" t="s">
        <v>2632</v>
      </c>
      <c r="K540" s="149">
        <v>0</v>
      </c>
      <c r="L540" s="149">
        <v>1005360</v>
      </c>
      <c r="M540" s="149">
        <v>191018</v>
      </c>
      <c r="N540" s="149">
        <v>1196378</v>
      </c>
      <c r="O540">
        <v>0</v>
      </c>
      <c r="P540">
        <v>0</v>
      </c>
      <c r="Q540">
        <v>0</v>
      </c>
      <c r="R540">
        <v>0</v>
      </c>
      <c r="S540">
        <v>0</v>
      </c>
      <c r="T540" t="s">
        <v>77</v>
      </c>
      <c r="U540">
        <v>0</v>
      </c>
      <c r="V540">
        <v>0</v>
      </c>
      <c r="W540">
        <v>0</v>
      </c>
      <c r="X540">
        <v>0</v>
      </c>
      <c r="AC540">
        <v>0</v>
      </c>
      <c r="AE540">
        <v>0</v>
      </c>
      <c r="AF540">
        <v>2</v>
      </c>
      <c r="AG540">
        <v>0</v>
      </c>
      <c r="AH540">
        <v>0</v>
      </c>
      <c r="AI540">
        <v>0</v>
      </c>
      <c r="AM540">
        <v>0</v>
      </c>
      <c r="AR540" t="s">
        <v>2671</v>
      </c>
      <c r="AS540" t="s">
        <v>1680</v>
      </c>
      <c r="AT540">
        <v>2025</v>
      </c>
      <c r="AU540">
        <v>1</v>
      </c>
      <c r="AV540" t="s">
        <v>78</v>
      </c>
      <c r="AX540" t="s">
        <v>2685</v>
      </c>
    </row>
    <row r="541" spans="1:50">
      <c r="A541">
        <v>15</v>
      </c>
      <c r="B541">
        <v>33</v>
      </c>
      <c r="C541" t="s">
        <v>74</v>
      </c>
      <c r="D541" t="s">
        <v>1353</v>
      </c>
      <c r="E541" t="s">
        <v>1354</v>
      </c>
      <c r="F541">
        <v>3557</v>
      </c>
      <c r="G541" s="23" t="s">
        <v>1370</v>
      </c>
      <c r="H541" s="2">
        <v>45931.66978009259</v>
      </c>
      <c r="I541" t="s">
        <v>2633</v>
      </c>
      <c r="K541" s="149">
        <v>0</v>
      </c>
      <c r="L541" s="149">
        <v>953920</v>
      </c>
      <c r="M541" s="149">
        <v>181245</v>
      </c>
      <c r="N541" s="149">
        <v>1135165</v>
      </c>
      <c r="O541">
        <v>0</v>
      </c>
      <c r="P541">
        <v>0</v>
      </c>
      <c r="Q541">
        <v>0</v>
      </c>
      <c r="R541">
        <v>0</v>
      </c>
      <c r="S541">
        <v>0</v>
      </c>
      <c r="T541" t="s">
        <v>77</v>
      </c>
      <c r="U541">
        <v>0</v>
      </c>
      <c r="V541">
        <v>0</v>
      </c>
      <c r="W541">
        <v>0</v>
      </c>
      <c r="X541">
        <v>0</v>
      </c>
      <c r="Y541">
        <v>0</v>
      </c>
      <c r="AC541">
        <v>0</v>
      </c>
      <c r="AE541">
        <v>0</v>
      </c>
      <c r="AF541">
        <v>2</v>
      </c>
      <c r="AG541">
        <v>0</v>
      </c>
      <c r="AH541">
        <v>0</v>
      </c>
      <c r="AI541">
        <v>0</v>
      </c>
      <c r="AM541">
        <v>0</v>
      </c>
      <c r="AR541" t="s">
        <v>2671</v>
      </c>
      <c r="AS541" t="s">
        <v>1680</v>
      </c>
      <c r="AT541">
        <v>2025</v>
      </c>
      <c r="AU541">
        <v>1</v>
      </c>
      <c r="AV541" t="s">
        <v>78</v>
      </c>
      <c r="AX541" t="s">
        <v>2686</v>
      </c>
    </row>
    <row r="542" spans="1:50">
      <c r="A542">
        <v>16</v>
      </c>
      <c r="B542">
        <v>33</v>
      </c>
      <c r="C542" t="s">
        <v>74</v>
      </c>
      <c r="D542" t="s">
        <v>1561</v>
      </c>
      <c r="E542" t="s">
        <v>1562</v>
      </c>
      <c r="F542">
        <v>3558</v>
      </c>
      <c r="G542" s="23" t="s">
        <v>1370</v>
      </c>
      <c r="H542" s="2">
        <v>45931.677546296298</v>
      </c>
      <c r="I542" t="s">
        <v>2634</v>
      </c>
      <c r="K542" s="149">
        <v>0</v>
      </c>
      <c r="L542" s="149">
        <v>5310000</v>
      </c>
      <c r="M542" s="149">
        <v>1008900</v>
      </c>
      <c r="N542" s="149">
        <v>6318900</v>
      </c>
      <c r="O542">
        <v>0</v>
      </c>
      <c r="P542">
        <v>0</v>
      </c>
      <c r="Q542">
        <v>0</v>
      </c>
      <c r="R542">
        <v>0</v>
      </c>
      <c r="S542">
        <v>0</v>
      </c>
      <c r="T542" t="s">
        <v>77</v>
      </c>
      <c r="U542">
        <v>0</v>
      </c>
      <c r="V542">
        <v>0</v>
      </c>
      <c r="W542">
        <v>0</v>
      </c>
      <c r="X542">
        <v>0</v>
      </c>
      <c r="AC542">
        <v>0</v>
      </c>
      <c r="AE542">
        <v>0</v>
      </c>
      <c r="AF542">
        <v>2</v>
      </c>
      <c r="AG542">
        <v>0</v>
      </c>
      <c r="AH542">
        <v>0</v>
      </c>
      <c r="AI542">
        <v>0</v>
      </c>
      <c r="AM542">
        <v>0</v>
      </c>
      <c r="AR542" t="s">
        <v>2671</v>
      </c>
      <c r="AS542" t="s">
        <v>1680</v>
      </c>
      <c r="AT542">
        <v>2025</v>
      </c>
      <c r="AU542">
        <v>1</v>
      </c>
      <c r="AV542" t="s">
        <v>78</v>
      </c>
      <c r="AX542" t="s">
        <v>2687</v>
      </c>
    </row>
    <row r="543" spans="1:50">
      <c r="A543">
        <v>17</v>
      </c>
      <c r="B543">
        <v>33</v>
      </c>
      <c r="C543" t="s">
        <v>74</v>
      </c>
      <c r="D543" t="s">
        <v>1573</v>
      </c>
      <c r="E543" t="s">
        <v>1574</v>
      </c>
      <c r="F543">
        <v>3559</v>
      </c>
      <c r="G543" s="23" t="s">
        <v>1370</v>
      </c>
      <c r="H543" t="s">
        <v>2635</v>
      </c>
      <c r="I543" t="s">
        <v>2636</v>
      </c>
      <c r="K543" s="149">
        <v>0</v>
      </c>
      <c r="L543" s="149">
        <v>374421</v>
      </c>
      <c r="M543" s="149">
        <v>71140</v>
      </c>
      <c r="N543" s="149">
        <v>445561</v>
      </c>
      <c r="O543">
        <v>0</v>
      </c>
      <c r="P543">
        <v>0</v>
      </c>
      <c r="Q543">
        <v>0</v>
      </c>
      <c r="R543">
        <v>0</v>
      </c>
      <c r="S543">
        <v>0</v>
      </c>
      <c r="T543" t="s">
        <v>77</v>
      </c>
      <c r="U543">
        <v>0</v>
      </c>
      <c r="V543">
        <v>0</v>
      </c>
      <c r="W543">
        <v>0</v>
      </c>
      <c r="X543">
        <v>0</v>
      </c>
      <c r="Y543">
        <v>0</v>
      </c>
      <c r="AC543">
        <v>0</v>
      </c>
      <c r="AE543">
        <v>0</v>
      </c>
      <c r="AF543">
        <v>2</v>
      </c>
      <c r="AG543">
        <v>0</v>
      </c>
      <c r="AH543">
        <v>0</v>
      </c>
      <c r="AI543">
        <v>0</v>
      </c>
      <c r="AM543">
        <v>0</v>
      </c>
      <c r="AR543" t="s">
        <v>2671</v>
      </c>
      <c r="AS543" t="s">
        <v>1680</v>
      </c>
      <c r="AT543">
        <v>2025</v>
      </c>
      <c r="AU543">
        <v>1</v>
      </c>
      <c r="AV543" t="s">
        <v>78</v>
      </c>
      <c r="AX543" t="s">
        <v>2688</v>
      </c>
    </row>
    <row r="544" spans="1:50">
      <c r="A544">
        <v>18</v>
      </c>
      <c r="B544">
        <v>33</v>
      </c>
      <c r="C544" t="s">
        <v>74</v>
      </c>
      <c r="D544" t="s">
        <v>1555</v>
      </c>
      <c r="E544" t="s">
        <v>1556</v>
      </c>
      <c r="F544">
        <v>3560</v>
      </c>
      <c r="G544" s="23" t="s">
        <v>1371</v>
      </c>
      <c r="H544" t="s">
        <v>2637</v>
      </c>
      <c r="I544" t="s">
        <v>2638</v>
      </c>
      <c r="K544" s="149">
        <v>0</v>
      </c>
      <c r="L544" s="149">
        <v>1015100</v>
      </c>
      <c r="M544" s="149">
        <v>192869</v>
      </c>
      <c r="N544" s="149">
        <v>1207969</v>
      </c>
      <c r="O544">
        <v>0</v>
      </c>
      <c r="P544">
        <v>0</v>
      </c>
      <c r="Q544">
        <v>0</v>
      </c>
      <c r="R544">
        <v>0</v>
      </c>
      <c r="S544">
        <v>0</v>
      </c>
      <c r="T544" t="s">
        <v>77</v>
      </c>
      <c r="U544">
        <v>0</v>
      </c>
      <c r="V544">
        <v>0</v>
      </c>
      <c r="W544">
        <v>0</v>
      </c>
      <c r="X544">
        <v>0</v>
      </c>
      <c r="AC544">
        <v>0</v>
      </c>
      <c r="AE544">
        <v>0</v>
      </c>
      <c r="AF544">
        <v>2</v>
      </c>
      <c r="AG544">
        <v>0</v>
      </c>
      <c r="AH544">
        <v>0</v>
      </c>
      <c r="AI544">
        <v>0</v>
      </c>
      <c r="AM544">
        <v>0</v>
      </c>
      <c r="AR544" t="s">
        <v>2671</v>
      </c>
      <c r="AS544" t="s">
        <v>1680</v>
      </c>
      <c r="AT544">
        <v>2025</v>
      </c>
      <c r="AU544">
        <v>1</v>
      </c>
      <c r="AV544" t="s">
        <v>78</v>
      </c>
      <c r="AX544" t="s">
        <v>2689</v>
      </c>
    </row>
    <row r="545" spans="1:50">
      <c r="A545">
        <v>19</v>
      </c>
      <c r="B545">
        <v>33</v>
      </c>
      <c r="C545" t="s">
        <v>74</v>
      </c>
      <c r="D545" t="s">
        <v>2329</v>
      </c>
      <c r="E545" t="s">
        <v>2330</v>
      </c>
      <c r="F545">
        <v>3561</v>
      </c>
      <c r="G545" s="23" t="s">
        <v>1371</v>
      </c>
      <c r="H545" t="s">
        <v>2639</v>
      </c>
      <c r="I545" t="s">
        <v>2640</v>
      </c>
      <c r="K545" s="149">
        <v>0</v>
      </c>
      <c r="L545" s="149">
        <v>280000</v>
      </c>
      <c r="M545" s="149">
        <v>53200</v>
      </c>
      <c r="N545" s="149">
        <v>333200</v>
      </c>
      <c r="O545">
        <v>0</v>
      </c>
      <c r="P545">
        <v>0</v>
      </c>
      <c r="Q545">
        <v>0</v>
      </c>
      <c r="R545">
        <v>0</v>
      </c>
      <c r="S545">
        <v>0</v>
      </c>
      <c r="T545" t="s">
        <v>77</v>
      </c>
      <c r="U545">
        <v>0</v>
      </c>
      <c r="V545">
        <v>0</v>
      </c>
      <c r="W545">
        <v>0</v>
      </c>
      <c r="X545">
        <v>0</v>
      </c>
      <c r="Y545">
        <v>0</v>
      </c>
      <c r="AC545">
        <v>0</v>
      </c>
      <c r="AE545">
        <v>0</v>
      </c>
      <c r="AF545">
        <v>2</v>
      </c>
      <c r="AG545">
        <v>0</v>
      </c>
      <c r="AH545">
        <v>0</v>
      </c>
      <c r="AI545">
        <v>0</v>
      </c>
      <c r="AM545">
        <v>0</v>
      </c>
      <c r="AR545" t="s">
        <v>2671</v>
      </c>
      <c r="AS545" t="s">
        <v>1680</v>
      </c>
      <c r="AT545">
        <v>2025</v>
      </c>
      <c r="AU545">
        <v>1</v>
      </c>
      <c r="AV545" t="s">
        <v>78</v>
      </c>
      <c r="AX545" t="s">
        <v>2690</v>
      </c>
    </row>
    <row r="546" spans="1:50">
      <c r="A546">
        <v>20</v>
      </c>
      <c r="B546">
        <v>33</v>
      </c>
      <c r="C546" t="s">
        <v>74</v>
      </c>
      <c r="D546" t="s">
        <v>1222</v>
      </c>
      <c r="E546" t="s">
        <v>1223</v>
      </c>
      <c r="F546">
        <v>3562</v>
      </c>
      <c r="G546" s="23" t="s">
        <v>1371</v>
      </c>
      <c r="H546" t="s">
        <v>2641</v>
      </c>
      <c r="I546" t="s">
        <v>2642</v>
      </c>
      <c r="K546" s="149">
        <v>0</v>
      </c>
      <c r="L546" s="149">
        <v>6412120</v>
      </c>
      <c r="M546" s="149">
        <v>1218303</v>
      </c>
      <c r="N546" s="149">
        <v>7630423</v>
      </c>
      <c r="O546">
        <v>0</v>
      </c>
      <c r="P546">
        <v>0</v>
      </c>
      <c r="Q546">
        <v>0</v>
      </c>
      <c r="R546">
        <v>0</v>
      </c>
      <c r="S546">
        <v>0</v>
      </c>
      <c r="T546" t="s">
        <v>77</v>
      </c>
      <c r="U546">
        <v>0</v>
      </c>
      <c r="V546">
        <v>0</v>
      </c>
      <c r="W546">
        <v>0</v>
      </c>
      <c r="X546">
        <v>0</v>
      </c>
      <c r="AC546">
        <v>0</v>
      </c>
      <c r="AE546">
        <v>0</v>
      </c>
      <c r="AF546">
        <v>2</v>
      </c>
      <c r="AG546">
        <v>0</v>
      </c>
      <c r="AH546">
        <v>0</v>
      </c>
      <c r="AI546">
        <v>0</v>
      </c>
      <c r="AM546">
        <v>0</v>
      </c>
      <c r="AR546" t="s">
        <v>2671</v>
      </c>
      <c r="AS546" t="s">
        <v>1680</v>
      </c>
      <c r="AT546">
        <v>2025</v>
      </c>
      <c r="AU546">
        <v>1</v>
      </c>
      <c r="AV546" t="s">
        <v>78</v>
      </c>
      <c r="AX546" t="s">
        <v>2691</v>
      </c>
    </row>
    <row r="547" spans="1:50">
      <c r="A547">
        <v>21</v>
      </c>
      <c r="B547">
        <v>33</v>
      </c>
      <c r="C547" t="s">
        <v>74</v>
      </c>
      <c r="D547" t="s">
        <v>1581</v>
      </c>
      <c r="E547" t="s">
        <v>1582</v>
      </c>
      <c r="F547">
        <v>3563</v>
      </c>
      <c r="G547" s="23" t="s">
        <v>1371</v>
      </c>
      <c r="H547" t="s">
        <v>2643</v>
      </c>
      <c r="I547" t="s">
        <v>2644</v>
      </c>
      <c r="K547" s="149">
        <v>0</v>
      </c>
      <c r="L547" s="149">
        <v>1398092</v>
      </c>
      <c r="M547" s="149">
        <v>265638</v>
      </c>
      <c r="N547" s="149">
        <v>1663730</v>
      </c>
      <c r="O547">
        <v>0</v>
      </c>
      <c r="P547">
        <v>0</v>
      </c>
      <c r="Q547">
        <v>0</v>
      </c>
      <c r="R547">
        <v>0</v>
      </c>
      <c r="S547">
        <v>0</v>
      </c>
      <c r="T547" t="s">
        <v>77</v>
      </c>
      <c r="U547">
        <v>0</v>
      </c>
      <c r="V547">
        <v>0</v>
      </c>
      <c r="W547">
        <v>0</v>
      </c>
      <c r="X547">
        <v>0</v>
      </c>
      <c r="Y547">
        <v>0</v>
      </c>
      <c r="AC547">
        <v>0</v>
      </c>
      <c r="AE547">
        <v>0</v>
      </c>
      <c r="AF547">
        <v>2</v>
      </c>
      <c r="AG547">
        <v>0</v>
      </c>
      <c r="AH547">
        <v>0</v>
      </c>
      <c r="AI547">
        <v>0</v>
      </c>
      <c r="AM547">
        <v>0</v>
      </c>
      <c r="AR547" t="s">
        <v>2671</v>
      </c>
      <c r="AS547" t="s">
        <v>1680</v>
      </c>
      <c r="AT547">
        <v>2025</v>
      </c>
      <c r="AU547">
        <v>1</v>
      </c>
      <c r="AV547" t="s">
        <v>78</v>
      </c>
      <c r="AX547" t="s">
        <v>2692</v>
      </c>
    </row>
    <row r="548" spans="1:50">
      <c r="A548">
        <v>22</v>
      </c>
      <c r="B548">
        <v>33</v>
      </c>
      <c r="C548" t="s">
        <v>74</v>
      </c>
      <c r="D548" t="s">
        <v>1988</v>
      </c>
      <c r="E548" t="s">
        <v>1989</v>
      </c>
      <c r="F548">
        <v>3564</v>
      </c>
      <c r="G548" s="23" t="s">
        <v>3800</v>
      </c>
      <c r="H548" t="s">
        <v>2645</v>
      </c>
      <c r="J548" t="s">
        <v>2646</v>
      </c>
      <c r="K548" s="149">
        <v>0</v>
      </c>
      <c r="L548" s="149">
        <v>1005360</v>
      </c>
      <c r="M548" s="149">
        <v>191018</v>
      </c>
      <c r="N548" s="149">
        <v>1196378</v>
      </c>
      <c r="O548">
        <v>0</v>
      </c>
      <c r="P548">
        <v>0</v>
      </c>
      <c r="Q548">
        <v>0</v>
      </c>
      <c r="R548">
        <v>0</v>
      </c>
      <c r="S548">
        <v>0</v>
      </c>
      <c r="T548" t="s">
        <v>77</v>
      </c>
      <c r="U548">
        <v>0</v>
      </c>
      <c r="V548">
        <v>0</v>
      </c>
      <c r="W548">
        <v>0</v>
      </c>
      <c r="X548">
        <v>0</v>
      </c>
      <c r="AC548">
        <v>0</v>
      </c>
      <c r="AE548">
        <v>0</v>
      </c>
      <c r="AF548">
        <v>2</v>
      </c>
      <c r="AG548">
        <v>0</v>
      </c>
      <c r="AH548">
        <v>0</v>
      </c>
      <c r="AI548">
        <v>0</v>
      </c>
      <c r="AM548">
        <v>0</v>
      </c>
      <c r="AR548" t="s">
        <v>2671</v>
      </c>
      <c r="AS548" t="s">
        <v>1680</v>
      </c>
      <c r="AT548">
        <v>2025</v>
      </c>
      <c r="AU548">
        <v>1</v>
      </c>
      <c r="AV548" t="s">
        <v>78</v>
      </c>
      <c r="AX548" t="s">
        <v>2693</v>
      </c>
    </row>
    <row r="549" spans="1:50">
      <c r="A549">
        <v>23</v>
      </c>
      <c r="B549">
        <v>33</v>
      </c>
      <c r="C549" t="s">
        <v>74</v>
      </c>
      <c r="D549" t="s">
        <v>1567</v>
      </c>
      <c r="E549" t="s">
        <v>1568</v>
      </c>
      <c r="F549">
        <v>3565</v>
      </c>
      <c r="G549" s="23" t="s">
        <v>3801</v>
      </c>
      <c r="H549" t="s">
        <v>2647</v>
      </c>
      <c r="I549" t="s">
        <v>2648</v>
      </c>
      <c r="K549" s="149">
        <v>0</v>
      </c>
      <c r="L549" s="149">
        <v>458830</v>
      </c>
      <c r="M549" s="149">
        <v>87178</v>
      </c>
      <c r="N549" s="149">
        <v>546008</v>
      </c>
      <c r="O549">
        <v>0</v>
      </c>
      <c r="P549">
        <v>0</v>
      </c>
      <c r="Q549">
        <v>0</v>
      </c>
      <c r="R549">
        <v>0</v>
      </c>
      <c r="S549">
        <v>0</v>
      </c>
      <c r="T549" t="s">
        <v>77</v>
      </c>
      <c r="U549">
        <v>0</v>
      </c>
      <c r="V549">
        <v>0</v>
      </c>
      <c r="W549">
        <v>0</v>
      </c>
      <c r="X549">
        <v>0</v>
      </c>
      <c r="AC549">
        <v>0</v>
      </c>
      <c r="AE549">
        <v>0</v>
      </c>
      <c r="AF549">
        <v>2</v>
      </c>
      <c r="AG549">
        <v>0</v>
      </c>
      <c r="AH549">
        <v>0</v>
      </c>
      <c r="AI549">
        <v>0</v>
      </c>
      <c r="AM549">
        <v>0</v>
      </c>
      <c r="AR549" t="s">
        <v>2671</v>
      </c>
      <c r="AS549" t="s">
        <v>1680</v>
      </c>
      <c r="AT549">
        <v>2025</v>
      </c>
      <c r="AU549">
        <v>1</v>
      </c>
      <c r="AV549" t="s">
        <v>78</v>
      </c>
      <c r="AX549" t="s">
        <v>2694</v>
      </c>
    </row>
    <row r="550" spans="1:50">
      <c r="A550">
        <v>24</v>
      </c>
      <c r="B550">
        <v>33</v>
      </c>
      <c r="C550" t="s">
        <v>74</v>
      </c>
      <c r="D550" t="s">
        <v>1555</v>
      </c>
      <c r="E550" t="s">
        <v>1556</v>
      </c>
      <c r="F550">
        <v>3566</v>
      </c>
      <c r="G550" s="23" t="s">
        <v>3801</v>
      </c>
      <c r="H550" t="s">
        <v>2649</v>
      </c>
      <c r="I550" t="s">
        <v>2650</v>
      </c>
      <c r="K550" s="149">
        <v>0</v>
      </c>
      <c r="L550" s="149">
        <v>1669360</v>
      </c>
      <c r="M550" s="149">
        <v>317179</v>
      </c>
      <c r="N550" s="149">
        <v>1986539</v>
      </c>
      <c r="O550">
        <v>0</v>
      </c>
      <c r="P550">
        <v>0</v>
      </c>
      <c r="Q550">
        <v>0</v>
      </c>
      <c r="R550">
        <v>0</v>
      </c>
      <c r="S550">
        <v>0</v>
      </c>
      <c r="T550" t="s">
        <v>77</v>
      </c>
      <c r="U550">
        <v>0</v>
      </c>
      <c r="V550">
        <v>0</v>
      </c>
      <c r="W550">
        <v>0</v>
      </c>
      <c r="X550">
        <v>0</v>
      </c>
      <c r="AC550">
        <v>0</v>
      </c>
      <c r="AE550">
        <v>0</v>
      </c>
      <c r="AF550">
        <v>2</v>
      </c>
      <c r="AG550">
        <v>0</v>
      </c>
      <c r="AH550">
        <v>0</v>
      </c>
      <c r="AI550">
        <v>0</v>
      </c>
      <c r="AM550">
        <v>0</v>
      </c>
      <c r="AR550" t="s">
        <v>2671</v>
      </c>
      <c r="AS550" t="s">
        <v>1680</v>
      </c>
      <c r="AT550">
        <v>2025</v>
      </c>
      <c r="AU550">
        <v>1</v>
      </c>
      <c r="AV550" t="s">
        <v>78</v>
      </c>
      <c r="AX550" t="s">
        <v>2695</v>
      </c>
    </row>
    <row r="551" spans="1:50">
      <c r="A551">
        <v>25</v>
      </c>
      <c r="B551">
        <v>33</v>
      </c>
      <c r="C551" t="s">
        <v>74</v>
      </c>
      <c r="D551" t="s">
        <v>1222</v>
      </c>
      <c r="E551" t="s">
        <v>1223</v>
      </c>
      <c r="F551">
        <v>3567</v>
      </c>
      <c r="G551" s="23" t="s">
        <v>3802</v>
      </c>
      <c r="H551" t="s">
        <v>2651</v>
      </c>
      <c r="I551" s="2"/>
      <c r="J551" t="s">
        <v>2652</v>
      </c>
      <c r="K551" s="149">
        <v>0</v>
      </c>
      <c r="L551" s="149">
        <v>16839500</v>
      </c>
      <c r="M551" s="149">
        <v>3199504</v>
      </c>
      <c r="N551" s="149">
        <v>20039004</v>
      </c>
      <c r="O551">
        <v>0</v>
      </c>
      <c r="P551">
        <v>0</v>
      </c>
      <c r="Q551">
        <v>0</v>
      </c>
      <c r="R551">
        <v>0</v>
      </c>
      <c r="S551">
        <v>0</v>
      </c>
      <c r="T551" t="s">
        <v>77</v>
      </c>
      <c r="U551">
        <v>0</v>
      </c>
      <c r="V551">
        <v>0</v>
      </c>
      <c r="W551">
        <v>0</v>
      </c>
      <c r="X551">
        <v>0</v>
      </c>
      <c r="AC551">
        <v>0</v>
      </c>
      <c r="AE551">
        <v>0</v>
      </c>
      <c r="AF551">
        <v>2</v>
      </c>
      <c r="AG551">
        <v>0</v>
      </c>
      <c r="AH551">
        <v>0</v>
      </c>
      <c r="AI551">
        <v>0</v>
      </c>
      <c r="AM551">
        <v>0</v>
      </c>
      <c r="AR551" t="s">
        <v>2671</v>
      </c>
      <c r="AS551" t="s">
        <v>1680</v>
      </c>
      <c r="AT551">
        <v>2025</v>
      </c>
      <c r="AU551">
        <v>1</v>
      </c>
      <c r="AV551" t="s">
        <v>78</v>
      </c>
      <c r="AX551" t="s">
        <v>2696</v>
      </c>
    </row>
    <row r="552" spans="1:50">
      <c r="A552">
        <v>26</v>
      </c>
      <c r="B552">
        <v>33</v>
      </c>
      <c r="C552" t="s">
        <v>74</v>
      </c>
      <c r="D552" t="s">
        <v>1222</v>
      </c>
      <c r="E552" t="s">
        <v>1223</v>
      </c>
      <c r="F552">
        <v>3568</v>
      </c>
      <c r="G552" s="23" t="s">
        <v>3802</v>
      </c>
      <c r="H552" t="s">
        <v>2653</v>
      </c>
      <c r="I552" t="s">
        <v>2654</v>
      </c>
      <c r="K552" s="149">
        <v>0</v>
      </c>
      <c r="L552" s="149">
        <v>10069240</v>
      </c>
      <c r="M552" s="149">
        <v>1913156</v>
      </c>
      <c r="N552" s="149">
        <v>11982396</v>
      </c>
      <c r="O552">
        <v>0</v>
      </c>
      <c r="P552">
        <v>0</v>
      </c>
      <c r="Q552">
        <v>0</v>
      </c>
      <c r="R552">
        <v>0</v>
      </c>
      <c r="S552">
        <v>0</v>
      </c>
      <c r="T552" t="s">
        <v>77</v>
      </c>
      <c r="U552">
        <v>0</v>
      </c>
      <c r="V552">
        <v>0</v>
      </c>
      <c r="W552">
        <v>0</v>
      </c>
      <c r="X552">
        <v>0</v>
      </c>
      <c r="AC552">
        <v>0</v>
      </c>
      <c r="AE552">
        <v>0</v>
      </c>
      <c r="AF552">
        <v>2</v>
      </c>
      <c r="AG552">
        <v>0</v>
      </c>
      <c r="AH552">
        <v>0</v>
      </c>
      <c r="AI552">
        <v>0</v>
      </c>
      <c r="AM552">
        <v>0</v>
      </c>
      <c r="AR552" t="s">
        <v>2671</v>
      </c>
      <c r="AS552" t="s">
        <v>1680</v>
      </c>
      <c r="AT552">
        <v>2025</v>
      </c>
      <c r="AU552">
        <v>1</v>
      </c>
      <c r="AV552" t="s">
        <v>78</v>
      </c>
      <c r="AX552" t="s">
        <v>2697</v>
      </c>
    </row>
    <row r="553" spans="1:50">
      <c r="A553">
        <v>27</v>
      </c>
      <c r="B553">
        <v>33</v>
      </c>
      <c r="C553" t="s">
        <v>74</v>
      </c>
      <c r="D553" t="s">
        <v>1222</v>
      </c>
      <c r="E553" t="s">
        <v>1223</v>
      </c>
      <c r="F553">
        <v>3569</v>
      </c>
      <c r="G553" s="23" t="s">
        <v>3802</v>
      </c>
      <c r="H553" t="s">
        <v>2655</v>
      </c>
      <c r="I553" t="s">
        <v>2656</v>
      </c>
      <c r="K553" s="149">
        <v>0</v>
      </c>
      <c r="L553" s="149">
        <v>2341440</v>
      </c>
      <c r="M553" s="149">
        <v>444874</v>
      </c>
      <c r="N553" s="149">
        <v>2786314</v>
      </c>
      <c r="O553">
        <v>0</v>
      </c>
      <c r="P553">
        <v>0</v>
      </c>
      <c r="Q553">
        <v>0</v>
      </c>
      <c r="R553">
        <v>0</v>
      </c>
      <c r="S553">
        <v>0</v>
      </c>
      <c r="T553" t="s">
        <v>77</v>
      </c>
      <c r="U553">
        <v>0</v>
      </c>
      <c r="V553">
        <v>0</v>
      </c>
      <c r="W553">
        <v>0</v>
      </c>
      <c r="X553">
        <v>0</v>
      </c>
      <c r="AC553">
        <v>0</v>
      </c>
      <c r="AE553">
        <v>0</v>
      </c>
      <c r="AF553">
        <v>2</v>
      </c>
      <c r="AG553">
        <v>0</v>
      </c>
      <c r="AH553">
        <v>0</v>
      </c>
      <c r="AI553">
        <v>0</v>
      </c>
      <c r="AM553">
        <v>0</v>
      </c>
      <c r="AR553" t="s">
        <v>2671</v>
      </c>
      <c r="AS553" t="s">
        <v>1680</v>
      </c>
      <c r="AT553">
        <v>2025</v>
      </c>
      <c r="AU553">
        <v>1</v>
      </c>
      <c r="AV553" t="s">
        <v>78</v>
      </c>
      <c r="AX553" t="s">
        <v>2698</v>
      </c>
    </row>
    <row r="554" spans="1:50">
      <c r="A554">
        <v>28</v>
      </c>
      <c r="B554">
        <v>33</v>
      </c>
      <c r="C554" t="s">
        <v>74</v>
      </c>
      <c r="D554" t="s">
        <v>2329</v>
      </c>
      <c r="E554" t="s">
        <v>2330</v>
      </c>
      <c r="F554">
        <v>3570</v>
      </c>
      <c r="G554" s="23" t="s">
        <v>3802</v>
      </c>
      <c r="H554" t="s">
        <v>2657</v>
      </c>
      <c r="I554" t="s">
        <v>2658</v>
      </c>
      <c r="K554" s="149">
        <v>0</v>
      </c>
      <c r="L554" s="149">
        <v>280000</v>
      </c>
      <c r="M554" s="149">
        <v>53200</v>
      </c>
      <c r="N554" s="149">
        <v>333200</v>
      </c>
      <c r="O554">
        <v>0</v>
      </c>
      <c r="P554">
        <v>0</v>
      </c>
      <c r="Q554">
        <v>0</v>
      </c>
      <c r="R554">
        <v>0</v>
      </c>
      <c r="S554">
        <v>0</v>
      </c>
      <c r="T554" t="s">
        <v>77</v>
      </c>
      <c r="U554">
        <v>0</v>
      </c>
      <c r="V554">
        <v>0</v>
      </c>
      <c r="W554">
        <v>0</v>
      </c>
      <c r="X554">
        <v>0</v>
      </c>
      <c r="Y554">
        <v>0</v>
      </c>
      <c r="AC554">
        <v>0</v>
      </c>
      <c r="AE554">
        <v>0</v>
      </c>
      <c r="AF554">
        <v>2</v>
      </c>
      <c r="AG554">
        <v>0</v>
      </c>
      <c r="AH554">
        <v>0</v>
      </c>
      <c r="AI554">
        <v>0</v>
      </c>
      <c r="AM554">
        <v>0</v>
      </c>
      <c r="AR554" t="s">
        <v>2671</v>
      </c>
      <c r="AS554" t="s">
        <v>1680</v>
      </c>
      <c r="AT554">
        <v>2025</v>
      </c>
      <c r="AU554">
        <v>1</v>
      </c>
      <c r="AV554" t="s">
        <v>78</v>
      </c>
      <c r="AX554" t="s">
        <v>2699</v>
      </c>
    </row>
    <row r="555" spans="1:50">
      <c r="A555">
        <v>29</v>
      </c>
      <c r="B555">
        <v>33</v>
      </c>
      <c r="C555" t="s">
        <v>74</v>
      </c>
      <c r="D555" t="s">
        <v>2509</v>
      </c>
      <c r="E555" t="s">
        <v>2510</v>
      </c>
      <c r="F555">
        <v>3571</v>
      </c>
      <c r="G555" s="23" t="s">
        <v>3802</v>
      </c>
      <c r="H555" t="s">
        <v>2659</v>
      </c>
      <c r="I555" t="s">
        <v>2660</v>
      </c>
      <c r="K555" s="149">
        <v>0</v>
      </c>
      <c r="L555" s="149">
        <v>306875</v>
      </c>
      <c r="M555" s="149">
        <v>58307</v>
      </c>
      <c r="N555" s="149">
        <v>365182</v>
      </c>
      <c r="O555">
        <v>0</v>
      </c>
      <c r="P555">
        <v>0</v>
      </c>
      <c r="Q555">
        <v>0</v>
      </c>
      <c r="R555">
        <v>0</v>
      </c>
      <c r="S555">
        <v>0</v>
      </c>
      <c r="T555" t="s">
        <v>77</v>
      </c>
      <c r="U555">
        <v>0</v>
      </c>
      <c r="V555">
        <v>0</v>
      </c>
      <c r="W555">
        <v>0</v>
      </c>
      <c r="X555">
        <v>0</v>
      </c>
      <c r="Y555">
        <v>0</v>
      </c>
      <c r="AC555">
        <v>0</v>
      </c>
      <c r="AE555">
        <v>0</v>
      </c>
      <c r="AF555">
        <v>2</v>
      </c>
      <c r="AG555">
        <v>0</v>
      </c>
      <c r="AH555">
        <v>0</v>
      </c>
      <c r="AI555">
        <v>0</v>
      </c>
      <c r="AM555">
        <v>0</v>
      </c>
      <c r="AR555" t="s">
        <v>2671</v>
      </c>
      <c r="AS555" t="s">
        <v>1680</v>
      </c>
      <c r="AT555">
        <v>2025</v>
      </c>
      <c r="AU555">
        <v>1</v>
      </c>
      <c r="AV555" t="s">
        <v>78</v>
      </c>
      <c r="AX555" t="s">
        <v>2700</v>
      </c>
    </row>
    <row r="556" spans="1:50">
      <c r="A556">
        <v>30</v>
      </c>
      <c r="B556">
        <v>33</v>
      </c>
      <c r="C556" t="s">
        <v>74</v>
      </c>
      <c r="D556" t="s">
        <v>1581</v>
      </c>
      <c r="E556" t="s">
        <v>1582</v>
      </c>
      <c r="F556">
        <v>3572</v>
      </c>
      <c r="G556" s="23" t="s">
        <v>3802</v>
      </c>
      <c r="H556" t="s">
        <v>2661</v>
      </c>
      <c r="I556" t="s">
        <v>2662</v>
      </c>
      <c r="K556" s="149">
        <v>0</v>
      </c>
      <c r="L556" s="149">
        <v>382415</v>
      </c>
      <c r="M556" s="149">
        <v>72659</v>
      </c>
      <c r="N556" s="149">
        <v>455074</v>
      </c>
      <c r="O556">
        <v>0</v>
      </c>
      <c r="P556">
        <v>0</v>
      </c>
      <c r="Q556">
        <v>0</v>
      </c>
      <c r="R556">
        <v>0</v>
      </c>
      <c r="S556">
        <v>0</v>
      </c>
      <c r="T556" t="s">
        <v>77</v>
      </c>
      <c r="U556">
        <v>0</v>
      </c>
      <c r="V556">
        <v>0</v>
      </c>
      <c r="W556">
        <v>0</v>
      </c>
      <c r="X556">
        <v>0</v>
      </c>
      <c r="Y556">
        <v>0</v>
      </c>
      <c r="AC556">
        <v>0</v>
      </c>
      <c r="AE556">
        <v>0</v>
      </c>
      <c r="AF556">
        <v>2</v>
      </c>
      <c r="AG556">
        <v>0</v>
      </c>
      <c r="AH556">
        <v>0</v>
      </c>
      <c r="AI556">
        <v>0</v>
      </c>
      <c r="AM556">
        <v>0</v>
      </c>
      <c r="AR556" t="s">
        <v>2671</v>
      </c>
      <c r="AS556" t="s">
        <v>1680</v>
      </c>
      <c r="AT556">
        <v>2025</v>
      </c>
      <c r="AU556">
        <v>1</v>
      </c>
      <c r="AV556" t="s">
        <v>78</v>
      </c>
      <c r="AX556" t="s">
        <v>2701</v>
      </c>
    </row>
    <row r="557" spans="1:50">
      <c r="A557">
        <v>31</v>
      </c>
      <c r="B557">
        <v>33</v>
      </c>
      <c r="C557" t="s">
        <v>74</v>
      </c>
      <c r="D557" t="s">
        <v>1988</v>
      </c>
      <c r="E557" t="s">
        <v>1989</v>
      </c>
      <c r="F557">
        <v>3573</v>
      </c>
      <c r="G557" s="23" t="s">
        <v>3803</v>
      </c>
      <c r="H557" t="s">
        <v>2663</v>
      </c>
      <c r="I557" t="s">
        <v>2664</v>
      </c>
      <c r="K557" s="149">
        <v>0</v>
      </c>
      <c r="L557" s="149">
        <v>1675600</v>
      </c>
      <c r="M557" s="149">
        <v>318364</v>
      </c>
      <c r="N557" s="149">
        <v>1993964</v>
      </c>
      <c r="O557">
        <v>0</v>
      </c>
      <c r="P557">
        <v>0</v>
      </c>
      <c r="Q557">
        <v>0</v>
      </c>
      <c r="R557">
        <v>0</v>
      </c>
      <c r="S557">
        <v>0</v>
      </c>
      <c r="T557" t="s">
        <v>77</v>
      </c>
      <c r="U557">
        <v>0</v>
      </c>
      <c r="V557">
        <v>0</v>
      </c>
      <c r="W557">
        <v>0</v>
      </c>
      <c r="X557">
        <v>0</v>
      </c>
      <c r="AC557">
        <v>0</v>
      </c>
      <c r="AE557">
        <v>0</v>
      </c>
      <c r="AF557">
        <v>2</v>
      </c>
      <c r="AG557">
        <v>0</v>
      </c>
      <c r="AH557">
        <v>0</v>
      </c>
      <c r="AI557">
        <v>0</v>
      </c>
      <c r="AM557">
        <v>0</v>
      </c>
      <c r="AR557" t="s">
        <v>2671</v>
      </c>
      <c r="AS557" t="s">
        <v>1680</v>
      </c>
      <c r="AT557">
        <v>2025</v>
      </c>
      <c r="AU557">
        <v>1</v>
      </c>
      <c r="AV557" t="s">
        <v>78</v>
      </c>
      <c r="AX557" t="s">
        <v>2702</v>
      </c>
    </row>
    <row r="558" spans="1:50">
      <c r="A558">
        <v>32</v>
      </c>
      <c r="B558">
        <v>33</v>
      </c>
      <c r="C558" t="s">
        <v>74</v>
      </c>
      <c r="D558" t="s">
        <v>1561</v>
      </c>
      <c r="E558" t="s">
        <v>1562</v>
      </c>
      <c r="F558">
        <v>3574</v>
      </c>
      <c r="G558" s="23" t="s">
        <v>3803</v>
      </c>
      <c r="H558" t="s">
        <v>2665</v>
      </c>
      <c r="K558" s="149">
        <v>0</v>
      </c>
      <c r="L558" s="149">
        <v>5107200</v>
      </c>
      <c r="M558" s="149">
        <v>970368</v>
      </c>
      <c r="N558" s="149">
        <v>6077568</v>
      </c>
      <c r="O558">
        <v>0</v>
      </c>
      <c r="P558">
        <v>0</v>
      </c>
      <c r="Q558">
        <v>0</v>
      </c>
      <c r="R558">
        <v>0</v>
      </c>
      <c r="S558">
        <v>0</v>
      </c>
      <c r="T558" t="s">
        <v>77</v>
      </c>
      <c r="U558">
        <v>0</v>
      </c>
      <c r="V558">
        <v>0</v>
      </c>
      <c r="W558">
        <v>0</v>
      </c>
      <c r="X558">
        <v>0</v>
      </c>
      <c r="AC558">
        <v>0</v>
      </c>
      <c r="AE558">
        <v>0</v>
      </c>
      <c r="AF558">
        <v>2</v>
      </c>
      <c r="AG558">
        <v>0</v>
      </c>
      <c r="AH558">
        <v>0</v>
      </c>
      <c r="AI558">
        <v>0</v>
      </c>
      <c r="AM558">
        <v>0</v>
      </c>
      <c r="AR558" t="s">
        <v>2671</v>
      </c>
      <c r="AS558" t="s">
        <v>1680</v>
      </c>
      <c r="AT558">
        <v>2025</v>
      </c>
      <c r="AU558">
        <v>1</v>
      </c>
      <c r="AV558" t="s">
        <v>78</v>
      </c>
      <c r="AX558" t="s">
        <v>2703</v>
      </c>
    </row>
    <row r="559" spans="1:50">
      <c r="A559">
        <v>33</v>
      </c>
      <c r="B559">
        <v>33</v>
      </c>
      <c r="C559" t="s">
        <v>74</v>
      </c>
      <c r="D559" t="s">
        <v>1561</v>
      </c>
      <c r="E559" t="s">
        <v>1562</v>
      </c>
      <c r="F559">
        <v>3575</v>
      </c>
      <c r="G559" s="23" t="s">
        <v>3803</v>
      </c>
      <c r="H559" t="s">
        <v>2666</v>
      </c>
      <c r="I559" t="s">
        <v>2667</v>
      </c>
      <c r="K559" s="149">
        <v>0</v>
      </c>
      <c r="L559" s="149">
        <v>4248000</v>
      </c>
      <c r="M559" s="149">
        <v>807120</v>
      </c>
      <c r="N559" s="149">
        <v>5055120</v>
      </c>
      <c r="O559">
        <v>0</v>
      </c>
      <c r="P559">
        <v>0</v>
      </c>
      <c r="Q559">
        <v>0</v>
      </c>
      <c r="R559">
        <v>0</v>
      </c>
      <c r="S559">
        <v>0</v>
      </c>
      <c r="T559" t="s">
        <v>77</v>
      </c>
      <c r="U559">
        <v>0</v>
      </c>
      <c r="V559">
        <v>0</v>
      </c>
      <c r="W559">
        <v>0</v>
      </c>
      <c r="X559">
        <v>0</v>
      </c>
      <c r="AC559">
        <v>0</v>
      </c>
      <c r="AE559">
        <v>0</v>
      </c>
      <c r="AF559">
        <v>2</v>
      </c>
      <c r="AG559">
        <v>0</v>
      </c>
      <c r="AH559">
        <v>0</v>
      </c>
      <c r="AI559">
        <v>0</v>
      </c>
      <c r="AM559">
        <v>0</v>
      </c>
      <c r="AR559" t="s">
        <v>2671</v>
      </c>
      <c r="AS559" t="s">
        <v>1680</v>
      </c>
      <c r="AT559">
        <v>2025</v>
      </c>
      <c r="AU559">
        <v>1</v>
      </c>
      <c r="AV559" t="s">
        <v>78</v>
      </c>
      <c r="AX559" t="s">
        <v>2704</v>
      </c>
    </row>
    <row r="560" spans="1:50">
      <c r="A560">
        <v>34</v>
      </c>
      <c r="B560">
        <v>33</v>
      </c>
      <c r="C560" t="s">
        <v>74</v>
      </c>
      <c r="D560" t="s">
        <v>1222</v>
      </c>
      <c r="E560" t="s">
        <v>1223</v>
      </c>
      <c r="F560">
        <v>3791</v>
      </c>
      <c r="G560" s="23" t="s">
        <v>3804</v>
      </c>
      <c r="H560" s="2">
        <v>45810.623888888891</v>
      </c>
      <c r="I560" s="2">
        <v>45810.728275462963</v>
      </c>
      <c r="K560" s="149">
        <v>0</v>
      </c>
      <c r="L560" s="149">
        <v>14645500</v>
      </c>
      <c r="M560" s="149">
        <v>2782645</v>
      </c>
      <c r="N560" s="149">
        <v>17428145</v>
      </c>
      <c r="O560">
        <v>0</v>
      </c>
      <c r="P560">
        <v>0</v>
      </c>
      <c r="Q560">
        <v>0</v>
      </c>
      <c r="R560">
        <v>0</v>
      </c>
      <c r="S560">
        <v>0</v>
      </c>
      <c r="T560" t="s">
        <v>77</v>
      </c>
      <c r="U560">
        <v>0</v>
      </c>
      <c r="V560">
        <v>0</v>
      </c>
      <c r="W560">
        <v>0</v>
      </c>
      <c r="X560">
        <v>0</v>
      </c>
      <c r="AC560">
        <v>0</v>
      </c>
      <c r="AE560">
        <v>0</v>
      </c>
      <c r="AF560">
        <v>2</v>
      </c>
      <c r="AG560">
        <v>0</v>
      </c>
      <c r="AH560">
        <v>0</v>
      </c>
      <c r="AI560">
        <v>0</v>
      </c>
      <c r="AM560">
        <v>0</v>
      </c>
      <c r="AR560" t="s">
        <v>2671</v>
      </c>
      <c r="AS560" t="s">
        <v>1680</v>
      </c>
      <c r="AT560">
        <v>2025</v>
      </c>
      <c r="AU560">
        <v>1</v>
      </c>
      <c r="AV560" t="s">
        <v>78</v>
      </c>
      <c r="AX560" t="s">
        <v>2705</v>
      </c>
    </row>
    <row r="561" spans="1:50">
      <c r="A561">
        <v>35</v>
      </c>
      <c r="B561">
        <v>33</v>
      </c>
      <c r="C561" t="s">
        <v>74</v>
      </c>
      <c r="D561" t="s">
        <v>1573</v>
      </c>
      <c r="E561" t="s">
        <v>1574</v>
      </c>
      <c r="F561">
        <v>3794</v>
      </c>
      <c r="G561" s="23" t="s">
        <v>3804</v>
      </c>
      <c r="H561" s="2">
        <v>45810.623981481483</v>
      </c>
      <c r="I561" s="2">
        <v>45963.656365740739</v>
      </c>
      <c r="K561" s="149">
        <v>0</v>
      </c>
      <c r="L561" s="149">
        <v>224792</v>
      </c>
      <c r="M561" s="149">
        <v>42711</v>
      </c>
      <c r="N561" s="149">
        <v>267503</v>
      </c>
      <c r="O561">
        <v>0</v>
      </c>
      <c r="P561">
        <v>0</v>
      </c>
      <c r="Q561">
        <v>0</v>
      </c>
      <c r="R561">
        <v>0</v>
      </c>
      <c r="S561">
        <v>0</v>
      </c>
      <c r="T561" t="s">
        <v>77</v>
      </c>
      <c r="U561">
        <v>0</v>
      </c>
      <c r="V561">
        <v>0</v>
      </c>
      <c r="W561">
        <v>0</v>
      </c>
      <c r="X561">
        <v>0</v>
      </c>
      <c r="Y561">
        <v>0</v>
      </c>
      <c r="AC561">
        <v>0</v>
      </c>
      <c r="AE561">
        <v>0</v>
      </c>
      <c r="AF561">
        <v>2</v>
      </c>
      <c r="AG561">
        <v>0</v>
      </c>
      <c r="AH561">
        <v>0</v>
      </c>
      <c r="AI561">
        <v>0</v>
      </c>
      <c r="AM561">
        <v>0</v>
      </c>
      <c r="AR561" t="s">
        <v>2671</v>
      </c>
      <c r="AS561" t="s">
        <v>1680</v>
      </c>
      <c r="AT561">
        <v>2025</v>
      </c>
      <c r="AU561">
        <v>1</v>
      </c>
      <c r="AV561" t="s">
        <v>78</v>
      </c>
      <c r="AX561" t="s">
        <v>2706</v>
      </c>
    </row>
    <row r="562" spans="1:50">
      <c r="A562">
        <v>36</v>
      </c>
      <c r="B562">
        <v>33</v>
      </c>
      <c r="C562" t="s">
        <v>74</v>
      </c>
      <c r="D562" t="s">
        <v>1222</v>
      </c>
      <c r="E562" t="s">
        <v>1223</v>
      </c>
      <c r="F562">
        <v>3792</v>
      </c>
      <c r="G562" s="23" t="s">
        <v>3804</v>
      </c>
      <c r="H562" s="2">
        <v>45810.623935185184</v>
      </c>
      <c r="I562" s="2">
        <v>45810.728263888886</v>
      </c>
      <c r="K562" s="149">
        <v>0</v>
      </c>
      <c r="L562" s="149">
        <v>5652360</v>
      </c>
      <c r="M562" s="149">
        <v>1073949</v>
      </c>
      <c r="N562" s="149">
        <v>6726309</v>
      </c>
      <c r="O562">
        <v>0</v>
      </c>
      <c r="P562">
        <v>0</v>
      </c>
      <c r="Q562">
        <v>0</v>
      </c>
      <c r="R562">
        <v>0</v>
      </c>
      <c r="S562">
        <v>0</v>
      </c>
      <c r="T562" t="s">
        <v>77</v>
      </c>
      <c r="U562">
        <v>0</v>
      </c>
      <c r="V562">
        <v>0</v>
      </c>
      <c r="W562">
        <v>0</v>
      </c>
      <c r="X562">
        <v>0</v>
      </c>
      <c r="AC562">
        <v>0</v>
      </c>
      <c r="AE562">
        <v>0</v>
      </c>
      <c r="AF562">
        <v>2</v>
      </c>
      <c r="AG562">
        <v>0</v>
      </c>
      <c r="AH562">
        <v>0</v>
      </c>
      <c r="AI562">
        <v>0</v>
      </c>
      <c r="AM562">
        <v>0</v>
      </c>
      <c r="AR562" t="s">
        <v>2671</v>
      </c>
      <c r="AS562" t="s">
        <v>1680</v>
      </c>
      <c r="AT562">
        <v>2025</v>
      </c>
      <c r="AU562">
        <v>1</v>
      </c>
      <c r="AV562" t="s">
        <v>78</v>
      </c>
      <c r="AX562" t="s">
        <v>2707</v>
      </c>
    </row>
    <row r="563" spans="1:50">
      <c r="A563">
        <v>37</v>
      </c>
      <c r="B563">
        <v>33</v>
      </c>
      <c r="C563" t="s">
        <v>74</v>
      </c>
      <c r="D563" t="s">
        <v>1353</v>
      </c>
      <c r="E563" t="s">
        <v>1354</v>
      </c>
      <c r="F563">
        <v>3795</v>
      </c>
      <c r="G563" s="23" t="s">
        <v>3804</v>
      </c>
      <c r="H563" s="2">
        <v>45810.623981481483</v>
      </c>
      <c r="I563" s="2">
        <v>45840.516365740739</v>
      </c>
      <c r="K563" s="149">
        <v>0</v>
      </c>
      <c r="L563" s="149">
        <v>1138885</v>
      </c>
      <c r="M563" s="149">
        <v>216388</v>
      </c>
      <c r="N563" s="149">
        <v>1355273</v>
      </c>
      <c r="O563">
        <v>0</v>
      </c>
      <c r="P563">
        <v>0</v>
      </c>
      <c r="Q563">
        <v>0</v>
      </c>
      <c r="R563">
        <v>0</v>
      </c>
      <c r="S563">
        <v>0</v>
      </c>
      <c r="T563" t="s">
        <v>77</v>
      </c>
      <c r="U563">
        <v>0</v>
      </c>
      <c r="V563">
        <v>0</v>
      </c>
      <c r="W563">
        <v>0</v>
      </c>
      <c r="X563">
        <v>0</v>
      </c>
      <c r="Y563">
        <v>0</v>
      </c>
      <c r="AC563">
        <v>0</v>
      </c>
      <c r="AE563">
        <v>0</v>
      </c>
      <c r="AF563">
        <v>2</v>
      </c>
      <c r="AG563">
        <v>0</v>
      </c>
      <c r="AH563">
        <v>0</v>
      </c>
      <c r="AI563">
        <v>0</v>
      </c>
      <c r="AM563">
        <v>0</v>
      </c>
      <c r="AR563" t="s">
        <v>2671</v>
      </c>
      <c r="AS563" t="s">
        <v>1680</v>
      </c>
      <c r="AT563">
        <v>2025</v>
      </c>
      <c r="AU563">
        <v>1</v>
      </c>
      <c r="AV563" t="s">
        <v>78</v>
      </c>
      <c r="AX563" t="s">
        <v>2708</v>
      </c>
    </row>
    <row r="564" spans="1:50">
      <c r="A564">
        <v>38</v>
      </c>
      <c r="B564">
        <v>33</v>
      </c>
      <c r="C564" t="s">
        <v>74</v>
      </c>
      <c r="D564" t="s">
        <v>1631</v>
      </c>
      <c r="E564" t="s">
        <v>1632</v>
      </c>
      <c r="F564">
        <v>3793</v>
      </c>
      <c r="G564" s="23" t="s">
        <v>3804</v>
      </c>
      <c r="H564" s="2">
        <v>45810.62394675926</v>
      </c>
      <c r="K564" s="149">
        <v>0</v>
      </c>
      <c r="L564" s="149">
        <v>264000</v>
      </c>
      <c r="M564" s="149">
        <v>50160</v>
      </c>
      <c r="N564" s="149">
        <v>314160</v>
      </c>
      <c r="O564">
        <v>0</v>
      </c>
      <c r="P564">
        <v>0</v>
      </c>
      <c r="Q564">
        <v>0</v>
      </c>
      <c r="R564">
        <v>0</v>
      </c>
      <c r="S564">
        <v>0</v>
      </c>
      <c r="T564" t="s">
        <v>77</v>
      </c>
      <c r="U564">
        <v>0</v>
      </c>
      <c r="V564">
        <v>0</v>
      </c>
      <c r="W564">
        <v>0</v>
      </c>
      <c r="X564">
        <v>0</v>
      </c>
      <c r="Y564">
        <v>0</v>
      </c>
      <c r="AC564">
        <v>0</v>
      </c>
      <c r="AE564">
        <v>0</v>
      </c>
      <c r="AF564">
        <v>2</v>
      </c>
      <c r="AG564">
        <v>0</v>
      </c>
      <c r="AH564">
        <v>0</v>
      </c>
      <c r="AI564">
        <v>0</v>
      </c>
      <c r="AM564">
        <v>0</v>
      </c>
      <c r="AR564" t="s">
        <v>2671</v>
      </c>
      <c r="AS564" t="s">
        <v>1680</v>
      </c>
      <c r="AT564">
        <v>2025</v>
      </c>
      <c r="AU564">
        <v>1</v>
      </c>
      <c r="AV564" t="s">
        <v>78</v>
      </c>
      <c r="AX564" t="s">
        <v>2709</v>
      </c>
    </row>
    <row r="565" spans="1:50">
      <c r="A565">
        <v>39</v>
      </c>
      <c r="B565">
        <v>33</v>
      </c>
      <c r="C565" t="s">
        <v>74</v>
      </c>
      <c r="D565" t="s">
        <v>1558</v>
      </c>
      <c r="E565" t="s">
        <v>1559</v>
      </c>
      <c r="F565">
        <v>3797</v>
      </c>
      <c r="G565" s="23" t="s">
        <v>3804</v>
      </c>
      <c r="H565" s="2">
        <v>45810.623993055553</v>
      </c>
      <c r="I565" s="2">
        <v>45993.396678240744</v>
      </c>
      <c r="K565" s="149">
        <v>0</v>
      </c>
      <c r="L565" s="149">
        <v>170400</v>
      </c>
      <c r="M565" s="149">
        <v>32376</v>
      </c>
      <c r="N565" s="149">
        <v>202776</v>
      </c>
      <c r="O565">
        <v>0</v>
      </c>
      <c r="P565">
        <v>0</v>
      </c>
      <c r="Q565">
        <v>0</v>
      </c>
      <c r="R565">
        <v>0</v>
      </c>
      <c r="S565">
        <v>0</v>
      </c>
      <c r="T565" t="s">
        <v>77</v>
      </c>
      <c r="U565">
        <v>0</v>
      </c>
      <c r="V565">
        <v>0</v>
      </c>
      <c r="W565">
        <v>0</v>
      </c>
      <c r="X565">
        <v>0</v>
      </c>
      <c r="AC565">
        <v>0</v>
      </c>
      <c r="AE565">
        <v>0</v>
      </c>
      <c r="AF565">
        <v>2</v>
      </c>
      <c r="AG565">
        <v>0</v>
      </c>
      <c r="AH565">
        <v>0</v>
      </c>
      <c r="AI565">
        <v>0</v>
      </c>
      <c r="AM565">
        <v>0</v>
      </c>
      <c r="AR565" t="s">
        <v>2671</v>
      </c>
      <c r="AS565" t="s">
        <v>1680</v>
      </c>
      <c r="AT565">
        <v>2025</v>
      </c>
      <c r="AU565">
        <v>1</v>
      </c>
      <c r="AV565" t="s">
        <v>78</v>
      </c>
      <c r="AX565" t="s">
        <v>2710</v>
      </c>
    </row>
    <row r="566" spans="1:50">
      <c r="A566">
        <v>40</v>
      </c>
      <c r="B566">
        <v>33</v>
      </c>
      <c r="C566" t="s">
        <v>74</v>
      </c>
      <c r="D566" t="s">
        <v>1561</v>
      </c>
      <c r="E566" t="s">
        <v>1562</v>
      </c>
      <c r="F566">
        <v>3796</v>
      </c>
      <c r="G566" s="23" t="s">
        <v>3804</v>
      </c>
      <c r="H566" s="2">
        <v>45810.623993055553</v>
      </c>
      <c r="K566" s="149">
        <v>0</v>
      </c>
      <c r="L566" s="149">
        <v>44062500</v>
      </c>
      <c r="M566" s="149">
        <v>8371875</v>
      </c>
      <c r="N566" s="149">
        <v>52434375</v>
      </c>
      <c r="O566">
        <v>0</v>
      </c>
      <c r="P566">
        <v>0</v>
      </c>
      <c r="Q566">
        <v>0</v>
      </c>
      <c r="R566">
        <v>0</v>
      </c>
      <c r="S566">
        <v>0</v>
      </c>
      <c r="T566" t="s">
        <v>77</v>
      </c>
      <c r="U566">
        <v>0</v>
      </c>
      <c r="V566">
        <v>0</v>
      </c>
      <c r="W566">
        <v>0</v>
      </c>
      <c r="X566">
        <v>0</v>
      </c>
      <c r="AC566">
        <v>0</v>
      </c>
      <c r="AE566">
        <v>0</v>
      </c>
      <c r="AF566">
        <v>2</v>
      </c>
      <c r="AG566">
        <v>0</v>
      </c>
      <c r="AH566">
        <v>0</v>
      </c>
      <c r="AI566">
        <v>0</v>
      </c>
      <c r="AM566">
        <v>0</v>
      </c>
      <c r="AR566" t="s">
        <v>2671</v>
      </c>
      <c r="AS566" t="s">
        <v>1680</v>
      </c>
      <c r="AT566">
        <v>2025</v>
      </c>
      <c r="AU566">
        <v>1</v>
      </c>
      <c r="AV566" t="s">
        <v>78</v>
      </c>
      <c r="AX566" t="s">
        <v>2711</v>
      </c>
    </row>
    <row r="567" spans="1:50">
      <c r="A567">
        <v>41</v>
      </c>
      <c r="B567">
        <v>33</v>
      </c>
      <c r="C567" t="s">
        <v>74</v>
      </c>
      <c r="D567" t="s">
        <v>1222</v>
      </c>
      <c r="E567" t="s">
        <v>1223</v>
      </c>
      <c r="F567">
        <v>3798</v>
      </c>
      <c r="G567" s="23" t="s">
        <v>3805</v>
      </c>
      <c r="H567" s="2">
        <v>45810.624039351853</v>
      </c>
      <c r="I567" s="2">
        <v>45810.728263888886</v>
      </c>
      <c r="K567" s="149">
        <v>0</v>
      </c>
      <c r="L567" s="149">
        <v>15891020</v>
      </c>
      <c r="M567" s="149">
        <v>3019294</v>
      </c>
      <c r="N567" s="149">
        <v>18910314</v>
      </c>
      <c r="O567">
        <v>0</v>
      </c>
      <c r="P567">
        <v>0</v>
      </c>
      <c r="Q567">
        <v>0</v>
      </c>
      <c r="R567">
        <v>0</v>
      </c>
      <c r="S567">
        <v>0</v>
      </c>
      <c r="T567" t="s">
        <v>77</v>
      </c>
      <c r="U567">
        <v>0</v>
      </c>
      <c r="V567">
        <v>0</v>
      </c>
      <c r="W567">
        <v>0</v>
      </c>
      <c r="X567">
        <v>0</v>
      </c>
      <c r="AC567">
        <v>0</v>
      </c>
      <c r="AE567">
        <v>0</v>
      </c>
      <c r="AF567">
        <v>2</v>
      </c>
      <c r="AG567">
        <v>0</v>
      </c>
      <c r="AH567">
        <v>0</v>
      </c>
      <c r="AI567">
        <v>0</v>
      </c>
      <c r="AM567">
        <v>0</v>
      </c>
      <c r="AR567" t="s">
        <v>2671</v>
      </c>
      <c r="AS567" t="s">
        <v>1680</v>
      </c>
      <c r="AT567">
        <v>2025</v>
      </c>
      <c r="AU567">
        <v>1</v>
      </c>
      <c r="AV567" t="s">
        <v>78</v>
      </c>
      <c r="AX567" t="s">
        <v>2712</v>
      </c>
    </row>
    <row r="568" spans="1:50">
      <c r="A568">
        <v>42</v>
      </c>
      <c r="B568">
        <v>33</v>
      </c>
      <c r="C568" t="s">
        <v>74</v>
      </c>
      <c r="D568" t="s">
        <v>1571</v>
      </c>
      <c r="E568" t="s">
        <v>1572</v>
      </c>
      <c r="F568">
        <v>3799</v>
      </c>
      <c r="G568" s="23" t="s">
        <v>3805</v>
      </c>
      <c r="H568" s="2">
        <v>45810.624050925922</v>
      </c>
      <c r="I568" s="2">
        <v>45810.851840277777</v>
      </c>
      <c r="K568" s="149">
        <v>0</v>
      </c>
      <c r="L568" s="149">
        <v>5875745</v>
      </c>
      <c r="M568" s="149">
        <v>1116392</v>
      </c>
      <c r="N568" s="149">
        <v>6992137</v>
      </c>
      <c r="O568">
        <v>0</v>
      </c>
      <c r="P568">
        <v>0</v>
      </c>
      <c r="Q568">
        <v>0</v>
      </c>
      <c r="R568">
        <v>0</v>
      </c>
      <c r="S568">
        <v>0</v>
      </c>
      <c r="T568" t="s">
        <v>77</v>
      </c>
      <c r="U568">
        <v>0</v>
      </c>
      <c r="V568">
        <v>0</v>
      </c>
      <c r="W568">
        <v>0</v>
      </c>
      <c r="X568">
        <v>0</v>
      </c>
      <c r="AC568">
        <v>0</v>
      </c>
      <c r="AE568">
        <v>0</v>
      </c>
      <c r="AF568">
        <v>2</v>
      </c>
      <c r="AG568">
        <v>0</v>
      </c>
      <c r="AH568">
        <v>0</v>
      </c>
      <c r="AI568">
        <v>0</v>
      </c>
      <c r="AM568">
        <v>0</v>
      </c>
      <c r="AR568" t="s">
        <v>2671</v>
      </c>
      <c r="AS568" t="s">
        <v>1680</v>
      </c>
      <c r="AT568">
        <v>2025</v>
      </c>
      <c r="AU568">
        <v>1</v>
      </c>
      <c r="AV568" t="s">
        <v>78</v>
      </c>
      <c r="AX568" t="s">
        <v>2713</v>
      </c>
    </row>
    <row r="569" spans="1:50">
      <c r="A569">
        <v>43</v>
      </c>
      <c r="B569">
        <v>33</v>
      </c>
      <c r="C569" t="s">
        <v>74</v>
      </c>
      <c r="D569" t="s">
        <v>1581</v>
      </c>
      <c r="E569" t="s">
        <v>1582</v>
      </c>
      <c r="F569">
        <v>3800</v>
      </c>
      <c r="G569" s="23" t="s">
        <v>3805</v>
      </c>
      <c r="H569" s="2">
        <v>45810.624166666668</v>
      </c>
      <c r="I569" t="s">
        <v>2668</v>
      </c>
      <c r="K569" s="149">
        <v>0</v>
      </c>
      <c r="L569" s="149">
        <v>684229</v>
      </c>
      <c r="M569" s="149">
        <v>130002</v>
      </c>
      <c r="N569" s="149">
        <v>814231</v>
      </c>
      <c r="O569">
        <v>0</v>
      </c>
      <c r="P569">
        <v>0</v>
      </c>
      <c r="Q569">
        <v>0</v>
      </c>
      <c r="R569">
        <v>0</v>
      </c>
      <c r="S569">
        <v>0</v>
      </c>
      <c r="T569" t="s">
        <v>77</v>
      </c>
      <c r="U569">
        <v>0</v>
      </c>
      <c r="V569">
        <v>0</v>
      </c>
      <c r="W569">
        <v>0</v>
      </c>
      <c r="X569">
        <v>0</v>
      </c>
      <c r="Y569">
        <v>0</v>
      </c>
      <c r="AC569">
        <v>0</v>
      </c>
      <c r="AE569">
        <v>0</v>
      </c>
      <c r="AF569">
        <v>2</v>
      </c>
      <c r="AG569">
        <v>0</v>
      </c>
      <c r="AH569">
        <v>0</v>
      </c>
      <c r="AI569">
        <v>0</v>
      </c>
      <c r="AM569">
        <v>0</v>
      </c>
      <c r="AR569" t="s">
        <v>2671</v>
      </c>
      <c r="AS569" t="s">
        <v>1680</v>
      </c>
      <c r="AT569">
        <v>2025</v>
      </c>
      <c r="AU569">
        <v>1</v>
      </c>
      <c r="AV569" t="s">
        <v>78</v>
      </c>
      <c r="AX569" t="s">
        <v>2714</v>
      </c>
    </row>
    <row r="570" spans="1:50">
      <c r="A570">
        <v>44</v>
      </c>
      <c r="B570">
        <v>33</v>
      </c>
      <c r="C570" t="s">
        <v>74</v>
      </c>
      <c r="D570" t="s">
        <v>1555</v>
      </c>
      <c r="E570" t="s">
        <v>1556</v>
      </c>
      <c r="F570">
        <v>3801</v>
      </c>
      <c r="G570" s="23" t="s">
        <v>1424</v>
      </c>
      <c r="H570" s="2">
        <v>45810.624212962961</v>
      </c>
      <c r="K570" s="149">
        <v>0</v>
      </c>
      <c r="L570" s="149">
        <v>1492060</v>
      </c>
      <c r="M570" s="149">
        <v>283492</v>
      </c>
      <c r="N570" s="149">
        <v>1775552</v>
      </c>
      <c r="O570">
        <v>0</v>
      </c>
      <c r="P570">
        <v>0</v>
      </c>
      <c r="Q570">
        <v>0</v>
      </c>
      <c r="R570">
        <v>0</v>
      </c>
      <c r="S570">
        <v>0</v>
      </c>
      <c r="T570" t="s">
        <v>77</v>
      </c>
      <c r="U570">
        <v>0</v>
      </c>
      <c r="V570">
        <v>0</v>
      </c>
      <c r="W570">
        <v>0</v>
      </c>
      <c r="X570">
        <v>0</v>
      </c>
      <c r="AC570">
        <v>0</v>
      </c>
      <c r="AE570">
        <v>0</v>
      </c>
      <c r="AF570">
        <v>2</v>
      </c>
      <c r="AG570">
        <v>0</v>
      </c>
      <c r="AH570">
        <v>0</v>
      </c>
      <c r="AI570">
        <v>0</v>
      </c>
      <c r="AM570">
        <v>0</v>
      </c>
      <c r="AR570" t="s">
        <v>2671</v>
      </c>
      <c r="AS570" t="s">
        <v>1680</v>
      </c>
      <c r="AT570">
        <v>2025</v>
      </c>
      <c r="AU570">
        <v>1</v>
      </c>
      <c r="AV570" t="s">
        <v>78</v>
      </c>
      <c r="AX570" t="s">
        <v>2715</v>
      </c>
    </row>
    <row r="571" spans="1:50">
      <c r="A571">
        <v>45</v>
      </c>
      <c r="B571">
        <v>33</v>
      </c>
      <c r="C571" t="s">
        <v>74</v>
      </c>
      <c r="D571" t="s">
        <v>1600</v>
      </c>
      <c r="E571" t="s">
        <v>1601</v>
      </c>
      <c r="F571">
        <v>3807</v>
      </c>
      <c r="G571" s="23" t="s">
        <v>3803</v>
      </c>
      <c r="H571" s="2">
        <v>45810.624224537038</v>
      </c>
      <c r="I571" s="2"/>
      <c r="K571" s="149">
        <v>0</v>
      </c>
      <c r="L571" s="149">
        <v>22000</v>
      </c>
      <c r="M571" s="149">
        <v>4180</v>
      </c>
      <c r="N571" s="149">
        <v>26180</v>
      </c>
      <c r="O571">
        <v>0</v>
      </c>
      <c r="P571">
        <v>0</v>
      </c>
      <c r="Q571">
        <v>0</v>
      </c>
      <c r="R571">
        <v>0</v>
      </c>
      <c r="S571">
        <v>0</v>
      </c>
      <c r="T571" t="s">
        <v>77</v>
      </c>
      <c r="U571">
        <v>0</v>
      </c>
      <c r="V571">
        <v>0</v>
      </c>
      <c r="W571">
        <v>0</v>
      </c>
      <c r="X571">
        <v>0</v>
      </c>
      <c r="Y571">
        <v>0</v>
      </c>
      <c r="AC571">
        <v>0</v>
      </c>
      <c r="AE571">
        <v>0</v>
      </c>
      <c r="AF571">
        <v>2</v>
      </c>
      <c r="AG571">
        <v>0</v>
      </c>
      <c r="AH571">
        <v>0</v>
      </c>
      <c r="AI571">
        <v>0</v>
      </c>
      <c r="AM571">
        <v>0</v>
      </c>
      <c r="AR571" t="s">
        <v>2671</v>
      </c>
      <c r="AS571" t="s">
        <v>1680</v>
      </c>
      <c r="AT571">
        <v>2025</v>
      </c>
      <c r="AU571">
        <v>1</v>
      </c>
      <c r="AV571" t="s">
        <v>78</v>
      </c>
      <c r="AX571" t="s">
        <v>2716</v>
      </c>
    </row>
    <row r="572" spans="1:50">
      <c r="A572">
        <v>46</v>
      </c>
      <c r="B572">
        <v>33</v>
      </c>
      <c r="C572" t="s">
        <v>74</v>
      </c>
      <c r="D572" t="s">
        <v>319</v>
      </c>
      <c r="E572" t="s">
        <v>2547</v>
      </c>
      <c r="F572">
        <v>3790</v>
      </c>
      <c r="G572" s="23" t="s">
        <v>3803</v>
      </c>
      <c r="H572" s="2">
        <v>45810.691030092596</v>
      </c>
      <c r="K572" s="149">
        <v>0</v>
      </c>
      <c r="L572" s="149">
        <v>5000000</v>
      </c>
      <c r="M572" s="149">
        <v>950000</v>
      </c>
      <c r="N572" s="149">
        <v>5950000</v>
      </c>
      <c r="O572">
        <v>0</v>
      </c>
      <c r="P572">
        <v>0</v>
      </c>
      <c r="Q572">
        <v>0</v>
      </c>
      <c r="R572">
        <v>0</v>
      </c>
      <c r="S572">
        <v>0</v>
      </c>
      <c r="T572" t="s">
        <v>77</v>
      </c>
      <c r="U572">
        <v>0</v>
      </c>
      <c r="V572">
        <v>0</v>
      </c>
      <c r="W572">
        <v>0</v>
      </c>
      <c r="X572">
        <v>0</v>
      </c>
      <c r="Y572">
        <v>0</v>
      </c>
      <c r="AC572">
        <v>0</v>
      </c>
      <c r="AE572">
        <v>0</v>
      </c>
      <c r="AF572">
        <v>2</v>
      </c>
      <c r="AG572">
        <v>0</v>
      </c>
      <c r="AH572">
        <v>0</v>
      </c>
      <c r="AI572">
        <v>0</v>
      </c>
      <c r="AM572">
        <v>0</v>
      </c>
      <c r="AR572" t="s">
        <v>2671</v>
      </c>
      <c r="AS572" t="s">
        <v>1680</v>
      </c>
      <c r="AT572">
        <v>2025</v>
      </c>
      <c r="AU572">
        <v>1</v>
      </c>
      <c r="AV572" t="s">
        <v>78</v>
      </c>
      <c r="AX572" t="s">
        <v>2717</v>
      </c>
    </row>
    <row r="573" spans="1:50">
      <c r="A573">
        <v>47</v>
      </c>
      <c r="B573">
        <v>56</v>
      </c>
      <c r="C573" t="s">
        <v>74</v>
      </c>
      <c r="D573" t="s">
        <v>1988</v>
      </c>
      <c r="E573" t="s">
        <v>1989</v>
      </c>
      <c r="F573">
        <v>11</v>
      </c>
      <c r="G573" s="23" t="s">
        <v>3800</v>
      </c>
      <c r="H573" s="2">
        <v>45718.7653125</v>
      </c>
      <c r="K573" s="149">
        <v>0</v>
      </c>
      <c r="L573" s="149">
        <v>1005360</v>
      </c>
      <c r="M573" s="149">
        <v>191018</v>
      </c>
      <c r="N573" s="149">
        <v>1196378</v>
      </c>
      <c r="O573">
        <v>0</v>
      </c>
      <c r="P573">
        <v>0</v>
      </c>
      <c r="Q573">
        <v>0</v>
      </c>
      <c r="R573">
        <v>0</v>
      </c>
      <c r="S573">
        <v>0</v>
      </c>
      <c r="T573" t="s">
        <v>77</v>
      </c>
      <c r="U573">
        <v>0</v>
      </c>
      <c r="V573">
        <v>0</v>
      </c>
      <c r="W573">
        <v>0</v>
      </c>
      <c r="X573">
        <v>0</v>
      </c>
      <c r="Y573">
        <v>33</v>
      </c>
      <c r="Z573">
        <v>3556</v>
      </c>
      <c r="AC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M573">
        <v>0</v>
      </c>
      <c r="AR573" t="s">
        <v>2671</v>
      </c>
      <c r="AS573" t="s">
        <v>1680</v>
      </c>
      <c r="AT573">
        <v>2025</v>
      </c>
      <c r="AU573">
        <v>1</v>
      </c>
      <c r="AV573" t="s">
        <v>2285</v>
      </c>
      <c r="AX573" t="s">
        <v>2718</v>
      </c>
    </row>
    <row r="574" spans="1:50">
      <c r="A574">
        <v>48</v>
      </c>
      <c r="B574">
        <v>61</v>
      </c>
      <c r="C574" t="s">
        <v>74</v>
      </c>
      <c r="D574" t="s">
        <v>1592</v>
      </c>
      <c r="E574" t="s">
        <v>1593</v>
      </c>
      <c r="F574">
        <v>784</v>
      </c>
      <c r="G574" s="23">
        <v>45660</v>
      </c>
      <c r="H574" s="2">
        <v>45717.613229166665</v>
      </c>
      <c r="K574" s="149">
        <v>0</v>
      </c>
      <c r="L574" s="149">
        <v>-18590</v>
      </c>
      <c r="M574" s="149">
        <v>-3532</v>
      </c>
      <c r="N574" s="149">
        <v>-22122</v>
      </c>
      <c r="O574">
        <v>0</v>
      </c>
      <c r="P574">
        <v>0</v>
      </c>
      <c r="Q574">
        <v>0</v>
      </c>
      <c r="R574">
        <v>0</v>
      </c>
      <c r="S574">
        <v>0</v>
      </c>
      <c r="T574" t="s">
        <v>77</v>
      </c>
      <c r="U574">
        <v>0</v>
      </c>
      <c r="V574">
        <v>0</v>
      </c>
      <c r="W574">
        <v>0</v>
      </c>
      <c r="X574">
        <v>0</v>
      </c>
      <c r="Y574">
        <v>33</v>
      </c>
      <c r="Z574">
        <v>3428</v>
      </c>
      <c r="AC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M574">
        <v>0</v>
      </c>
      <c r="AR574" t="s">
        <v>2671</v>
      </c>
      <c r="AS574" t="s">
        <v>1680</v>
      </c>
      <c r="AT574">
        <v>2025</v>
      </c>
      <c r="AU574">
        <v>1</v>
      </c>
      <c r="AV574" t="s">
        <v>318</v>
      </c>
      <c r="AX574" t="s">
        <v>2719</v>
      </c>
    </row>
    <row r="575" spans="1:50">
      <c r="A575">
        <v>49</v>
      </c>
      <c r="B575">
        <v>61</v>
      </c>
      <c r="C575" t="s">
        <v>74</v>
      </c>
      <c r="D575" t="s">
        <v>1988</v>
      </c>
      <c r="E575" t="s">
        <v>1989</v>
      </c>
      <c r="F575">
        <v>785</v>
      </c>
      <c r="G575" s="23" t="s">
        <v>3800</v>
      </c>
      <c r="H575" s="2" t="s">
        <v>2669</v>
      </c>
      <c r="I575" s="2"/>
      <c r="K575" s="149">
        <v>0</v>
      </c>
      <c r="L575" s="149">
        <v>-1005360</v>
      </c>
      <c r="M575" s="149">
        <v>-191018</v>
      </c>
      <c r="N575" s="149">
        <v>-1196378</v>
      </c>
      <c r="O575">
        <v>0</v>
      </c>
      <c r="P575">
        <v>0</v>
      </c>
      <c r="Q575">
        <v>0</v>
      </c>
      <c r="R575">
        <v>0</v>
      </c>
      <c r="S575">
        <v>0</v>
      </c>
      <c r="T575" t="s">
        <v>77</v>
      </c>
      <c r="U575">
        <v>0</v>
      </c>
      <c r="V575">
        <v>0</v>
      </c>
      <c r="W575">
        <v>0</v>
      </c>
      <c r="X575">
        <v>0</v>
      </c>
      <c r="Y575">
        <v>33</v>
      </c>
      <c r="Z575">
        <v>3556</v>
      </c>
      <c r="AC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M575">
        <v>0</v>
      </c>
      <c r="AR575" t="s">
        <v>2671</v>
      </c>
      <c r="AS575" t="s">
        <v>1680</v>
      </c>
      <c r="AT575">
        <v>2025</v>
      </c>
      <c r="AU575">
        <v>1</v>
      </c>
      <c r="AV575" t="s">
        <v>318</v>
      </c>
      <c r="AX575" t="s">
        <v>2720</v>
      </c>
    </row>
    <row r="576" spans="1:50">
      <c r="A576">
        <v>50</v>
      </c>
      <c r="B576">
        <v>61</v>
      </c>
      <c r="C576" t="s">
        <v>74</v>
      </c>
      <c r="D576" t="s">
        <v>1561</v>
      </c>
      <c r="E576" t="s">
        <v>1562</v>
      </c>
      <c r="F576">
        <v>786</v>
      </c>
      <c r="G576" s="23" t="s">
        <v>3803</v>
      </c>
      <c r="H576" s="2" t="s">
        <v>2670</v>
      </c>
      <c r="I576" s="2"/>
      <c r="K576" s="149">
        <v>0</v>
      </c>
      <c r="L576" s="149">
        <v>-5107200</v>
      </c>
      <c r="M576" s="149">
        <v>-970368</v>
      </c>
      <c r="N576" s="149">
        <v>-6077568</v>
      </c>
      <c r="O576">
        <v>0</v>
      </c>
      <c r="P576">
        <v>0</v>
      </c>
      <c r="Q576">
        <v>0</v>
      </c>
      <c r="R576">
        <v>0</v>
      </c>
      <c r="S576">
        <v>0</v>
      </c>
      <c r="T576" t="s">
        <v>77</v>
      </c>
      <c r="U576">
        <v>0</v>
      </c>
      <c r="V576">
        <v>0</v>
      </c>
      <c r="W576">
        <v>0</v>
      </c>
      <c r="X576">
        <v>0</v>
      </c>
      <c r="Y576">
        <v>33</v>
      </c>
      <c r="Z576">
        <v>3574</v>
      </c>
      <c r="AC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M576">
        <v>0</v>
      </c>
      <c r="AR576" t="s">
        <v>2671</v>
      </c>
      <c r="AS576" t="s">
        <v>1680</v>
      </c>
      <c r="AT576">
        <v>2025</v>
      </c>
      <c r="AU576">
        <v>1</v>
      </c>
      <c r="AV576" t="s">
        <v>318</v>
      </c>
      <c r="AX576" t="s">
        <v>2721</v>
      </c>
    </row>
    <row r="577" spans="1:50">
      <c r="A577">
        <v>1</v>
      </c>
      <c r="B577">
        <v>33</v>
      </c>
      <c r="C577" t="s">
        <v>74</v>
      </c>
      <c r="D577" t="s">
        <v>1222</v>
      </c>
      <c r="E577" t="s">
        <v>1223</v>
      </c>
      <c r="F577">
        <v>3810</v>
      </c>
      <c r="G577" s="23">
        <v>45698</v>
      </c>
      <c r="H577" s="2">
        <v>45810.466365740744</v>
      </c>
      <c r="I577" s="2">
        <v>45963.661990740744</v>
      </c>
      <c r="K577" s="149">
        <v>0</v>
      </c>
      <c r="L577" s="149">
        <v>4903220</v>
      </c>
      <c r="M577" s="149">
        <v>931611</v>
      </c>
      <c r="N577" s="149">
        <v>5834831</v>
      </c>
      <c r="O577">
        <v>0</v>
      </c>
      <c r="P577">
        <v>0</v>
      </c>
      <c r="Q577">
        <v>0</v>
      </c>
      <c r="R577">
        <v>0</v>
      </c>
      <c r="S577">
        <v>0</v>
      </c>
      <c r="T577" t="s">
        <v>77</v>
      </c>
      <c r="U577">
        <v>0</v>
      </c>
      <c r="V577">
        <v>0</v>
      </c>
      <c r="W577">
        <v>0</v>
      </c>
      <c r="X577">
        <v>0</v>
      </c>
      <c r="AC577">
        <v>0</v>
      </c>
      <c r="AE577">
        <v>0</v>
      </c>
      <c r="AF577">
        <v>2</v>
      </c>
      <c r="AG577">
        <v>0</v>
      </c>
      <c r="AH577">
        <v>0</v>
      </c>
      <c r="AI577">
        <v>0</v>
      </c>
      <c r="AM577">
        <v>0</v>
      </c>
      <c r="AR577" t="s">
        <v>2773</v>
      </c>
      <c r="AS577" t="s">
        <v>1680</v>
      </c>
      <c r="AT577">
        <v>2025</v>
      </c>
      <c r="AU577">
        <v>2</v>
      </c>
      <c r="AV577" t="s">
        <v>78</v>
      </c>
      <c r="AX577" t="s">
        <v>2774</v>
      </c>
    </row>
    <row r="578" spans="1:50">
      <c r="A578">
        <v>2</v>
      </c>
      <c r="B578">
        <v>33</v>
      </c>
      <c r="C578" t="s">
        <v>74</v>
      </c>
      <c r="D578" t="s">
        <v>1222</v>
      </c>
      <c r="E578" t="s">
        <v>1223</v>
      </c>
      <c r="F578">
        <v>3808</v>
      </c>
      <c r="G578" s="23">
        <v>45694</v>
      </c>
      <c r="H578" s="2">
        <v>45810.514537037037</v>
      </c>
      <c r="I578" s="2">
        <v>45840.447430555556</v>
      </c>
      <c r="K578" s="149">
        <v>0</v>
      </c>
      <c r="L578" s="149">
        <v>13219240</v>
      </c>
      <c r="M578" s="149">
        <v>2511655</v>
      </c>
      <c r="N578" s="149">
        <v>15730895</v>
      </c>
      <c r="O578">
        <v>0</v>
      </c>
      <c r="P578">
        <v>0</v>
      </c>
      <c r="Q578">
        <v>0</v>
      </c>
      <c r="R578">
        <v>0</v>
      </c>
      <c r="S578">
        <v>0</v>
      </c>
      <c r="T578" t="s">
        <v>77</v>
      </c>
      <c r="U578">
        <v>0</v>
      </c>
      <c r="V578">
        <v>0</v>
      </c>
      <c r="W578">
        <v>0</v>
      </c>
      <c r="X578">
        <v>0</v>
      </c>
      <c r="AC578">
        <v>0</v>
      </c>
      <c r="AE578">
        <v>0</v>
      </c>
      <c r="AF578">
        <v>2</v>
      </c>
      <c r="AG578">
        <v>0</v>
      </c>
      <c r="AH578">
        <v>0</v>
      </c>
      <c r="AI578">
        <v>0</v>
      </c>
      <c r="AM578">
        <v>0</v>
      </c>
      <c r="AR578" t="s">
        <v>2773</v>
      </c>
      <c r="AS578" t="s">
        <v>1680</v>
      </c>
      <c r="AT578">
        <v>2025</v>
      </c>
      <c r="AU578">
        <v>2</v>
      </c>
      <c r="AV578" t="s">
        <v>78</v>
      </c>
      <c r="AX578" t="s">
        <v>2775</v>
      </c>
    </row>
    <row r="579" spans="1:50">
      <c r="A579">
        <v>3</v>
      </c>
      <c r="B579">
        <v>33</v>
      </c>
      <c r="C579" t="s">
        <v>74</v>
      </c>
      <c r="D579" t="s">
        <v>1353</v>
      </c>
      <c r="E579" t="s">
        <v>1354</v>
      </c>
      <c r="F579">
        <v>3811</v>
      </c>
      <c r="G579" s="23">
        <v>45694</v>
      </c>
      <c r="H579" s="2">
        <v>45810.514537037037</v>
      </c>
      <c r="I579" s="2">
        <v>45840.516087962962</v>
      </c>
      <c r="K579" s="149">
        <v>0</v>
      </c>
      <c r="L579" s="149">
        <v>1771570</v>
      </c>
      <c r="M579" s="149">
        <v>336598</v>
      </c>
      <c r="N579" s="149">
        <v>2108168</v>
      </c>
      <c r="O579">
        <v>0</v>
      </c>
      <c r="P579">
        <v>0</v>
      </c>
      <c r="Q579">
        <v>0</v>
      </c>
      <c r="R579">
        <v>0</v>
      </c>
      <c r="S579">
        <v>0</v>
      </c>
      <c r="T579" t="s">
        <v>77</v>
      </c>
      <c r="U579">
        <v>0</v>
      </c>
      <c r="V579">
        <v>0</v>
      </c>
      <c r="W579">
        <v>0</v>
      </c>
      <c r="X579">
        <v>0</v>
      </c>
      <c r="Y579">
        <v>0</v>
      </c>
      <c r="AC579">
        <v>0</v>
      </c>
      <c r="AE579">
        <v>0</v>
      </c>
      <c r="AF579">
        <v>2</v>
      </c>
      <c r="AG579">
        <v>0</v>
      </c>
      <c r="AH579">
        <v>0</v>
      </c>
      <c r="AI579">
        <v>0</v>
      </c>
      <c r="AM579">
        <v>0</v>
      </c>
      <c r="AR579" t="s">
        <v>2773</v>
      </c>
      <c r="AS579" t="s">
        <v>1680</v>
      </c>
      <c r="AT579">
        <v>2025</v>
      </c>
      <c r="AU579">
        <v>2</v>
      </c>
      <c r="AV579" t="s">
        <v>78</v>
      </c>
      <c r="AX579" t="s">
        <v>2776</v>
      </c>
    </row>
    <row r="580" spans="1:50">
      <c r="A580">
        <v>4</v>
      </c>
      <c r="B580">
        <v>33</v>
      </c>
      <c r="C580" t="s">
        <v>74</v>
      </c>
      <c r="D580" t="s">
        <v>1222</v>
      </c>
      <c r="E580" t="s">
        <v>1223</v>
      </c>
      <c r="F580">
        <v>3804</v>
      </c>
      <c r="G580" s="23">
        <v>45694</v>
      </c>
      <c r="H580" s="2">
        <v>45810.51457175926</v>
      </c>
      <c r="I580" s="2">
        <v>45840.447256944448</v>
      </c>
      <c r="K580" s="149">
        <v>0</v>
      </c>
      <c r="L580" s="149">
        <v>9445540</v>
      </c>
      <c r="M580" s="149">
        <v>1794653</v>
      </c>
      <c r="N580" s="149">
        <v>11240193</v>
      </c>
      <c r="O580">
        <v>0</v>
      </c>
      <c r="P580">
        <v>0</v>
      </c>
      <c r="Q580">
        <v>0</v>
      </c>
      <c r="R580">
        <v>0</v>
      </c>
      <c r="S580">
        <v>0</v>
      </c>
      <c r="T580" t="s">
        <v>77</v>
      </c>
      <c r="U580">
        <v>0</v>
      </c>
      <c r="V580">
        <v>0</v>
      </c>
      <c r="W580">
        <v>0</v>
      </c>
      <c r="X580">
        <v>0</v>
      </c>
      <c r="AC580">
        <v>0</v>
      </c>
      <c r="AE580">
        <v>0</v>
      </c>
      <c r="AF580">
        <v>2</v>
      </c>
      <c r="AG580">
        <v>0</v>
      </c>
      <c r="AH580">
        <v>0</v>
      </c>
      <c r="AI580">
        <v>0</v>
      </c>
      <c r="AM580">
        <v>0</v>
      </c>
      <c r="AR580" t="s">
        <v>2773</v>
      </c>
      <c r="AS580" t="s">
        <v>1680</v>
      </c>
      <c r="AT580">
        <v>2025</v>
      </c>
      <c r="AU580">
        <v>2</v>
      </c>
      <c r="AV580" t="s">
        <v>78</v>
      </c>
      <c r="AX580" t="s">
        <v>2777</v>
      </c>
    </row>
    <row r="581" spans="1:50">
      <c r="A581">
        <v>5</v>
      </c>
      <c r="B581">
        <v>33</v>
      </c>
      <c r="C581" t="s">
        <v>74</v>
      </c>
      <c r="D581" t="s">
        <v>1555</v>
      </c>
      <c r="E581" t="s">
        <v>1556</v>
      </c>
      <c r="F581">
        <v>3805</v>
      </c>
      <c r="G581" s="23">
        <v>45694</v>
      </c>
      <c r="H581" s="2">
        <v>45810.514560185184</v>
      </c>
      <c r="K581" s="149">
        <v>0</v>
      </c>
      <c r="L581" s="149">
        <v>1311640</v>
      </c>
      <c r="M581" s="149">
        <v>249212</v>
      </c>
      <c r="N581" s="149">
        <v>1560852</v>
      </c>
      <c r="O581">
        <v>0</v>
      </c>
      <c r="P581">
        <v>0</v>
      </c>
      <c r="Q581">
        <v>0</v>
      </c>
      <c r="R581">
        <v>0</v>
      </c>
      <c r="S581">
        <v>0</v>
      </c>
      <c r="T581" t="s">
        <v>77</v>
      </c>
      <c r="U581">
        <v>0</v>
      </c>
      <c r="V581">
        <v>0</v>
      </c>
      <c r="W581">
        <v>0</v>
      </c>
      <c r="X581">
        <v>0</v>
      </c>
      <c r="AC581">
        <v>0</v>
      </c>
      <c r="AE581">
        <v>0</v>
      </c>
      <c r="AF581">
        <v>2</v>
      </c>
      <c r="AG581">
        <v>0</v>
      </c>
      <c r="AH581">
        <v>0</v>
      </c>
      <c r="AI581">
        <v>0</v>
      </c>
      <c r="AM581">
        <v>0</v>
      </c>
      <c r="AR581" t="s">
        <v>2773</v>
      </c>
      <c r="AS581" t="s">
        <v>1680</v>
      </c>
      <c r="AT581">
        <v>2025</v>
      </c>
      <c r="AU581">
        <v>2</v>
      </c>
      <c r="AV581" t="s">
        <v>78</v>
      </c>
      <c r="AX581" t="s">
        <v>2778</v>
      </c>
    </row>
    <row r="582" spans="1:50">
      <c r="A582">
        <v>6</v>
      </c>
      <c r="B582">
        <v>33</v>
      </c>
      <c r="C582" t="s">
        <v>74</v>
      </c>
      <c r="D582" t="s">
        <v>1988</v>
      </c>
      <c r="E582" t="s">
        <v>1989</v>
      </c>
      <c r="F582">
        <v>3809</v>
      </c>
      <c r="G582" s="23">
        <v>45693</v>
      </c>
      <c r="H582" s="2">
        <v>45810.514606481483</v>
      </c>
      <c r="I582" s="2">
        <v>45840.447129629632</v>
      </c>
      <c r="K582" s="149">
        <v>0</v>
      </c>
      <c r="L582" s="149">
        <v>2094500</v>
      </c>
      <c r="M582" s="149">
        <v>397955</v>
      </c>
      <c r="N582" s="149">
        <v>2492455</v>
      </c>
      <c r="O582">
        <v>0</v>
      </c>
      <c r="P582">
        <v>0</v>
      </c>
      <c r="Q582">
        <v>0</v>
      </c>
      <c r="R582">
        <v>0</v>
      </c>
      <c r="S582">
        <v>0</v>
      </c>
      <c r="T582" t="s">
        <v>77</v>
      </c>
      <c r="U582">
        <v>0</v>
      </c>
      <c r="V582">
        <v>0</v>
      </c>
      <c r="W582">
        <v>0</v>
      </c>
      <c r="X582">
        <v>0</v>
      </c>
      <c r="AC582">
        <v>0</v>
      </c>
      <c r="AE582">
        <v>0</v>
      </c>
      <c r="AF582">
        <v>2</v>
      </c>
      <c r="AG582">
        <v>0</v>
      </c>
      <c r="AH582">
        <v>0</v>
      </c>
      <c r="AI582">
        <v>0</v>
      </c>
      <c r="AM582">
        <v>0</v>
      </c>
      <c r="AR582" t="s">
        <v>2773</v>
      </c>
      <c r="AS582" t="s">
        <v>1680</v>
      </c>
      <c r="AT582">
        <v>2025</v>
      </c>
      <c r="AU582">
        <v>2</v>
      </c>
      <c r="AV582" t="s">
        <v>78</v>
      </c>
      <c r="AX582" t="s">
        <v>2779</v>
      </c>
    </row>
    <row r="583" spans="1:50">
      <c r="A583">
        <v>7</v>
      </c>
      <c r="B583">
        <v>33</v>
      </c>
      <c r="C583" t="s">
        <v>74</v>
      </c>
      <c r="D583" t="s">
        <v>1581</v>
      </c>
      <c r="E583" t="s">
        <v>1582</v>
      </c>
      <c r="F583">
        <v>3806</v>
      </c>
      <c r="G583" s="23">
        <v>45692</v>
      </c>
      <c r="H583" s="2">
        <v>45810.514664351853</v>
      </c>
      <c r="I583" s="2" t="s">
        <v>2722</v>
      </c>
      <c r="K583" s="149">
        <v>0</v>
      </c>
      <c r="L583" s="149">
        <v>1036356</v>
      </c>
      <c r="M583" s="149">
        <v>196907</v>
      </c>
      <c r="N583" s="149">
        <v>1233263</v>
      </c>
      <c r="O583">
        <v>0</v>
      </c>
      <c r="P583">
        <v>0</v>
      </c>
      <c r="Q583">
        <v>0</v>
      </c>
      <c r="R583">
        <v>0</v>
      </c>
      <c r="S583">
        <v>0</v>
      </c>
      <c r="T583" t="s">
        <v>77</v>
      </c>
      <c r="U583">
        <v>0</v>
      </c>
      <c r="V583">
        <v>0</v>
      </c>
      <c r="W583">
        <v>0</v>
      </c>
      <c r="X583">
        <v>0</v>
      </c>
      <c r="Y583">
        <v>0</v>
      </c>
      <c r="AC583">
        <v>0</v>
      </c>
      <c r="AE583">
        <v>0</v>
      </c>
      <c r="AF583">
        <v>2</v>
      </c>
      <c r="AG583">
        <v>0</v>
      </c>
      <c r="AH583">
        <v>0</v>
      </c>
      <c r="AI583">
        <v>0</v>
      </c>
      <c r="AM583">
        <v>0</v>
      </c>
      <c r="AR583" t="s">
        <v>2773</v>
      </c>
      <c r="AS583" t="s">
        <v>1680</v>
      </c>
      <c r="AT583">
        <v>2025</v>
      </c>
      <c r="AU583">
        <v>2</v>
      </c>
      <c r="AV583" t="s">
        <v>78</v>
      </c>
      <c r="AX583" t="s">
        <v>2780</v>
      </c>
    </row>
    <row r="584" spans="1:50">
      <c r="A584">
        <v>8</v>
      </c>
      <c r="B584">
        <v>33</v>
      </c>
      <c r="C584" t="s">
        <v>74</v>
      </c>
      <c r="D584" t="s">
        <v>1222</v>
      </c>
      <c r="E584" t="s">
        <v>1223</v>
      </c>
      <c r="F584">
        <v>3803</v>
      </c>
      <c r="G584" s="23">
        <v>45691</v>
      </c>
      <c r="H584" s="2">
        <v>45810.514687499999</v>
      </c>
      <c r="I584" s="2">
        <v>45810.602916666663</v>
      </c>
      <c r="K584" s="149">
        <v>0</v>
      </c>
      <c r="L584" s="149">
        <v>1839000</v>
      </c>
      <c r="M584" s="149">
        <v>349410</v>
      </c>
      <c r="N584" s="149">
        <v>2188410</v>
      </c>
      <c r="O584">
        <v>0</v>
      </c>
      <c r="P584">
        <v>0</v>
      </c>
      <c r="Q584">
        <v>0</v>
      </c>
      <c r="R584">
        <v>0</v>
      </c>
      <c r="S584">
        <v>0</v>
      </c>
      <c r="T584" t="s">
        <v>77</v>
      </c>
      <c r="U584">
        <v>0</v>
      </c>
      <c r="V584">
        <v>0</v>
      </c>
      <c r="W584">
        <v>0</v>
      </c>
      <c r="X584">
        <v>0</v>
      </c>
      <c r="AC584">
        <v>0</v>
      </c>
      <c r="AE584">
        <v>0</v>
      </c>
      <c r="AF584">
        <v>2</v>
      </c>
      <c r="AG584">
        <v>0</v>
      </c>
      <c r="AH584">
        <v>0</v>
      </c>
      <c r="AI584">
        <v>0</v>
      </c>
      <c r="AM584">
        <v>0</v>
      </c>
      <c r="AR584" t="s">
        <v>2773</v>
      </c>
      <c r="AS584" t="s">
        <v>1680</v>
      </c>
      <c r="AT584">
        <v>2025</v>
      </c>
      <c r="AU584">
        <v>2</v>
      </c>
      <c r="AV584" t="s">
        <v>78</v>
      </c>
      <c r="AX584" t="s">
        <v>2781</v>
      </c>
    </row>
    <row r="585" spans="1:50">
      <c r="A585">
        <v>9</v>
      </c>
      <c r="B585">
        <v>33</v>
      </c>
      <c r="C585" t="s">
        <v>74</v>
      </c>
      <c r="D585" t="s">
        <v>1222</v>
      </c>
      <c r="E585" t="s">
        <v>1223</v>
      </c>
      <c r="F585">
        <v>3802</v>
      </c>
      <c r="G585" s="23">
        <v>45691</v>
      </c>
      <c r="H585" s="2">
        <v>45810.514722222222</v>
      </c>
      <c r="I585" s="2">
        <v>45810.602916666663</v>
      </c>
      <c r="K585" s="149">
        <v>0</v>
      </c>
      <c r="L585" s="149">
        <v>15514980</v>
      </c>
      <c r="M585" s="149">
        <v>2947846</v>
      </c>
      <c r="N585" s="149">
        <v>18462826</v>
      </c>
      <c r="O585">
        <v>0</v>
      </c>
      <c r="P585">
        <v>0</v>
      </c>
      <c r="Q585">
        <v>0</v>
      </c>
      <c r="R585">
        <v>0</v>
      </c>
      <c r="S585">
        <v>0</v>
      </c>
      <c r="T585" t="s">
        <v>77</v>
      </c>
      <c r="U585">
        <v>0</v>
      </c>
      <c r="V585">
        <v>0</v>
      </c>
      <c r="W585">
        <v>0</v>
      </c>
      <c r="X585">
        <v>0</v>
      </c>
      <c r="AC585">
        <v>0</v>
      </c>
      <c r="AE585">
        <v>0</v>
      </c>
      <c r="AF585">
        <v>2</v>
      </c>
      <c r="AG585">
        <v>0</v>
      </c>
      <c r="AH585">
        <v>0</v>
      </c>
      <c r="AI585">
        <v>0</v>
      </c>
      <c r="AM585">
        <v>0</v>
      </c>
      <c r="AR585" t="s">
        <v>2773</v>
      </c>
      <c r="AS585" t="s">
        <v>1680</v>
      </c>
      <c r="AT585">
        <v>2025</v>
      </c>
      <c r="AU585">
        <v>2</v>
      </c>
      <c r="AV585" t="s">
        <v>78</v>
      </c>
      <c r="AX585" t="s">
        <v>2782</v>
      </c>
    </row>
    <row r="586" spans="1:50">
      <c r="A586">
        <v>10</v>
      </c>
      <c r="B586">
        <v>33</v>
      </c>
      <c r="C586" t="s">
        <v>74</v>
      </c>
      <c r="D586" t="s">
        <v>1222</v>
      </c>
      <c r="E586" t="s">
        <v>1223</v>
      </c>
      <c r="F586">
        <v>3812</v>
      </c>
      <c r="G586" s="23" t="s">
        <v>1433</v>
      </c>
      <c r="H586" s="2">
        <v>45932.443252314813</v>
      </c>
      <c r="I586" t="s">
        <v>2723</v>
      </c>
      <c r="K586" s="149">
        <v>0</v>
      </c>
      <c r="L586" s="149">
        <v>2583760</v>
      </c>
      <c r="M586" s="149">
        <v>490914</v>
      </c>
      <c r="N586" s="149">
        <v>3074674</v>
      </c>
      <c r="O586">
        <v>0</v>
      </c>
      <c r="P586">
        <v>0</v>
      </c>
      <c r="Q586">
        <v>0</v>
      </c>
      <c r="R586">
        <v>0</v>
      </c>
      <c r="S586">
        <v>0</v>
      </c>
      <c r="T586" t="s">
        <v>77</v>
      </c>
      <c r="U586">
        <v>0</v>
      </c>
      <c r="V586">
        <v>0</v>
      </c>
      <c r="W586">
        <v>0</v>
      </c>
      <c r="X586">
        <v>0</v>
      </c>
      <c r="AC586">
        <v>0</v>
      </c>
      <c r="AE586">
        <v>0</v>
      </c>
      <c r="AF586">
        <v>2</v>
      </c>
      <c r="AG586">
        <v>0</v>
      </c>
      <c r="AH586">
        <v>0</v>
      </c>
      <c r="AI586">
        <v>0</v>
      </c>
      <c r="AM586">
        <v>0</v>
      </c>
      <c r="AR586" t="s">
        <v>2773</v>
      </c>
      <c r="AS586" t="s">
        <v>1680</v>
      </c>
      <c r="AT586">
        <v>2025</v>
      </c>
      <c r="AU586">
        <v>2</v>
      </c>
      <c r="AV586" t="s">
        <v>78</v>
      </c>
      <c r="AX586" t="s">
        <v>2783</v>
      </c>
    </row>
    <row r="587" spans="1:50">
      <c r="A587">
        <v>11</v>
      </c>
      <c r="B587">
        <v>33</v>
      </c>
      <c r="C587" t="s">
        <v>74</v>
      </c>
      <c r="D587" t="s">
        <v>1561</v>
      </c>
      <c r="E587" t="s">
        <v>1562</v>
      </c>
      <c r="F587">
        <v>3813</v>
      </c>
      <c r="G587" s="23">
        <v>45700</v>
      </c>
      <c r="H587" s="2">
        <v>45963.406365740739</v>
      </c>
      <c r="K587" s="149">
        <v>0</v>
      </c>
      <c r="L587" s="149">
        <v>36675000</v>
      </c>
      <c r="M587" s="149">
        <v>6968250</v>
      </c>
      <c r="N587" s="149">
        <v>43643250</v>
      </c>
      <c r="O587">
        <v>0</v>
      </c>
      <c r="P587">
        <v>0</v>
      </c>
      <c r="Q587">
        <v>0</v>
      </c>
      <c r="R587">
        <v>0</v>
      </c>
      <c r="S587">
        <v>0</v>
      </c>
      <c r="T587" t="s">
        <v>77</v>
      </c>
      <c r="U587">
        <v>0</v>
      </c>
      <c r="V587">
        <v>0</v>
      </c>
      <c r="W587">
        <v>0</v>
      </c>
      <c r="X587">
        <v>0</v>
      </c>
      <c r="AC587">
        <v>0</v>
      </c>
      <c r="AE587">
        <v>0</v>
      </c>
      <c r="AF587">
        <v>2</v>
      </c>
      <c r="AG587">
        <v>0</v>
      </c>
      <c r="AH587">
        <v>0</v>
      </c>
      <c r="AI587">
        <v>0</v>
      </c>
      <c r="AM587">
        <v>0</v>
      </c>
      <c r="AR587" t="s">
        <v>2773</v>
      </c>
      <c r="AS587" t="s">
        <v>1680</v>
      </c>
      <c r="AT587">
        <v>2025</v>
      </c>
      <c r="AU587">
        <v>2</v>
      </c>
      <c r="AV587" t="s">
        <v>78</v>
      </c>
      <c r="AX587" t="s">
        <v>2784</v>
      </c>
    </row>
    <row r="588" spans="1:50">
      <c r="A588">
        <v>12</v>
      </c>
      <c r="B588">
        <v>33</v>
      </c>
      <c r="C588" t="s">
        <v>74</v>
      </c>
      <c r="D588" t="s">
        <v>1222</v>
      </c>
      <c r="E588" t="s">
        <v>1223</v>
      </c>
      <c r="F588">
        <v>3814</v>
      </c>
      <c r="G588" s="23" t="s">
        <v>1433</v>
      </c>
      <c r="H588" s="2">
        <v>45963.453530092593</v>
      </c>
      <c r="I588" s="2" t="s">
        <v>2724</v>
      </c>
      <c r="K588" s="149">
        <v>0</v>
      </c>
      <c r="L588" s="149">
        <v>6895600</v>
      </c>
      <c r="M588" s="149">
        <v>1310164</v>
      </c>
      <c r="N588" s="149">
        <v>8205764</v>
      </c>
      <c r="O588">
        <v>0</v>
      </c>
      <c r="P588">
        <v>0</v>
      </c>
      <c r="Q588">
        <v>0</v>
      </c>
      <c r="R588">
        <v>0</v>
      </c>
      <c r="S588">
        <v>0</v>
      </c>
      <c r="T588" t="s">
        <v>77</v>
      </c>
      <c r="U588">
        <v>0</v>
      </c>
      <c r="V588">
        <v>0</v>
      </c>
      <c r="W588">
        <v>0</v>
      </c>
      <c r="X588">
        <v>0</v>
      </c>
      <c r="AC588">
        <v>0</v>
      </c>
      <c r="AE588">
        <v>0</v>
      </c>
      <c r="AF588">
        <v>2</v>
      </c>
      <c r="AG588">
        <v>0</v>
      </c>
      <c r="AH588">
        <v>0</v>
      </c>
      <c r="AI588">
        <v>0</v>
      </c>
      <c r="AM588">
        <v>0</v>
      </c>
      <c r="AR588" t="s">
        <v>2773</v>
      </c>
      <c r="AS588" t="s">
        <v>1680</v>
      </c>
      <c r="AT588">
        <v>2025</v>
      </c>
      <c r="AU588">
        <v>2</v>
      </c>
      <c r="AV588" t="s">
        <v>78</v>
      </c>
      <c r="AX588" t="s">
        <v>2785</v>
      </c>
    </row>
    <row r="589" spans="1:50">
      <c r="A589">
        <v>13</v>
      </c>
      <c r="B589">
        <v>33</v>
      </c>
      <c r="C589" t="s">
        <v>74</v>
      </c>
      <c r="D589" t="s">
        <v>1222</v>
      </c>
      <c r="E589" t="s">
        <v>1223</v>
      </c>
      <c r="F589">
        <v>3815</v>
      </c>
      <c r="G589" s="23" t="s">
        <v>1433</v>
      </c>
      <c r="H589" s="2">
        <v>45963.630578703705</v>
      </c>
      <c r="I589" s="2" t="s">
        <v>2725</v>
      </c>
      <c r="K589" s="149">
        <v>0</v>
      </c>
      <c r="L589" s="149">
        <v>6895600</v>
      </c>
      <c r="M589" s="149">
        <v>1310164</v>
      </c>
      <c r="N589" s="149">
        <v>8205764</v>
      </c>
      <c r="O589">
        <v>0</v>
      </c>
      <c r="P589">
        <v>0</v>
      </c>
      <c r="Q589">
        <v>0</v>
      </c>
      <c r="R589">
        <v>0</v>
      </c>
      <c r="S589">
        <v>0</v>
      </c>
      <c r="T589" t="s">
        <v>77</v>
      </c>
      <c r="U589">
        <v>0</v>
      </c>
      <c r="V589">
        <v>0</v>
      </c>
      <c r="W589">
        <v>0</v>
      </c>
      <c r="X589">
        <v>0</v>
      </c>
      <c r="AC589">
        <v>0</v>
      </c>
      <c r="AE589">
        <v>0</v>
      </c>
      <c r="AF589">
        <v>2</v>
      </c>
      <c r="AG589">
        <v>0</v>
      </c>
      <c r="AH589">
        <v>0</v>
      </c>
      <c r="AI589">
        <v>0</v>
      </c>
      <c r="AM589">
        <v>0</v>
      </c>
      <c r="AR589" t="s">
        <v>2773</v>
      </c>
      <c r="AS589" t="s">
        <v>1680</v>
      </c>
      <c r="AT589">
        <v>2025</v>
      </c>
      <c r="AU589">
        <v>2</v>
      </c>
      <c r="AV589" t="s">
        <v>78</v>
      </c>
      <c r="AX589" t="s">
        <v>2786</v>
      </c>
    </row>
    <row r="590" spans="1:50">
      <c r="A590">
        <v>14</v>
      </c>
      <c r="B590">
        <v>33</v>
      </c>
      <c r="C590" t="s">
        <v>74</v>
      </c>
      <c r="D590" t="s">
        <v>1579</v>
      </c>
      <c r="E590" t="s">
        <v>1580</v>
      </c>
      <c r="F590">
        <v>3816</v>
      </c>
      <c r="G590" s="23" t="s">
        <v>1433</v>
      </c>
      <c r="H590" s="2">
        <v>45963.654166666667</v>
      </c>
      <c r="K590" s="149">
        <v>0</v>
      </c>
      <c r="L590" s="149">
        <v>16125770</v>
      </c>
      <c r="M590" s="149">
        <v>3063897</v>
      </c>
      <c r="N590" s="149">
        <v>19189667</v>
      </c>
      <c r="O590">
        <v>0</v>
      </c>
      <c r="P590">
        <v>0</v>
      </c>
      <c r="Q590">
        <v>0</v>
      </c>
      <c r="R590">
        <v>0</v>
      </c>
      <c r="S590">
        <v>0</v>
      </c>
      <c r="T590" t="s">
        <v>77</v>
      </c>
      <c r="U590">
        <v>0</v>
      </c>
      <c r="V590">
        <v>0</v>
      </c>
      <c r="W590">
        <v>0</v>
      </c>
      <c r="X590">
        <v>0</v>
      </c>
      <c r="Y590">
        <v>0</v>
      </c>
      <c r="AC590">
        <v>0</v>
      </c>
      <c r="AE590">
        <v>0</v>
      </c>
      <c r="AF590">
        <v>2</v>
      </c>
      <c r="AG590">
        <v>0</v>
      </c>
      <c r="AH590">
        <v>0</v>
      </c>
      <c r="AI590">
        <v>0</v>
      </c>
      <c r="AM590">
        <v>0</v>
      </c>
      <c r="AR590" t="s">
        <v>2773</v>
      </c>
      <c r="AS590" t="s">
        <v>1680</v>
      </c>
      <c r="AT590">
        <v>2025</v>
      </c>
      <c r="AU590">
        <v>2</v>
      </c>
      <c r="AV590" t="s">
        <v>78</v>
      </c>
      <c r="AX590" t="s">
        <v>2787</v>
      </c>
    </row>
    <row r="591" spans="1:50">
      <c r="A591">
        <v>15</v>
      </c>
      <c r="B591">
        <v>33</v>
      </c>
      <c r="C591" t="s">
        <v>74</v>
      </c>
      <c r="D591" t="s">
        <v>1579</v>
      </c>
      <c r="E591" t="s">
        <v>1580</v>
      </c>
      <c r="F591">
        <v>3817</v>
      </c>
      <c r="G591" s="23">
        <v>45699</v>
      </c>
      <c r="H591" s="2">
        <v>45963.656805555554</v>
      </c>
      <c r="K591" s="149">
        <v>0</v>
      </c>
      <c r="L591" s="149">
        <v>663850</v>
      </c>
      <c r="M591" s="149">
        <v>126132</v>
      </c>
      <c r="N591" s="149">
        <v>789982</v>
      </c>
      <c r="O591">
        <v>0</v>
      </c>
      <c r="P591">
        <v>0</v>
      </c>
      <c r="Q591">
        <v>0</v>
      </c>
      <c r="R591">
        <v>0</v>
      </c>
      <c r="S591">
        <v>0</v>
      </c>
      <c r="T591" t="s">
        <v>77</v>
      </c>
      <c r="U591">
        <v>0</v>
      </c>
      <c r="V591">
        <v>0</v>
      </c>
      <c r="W591">
        <v>0</v>
      </c>
      <c r="X591">
        <v>0</v>
      </c>
      <c r="Y591">
        <v>0</v>
      </c>
      <c r="AC591">
        <v>0</v>
      </c>
      <c r="AE591">
        <v>0</v>
      </c>
      <c r="AF591">
        <v>2</v>
      </c>
      <c r="AG591">
        <v>0</v>
      </c>
      <c r="AH591">
        <v>0</v>
      </c>
      <c r="AI591">
        <v>0</v>
      </c>
      <c r="AM591">
        <v>0</v>
      </c>
      <c r="AR591" t="s">
        <v>2773</v>
      </c>
      <c r="AS591" t="s">
        <v>1680</v>
      </c>
      <c r="AT591">
        <v>2025</v>
      </c>
      <c r="AU591">
        <v>2</v>
      </c>
      <c r="AV591" t="s">
        <v>78</v>
      </c>
      <c r="AX591" t="s">
        <v>2788</v>
      </c>
    </row>
    <row r="592" spans="1:50">
      <c r="A592">
        <v>16</v>
      </c>
      <c r="B592">
        <v>33</v>
      </c>
      <c r="C592" t="s">
        <v>74</v>
      </c>
      <c r="D592" t="s">
        <v>1222</v>
      </c>
      <c r="E592" t="s">
        <v>1223</v>
      </c>
      <c r="F592">
        <v>3818</v>
      </c>
      <c r="G592" s="23" t="s">
        <v>3806</v>
      </c>
      <c r="H592" s="2">
        <v>45963.665127314816</v>
      </c>
      <c r="I592" t="s">
        <v>2726</v>
      </c>
      <c r="K592" s="149">
        <v>0</v>
      </c>
      <c r="L592" s="149">
        <v>3497900</v>
      </c>
      <c r="M592" s="149">
        <v>664601</v>
      </c>
      <c r="N592" s="149">
        <v>4162501</v>
      </c>
      <c r="O592">
        <v>0</v>
      </c>
      <c r="P592">
        <v>0</v>
      </c>
      <c r="Q592">
        <v>0</v>
      </c>
      <c r="R592">
        <v>0</v>
      </c>
      <c r="S592">
        <v>0</v>
      </c>
      <c r="T592" t="s">
        <v>77</v>
      </c>
      <c r="U592">
        <v>0</v>
      </c>
      <c r="V592">
        <v>0</v>
      </c>
      <c r="W592">
        <v>0</v>
      </c>
      <c r="X592">
        <v>0</v>
      </c>
      <c r="AC592">
        <v>0</v>
      </c>
      <c r="AE592">
        <v>0</v>
      </c>
      <c r="AF592">
        <v>2</v>
      </c>
      <c r="AG592">
        <v>0</v>
      </c>
      <c r="AH592">
        <v>0</v>
      </c>
      <c r="AI592">
        <v>0</v>
      </c>
      <c r="AM592">
        <v>0</v>
      </c>
      <c r="AR592" t="s">
        <v>2773</v>
      </c>
      <c r="AS592" t="s">
        <v>1680</v>
      </c>
      <c r="AT592">
        <v>2025</v>
      </c>
      <c r="AU592">
        <v>2</v>
      </c>
      <c r="AV592" t="s">
        <v>78</v>
      </c>
      <c r="AX592" t="s">
        <v>2789</v>
      </c>
    </row>
    <row r="593" spans="1:50">
      <c r="A593">
        <v>17</v>
      </c>
      <c r="B593">
        <v>33</v>
      </c>
      <c r="C593" t="s">
        <v>74</v>
      </c>
      <c r="D593" t="s">
        <v>2509</v>
      </c>
      <c r="E593" t="s">
        <v>2510</v>
      </c>
      <c r="F593">
        <v>3819</v>
      </c>
      <c r="G593" s="23" t="s">
        <v>1433</v>
      </c>
      <c r="H593" s="2">
        <v>45993.476446759261</v>
      </c>
      <c r="I593" s="2" t="s">
        <v>2727</v>
      </c>
      <c r="K593" s="149">
        <v>0</v>
      </c>
      <c r="L593" s="149">
        <v>241134</v>
      </c>
      <c r="M593" s="149">
        <v>45816</v>
      </c>
      <c r="N593" s="149">
        <v>286950</v>
      </c>
      <c r="O593">
        <v>0</v>
      </c>
      <c r="P593">
        <v>0</v>
      </c>
      <c r="Q593">
        <v>0</v>
      </c>
      <c r="R593">
        <v>0</v>
      </c>
      <c r="S593">
        <v>0</v>
      </c>
      <c r="T593" t="s">
        <v>77</v>
      </c>
      <c r="U593">
        <v>0</v>
      </c>
      <c r="V593">
        <v>0</v>
      </c>
      <c r="W593">
        <v>0</v>
      </c>
      <c r="X593">
        <v>0</v>
      </c>
      <c r="Y593">
        <v>0</v>
      </c>
      <c r="AC593">
        <v>0</v>
      </c>
      <c r="AE593">
        <v>0</v>
      </c>
      <c r="AF593">
        <v>2</v>
      </c>
      <c r="AG593">
        <v>0</v>
      </c>
      <c r="AH593">
        <v>0</v>
      </c>
      <c r="AI593">
        <v>0</v>
      </c>
      <c r="AM593">
        <v>0</v>
      </c>
      <c r="AR593" t="s">
        <v>2773</v>
      </c>
      <c r="AS593" t="s">
        <v>1680</v>
      </c>
      <c r="AT593">
        <v>2025</v>
      </c>
      <c r="AU593">
        <v>2</v>
      </c>
      <c r="AV593" t="s">
        <v>78</v>
      </c>
      <c r="AX593" t="s">
        <v>2790</v>
      </c>
    </row>
    <row r="594" spans="1:50">
      <c r="A594">
        <v>18</v>
      </c>
      <c r="B594">
        <v>33</v>
      </c>
      <c r="C594" t="s">
        <v>74</v>
      </c>
      <c r="D594" t="s">
        <v>1592</v>
      </c>
      <c r="E594" t="s">
        <v>1593</v>
      </c>
      <c r="F594">
        <v>3820</v>
      </c>
      <c r="G594" s="23" t="s">
        <v>1433</v>
      </c>
      <c r="H594" s="2">
        <v>45993.481041666666</v>
      </c>
      <c r="K594" s="149">
        <v>0</v>
      </c>
      <c r="L594" s="149">
        <v>224600</v>
      </c>
      <c r="M594" s="149">
        <v>42674</v>
      </c>
      <c r="N594" s="149">
        <v>267274</v>
      </c>
      <c r="O594">
        <v>0</v>
      </c>
      <c r="P594">
        <v>0</v>
      </c>
      <c r="Q594">
        <v>0</v>
      </c>
      <c r="R594">
        <v>0</v>
      </c>
      <c r="S594">
        <v>0</v>
      </c>
      <c r="T594" t="s">
        <v>77</v>
      </c>
      <c r="U594">
        <v>0</v>
      </c>
      <c r="V594">
        <v>0</v>
      </c>
      <c r="W594">
        <v>0</v>
      </c>
      <c r="X594">
        <v>0</v>
      </c>
      <c r="Y594">
        <v>0</v>
      </c>
      <c r="AC594">
        <v>0</v>
      </c>
      <c r="AE594">
        <v>0</v>
      </c>
      <c r="AF594">
        <v>2</v>
      </c>
      <c r="AG594">
        <v>0</v>
      </c>
      <c r="AH594">
        <v>0</v>
      </c>
      <c r="AI594">
        <v>0</v>
      </c>
      <c r="AM594">
        <v>0</v>
      </c>
      <c r="AR594" t="s">
        <v>2773</v>
      </c>
      <c r="AS594" t="s">
        <v>1680</v>
      </c>
      <c r="AT594">
        <v>2025</v>
      </c>
      <c r="AU594">
        <v>2</v>
      </c>
      <c r="AV594" t="s">
        <v>78</v>
      </c>
      <c r="AX594" t="s">
        <v>2791</v>
      </c>
    </row>
    <row r="595" spans="1:50">
      <c r="A595">
        <v>19</v>
      </c>
      <c r="B595">
        <v>33</v>
      </c>
      <c r="C595" t="s">
        <v>74</v>
      </c>
      <c r="D595" t="s">
        <v>1581</v>
      </c>
      <c r="E595" t="s">
        <v>1582</v>
      </c>
      <c r="F595">
        <v>3821</v>
      </c>
      <c r="G595" s="23" t="s">
        <v>1433</v>
      </c>
      <c r="H595" s="2">
        <v>45993.488854166666</v>
      </c>
      <c r="I595" t="s">
        <v>2728</v>
      </c>
      <c r="K595" s="149">
        <v>0</v>
      </c>
      <c r="L595" s="149">
        <v>1108325</v>
      </c>
      <c r="M595" s="149">
        <v>210580</v>
      </c>
      <c r="N595" s="149">
        <v>1318905</v>
      </c>
      <c r="O595">
        <v>0</v>
      </c>
      <c r="P595">
        <v>0</v>
      </c>
      <c r="Q595">
        <v>0</v>
      </c>
      <c r="R595">
        <v>0</v>
      </c>
      <c r="S595">
        <v>0</v>
      </c>
      <c r="T595" t="s">
        <v>77</v>
      </c>
      <c r="U595">
        <v>0</v>
      </c>
      <c r="V595">
        <v>0</v>
      </c>
      <c r="W595">
        <v>0</v>
      </c>
      <c r="X595">
        <v>0</v>
      </c>
      <c r="Y595">
        <v>0</v>
      </c>
      <c r="AC595">
        <v>0</v>
      </c>
      <c r="AE595">
        <v>0</v>
      </c>
      <c r="AF595">
        <v>2</v>
      </c>
      <c r="AG595">
        <v>0</v>
      </c>
      <c r="AH595">
        <v>0</v>
      </c>
      <c r="AI595">
        <v>0</v>
      </c>
      <c r="AM595">
        <v>0</v>
      </c>
      <c r="AR595" t="s">
        <v>2773</v>
      </c>
      <c r="AS595" t="s">
        <v>1680</v>
      </c>
      <c r="AT595">
        <v>2025</v>
      </c>
      <c r="AU595">
        <v>2</v>
      </c>
      <c r="AV595" t="s">
        <v>78</v>
      </c>
      <c r="AX595" t="s">
        <v>2792</v>
      </c>
    </row>
    <row r="596" spans="1:50">
      <c r="A596">
        <v>20</v>
      </c>
      <c r="B596">
        <v>33</v>
      </c>
      <c r="C596" t="s">
        <v>74</v>
      </c>
      <c r="D596" t="s">
        <v>1569</v>
      </c>
      <c r="E596" t="s">
        <v>1570</v>
      </c>
      <c r="F596">
        <v>3822</v>
      </c>
      <c r="G596" s="23" t="s">
        <v>1433</v>
      </c>
      <c r="H596" s="2">
        <v>45993.498194444444</v>
      </c>
      <c r="I596" t="s">
        <v>2729</v>
      </c>
      <c r="K596" s="149">
        <v>0</v>
      </c>
      <c r="L596" s="149">
        <v>277370</v>
      </c>
      <c r="M596" s="149">
        <v>52701</v>
      </c>
      <c r="N596" s="149">
        <v>330071</v>
      </c>
      <c r="O596">
        <v>0</v>
      </c>
      <c r="P596">
        <v>0</v>
      </c>
      <c r="Q596">
        <v>0</v>
      </c>
      <c r="R596">
        <v>0</v>
      </c>
      <c r="S596">
        <v>0</v>
      </c>
      <c r="T596" t="s">
        <v>77</v>
      </c>
      <c r="U596">
        <v>0</v>
      </c>
      <c r="V596">
        <v>0</v>
      </c>
      <c r="W596">
        <v>0</v>
      </c>
      <c r="X596">
        <v>0</v>
      </c>
      <c r="Y596">
        <v>0</v>
      </c>
      <c r="AC596">
        <v>0</v>
      </c>
      <c r="AE596">
        <v>0</v>
      </c>
      <c r="AF596">
        <v>2</v>
      </c>
      <c r="AG596">
        <v>0</v>
      </c>
      <c r="AH596">
        <v>0</v>
      </c>
      <c r="AI596">
        <v>0</v>
      </c>
      <c r="AM596">
        <v>0</v>
      </c>
      <c r="AR596" t="s">
        <v>2773</v>
      </c>
      <c r="AS596" t="s">
        <v>1680</v>
      </c>
      <c r="AT596">
        <v>2025</v>
      </c>
      <c r="AU596">
        <v>2</v>
      </c>
      <c r="AV596" t="s">
        <v>78</v>
      </c>
      <c r="AX596" t="s">
        <v>2793</v>
      </c>
    </row>
    <row r="597" spans="1:50">
      <c r="A597">
        <v>21</v>
      </c>
      <c r="B597">
        <v>33</v>
      </c>
      <c r="C597" t="s">
        <v>74</v>
      </c>
      <c r="D597" t="s">
        <v>1988</v>
      </c>
      <c r="E597" t="s">
        <v>1989</v>
      </c>
      <c r="F597">
        <v>3823</v>
      </c>
      <c r="G597" s="23" t="s">
        <v>1425</v>
      </c>
      <c r="H597" t="s">
        <v>2730</v>
      </c>
      <c r="I597" t="s">
        <v>2731</v>
      </c>
      <c r="K597" s="149">
        <v>0</v>
      </c>
      <c r="L597" s="149">
        <v>837800</v>
      </c>
      <c r="M597" s="149">
        <v>159182</v>
      </c>
      <c r="N597" s="149">
        <v>996982</v>
      </c>
      <c r="O597">
        <v>0</v>
      </c>
      <c r="P597">
        <v>0</v>
      </c>
      <c r="Q597">
        <v>0</v>
      </c>
      <c r="R597">
        <v>0</v>
      </c>
      <c r="S597">
        <v>0</v>
      </c>
      <c r="T597" t="s">
        <v>77</v>
      </c>
      <c r="U597">
        <v>0</v>
      </c>
      <c r="V597">
        <v>0</v>
      </c>
      <c r="W597">
        <v>0</v>
      </c>
      <c r="X597">
        <v>0</v>
      </c>
      <c r="AC597">
        <v>0</v>
      </c>
      <c r="AE597">
        <v>0</v>
      </c>
      <c r="AF597">
        <v>2</v>
      </c>
      <c r="AG597">
        <v>0</v>
      </c>
      <c r="AH597">
        <v>0</v>
      </c>
      <c r="AI597">
        <v>0</v>
      </c>
      <c r="AM597">
        <v>0</v>
      </c>
      <c r="AR597" t="s">
        <v>2773</v>
      </c>
      <c r="AS597" t="s">
        <v>1680</v>
      </c>
      <c r="AT597">
        <v>2025</v>
      </c>
      <c r="AU597">
        <v>2</v>
      </c>
      <c r="AV597" t="s">
        <v>78</v>
      </c>
      <c r="AX597" t="s">
        <v>2794</v>
      </c>
    </row>
    <row r="598" spans="1:50">
      <c r="A598">
        <v>22</v>
      </c>
      <c r="B598">
        <v>33</v>
      </c>
      <c r="C598" t="s">
        <v>74</v>
      </c>
      <c r="D598" t="s">
        <v>1222</v>
      </c>
      <c r="E598" t="s">
        <v>1223</v>
      </c>
      <c r="F598">
        <v>3824</v>
      </c>
      <c r="G598" s="23" t="s">
        <v>3806</v>
      </c>
      <c r="H598" t="s">
        <v>2732</v>
      </c>
      <c r="I598" t="s">
        <v>2733</v>
      </c>
      <c r="K598" s="149">
        <v>0</v>
      </c>
      <c r="L598" s="149">
        <v>6195660</v>
      </c>
      <c r="M598" s="149">
        <v>1177174</v>
      </c>
      <c r="N598" s="149">
        <v>7372834</v>
      </c>
      <c r="O598">
        <v>0</v>
      </c>
      <c r="P598">
        <v>0</v>
      </c>
      <c r="Q598">
        <v>0</v>
      </c>
      <c r="R598">
        <v>0</v>
      </c>
      <c r="S598">
        <v>0</v>
      </c>
      <c r="T598" t="s">
        <v>77</v>
      </c>
      <c r="U598">
        <v>0</v>
      </c>
      <c r="V598">
        <v>0</v>
      </c>
      <c r="W598">
        <v>0</v>
      </c>
      <c r="X598">
        <v>0</v>
      </c>
      <c r="AC598">
        <v>0</v>
      </c>
      <c r="AE598">
        <v>0</v>
      </c>
      <c r="AF598">
        <v>2</v>
      </c>
      <c r="AG598">
        <v>0</v>
      </c>
      <c r="AH598">
        <v>0</v>
      </c>
      <c r="AI598">
        <v>0</v>
      </c>
      <c r="AM598">
        <v>0</v>
      </c>
      <c r="AR598" t="s">
        <v>2773</v>
      </c>
      <c r="AS598" t="s">
        <v>1680</v>
      </c>
      <c r="AT598">
        <v>2025</v>
      </c>
      <c r="AU598">
        <v>2</v>
      </c>
      <c r="AV598" t="s">
        <v>78</v>
      </c>
      <c r="AX598" t="s">
        <v>2795</v>
      </c>
    </row>
    <row r="599" spans="1:50">
      <c r="A599">
        <v>23</v>
      </c>
      <c r="B599">
        <v>33</v>
      </c>
      <c r="C599" t="s">
        <v>74</v>
      </c>
      <c r="D599" t="s">
        <v>1222</v>
      </c>
      <c r="E599" t="s">
        <v>1223</v>
      </c>
      <c r="F599">
        <v>3825</v>
      </c>
      <c r="G599" s="23" t="s">
        <v>3806</v>
      </c>
      <c r="H599" t="s">
        <v>2734</v>
      </c>
      <c r="I599" t="s">
        <v>2735</v>
      </c>
      <c r="K599" s="149">
        <v>0</v>
      </c>
      <c r="L599" s="149">
        <v>3497900</v>
      </c>
      <c r="M599" s="149">
        <v>664601</v>
      </c>
      <c r="N599" s="149">
        <v>4162501</v>
      </c>
      <c r="O599">
        <v>0</v>
      </c>
      <c r="P599">
        <v>0</v>
      </c>
      <c r="Q599">
        <v>0</v>
      </c>
      <c r="R599">
        <v>0</v>
      </c>
      <c r="S599">
        <v>0</v>
      </c>
      <c r="T599" t="s">
        <v>77</v>
      </c>
      <c r="U599">
        <v>0</v>
      </c>
      <c r="V599">
        <v>0</v>
      </c>
      <c r="W599">
        <v>0</v>
      </c>
      <c r="X599">
        <v>0</v>
      </c>
      <c r="AC599">
        <v>0</v>
      </c>
      <c r="AE599">
        <v>0</v>
      </c>
      <c r="AF599">
        <v>2</v>
      </c>
      <c r="AG599">
        <v>0</v>
      </c>
      <c r="AH599">
        <v>0</v>
      </c>
      <c r="AI599">
        <v>0</v>
      </c>
      <c r="AM599">
        <v>0</v>
      </c>
      <c r="AR599" t="s">
        <v>2773</v>
      </c>
      <c r="AS599" t="s">
        <v>1680</v>
      </c>
      <c r="AT599">
        <v>2025</v>
      </c>
      <c r="AU599">
        <v>2</v>
      </c>
      <c r="AV599" t="s">
        <v>78</v>
      </c>
      <c r="AX599" t="s">
        <v>2796</v>
      </c>
    </row>
    <row r="600" spans="1:50">
      <c r="A600">
        <v>24</v>
      </c>
      <c r="B600">
        <v>33</v>
      </c>
      <c r="C600" t="s">
        <v>74</v>
      </c>
      <c r="D600" t="s">
        <v>1353</v>
      </c>
      <c r="E600" t="s">
        <v>1354</v>
      </c>
      <c r="F600">
        <v>3826</v>
      </c>
      <c r="G600" s="23" t="s">
        <v>1426</v>
      </c>
      <c r="H600" t="s">
        <v>2736</v>
      </c>
      <c r="I600" t="s">
        <v>2737</v>
      </c>
      <c r="K600" s="149">
        <v>0</v>
      </c>
      <c r="L600" s="149">
        <v>746690</v>
      </c>
      <c r="M600" s="149">
        <v>141872</v>
      </c>
      <c r="N600" s="149">
        <v>888562</v>
      </c>
      <c r="O600">
        <v>0</v>
      </c>
      <c r="P600">
        <v>0</v>
      </c>
      <c r="Q600">
        <v>0</v>
      </c>
      <c r="R600">
        <v>0</v>
      </c>
      <c r="S600">
        <v>0</v>
      </c>
      <c r="T600" t="s">
        <v>77</v>
      </c>
      <c r="U600">
        <v>0</v>
      </c>
      <c r="V600">
        <v>0</v>
      </c>
      <c r="W600">
        <v>0</v>
      </c>
      <c r="X600">
        <v>0</v>
      </c>
      <c r="Y600">
        <v>0</v>
      </c>
      <c r="AC600">
        <v>0</v>
      </c>
      <c r="AE600">
        <v>0</v>
      </c>
      <c r="AF600">
        <v>2</v>
      </c>
      <c r="AG600">
        <v>0</v>
      </c>
      <c r="AH600">
        <v>0</v>
      </c>
      <c r="AI600">
        <v>0</v>
      </c>
      <c r="AM600">
        <v>0</v>
      </c>
      <c r="AR600" t="s">
        <v>2773</v>
      </c>
      <c r="AS600" t="s">
        <v>1680</v>
      </c>
      <c r="AT600">
        <v>2025</v>
      </c>
      <c r="AU600">
        <v>2</v>
      </c>
      <c r="AV600" t="s">
        <v>78</v>
      </c>
      <c r="AX600" t="s">
        <v>2797</v>
      </c>
    </row>
    <row r="601" spans="1:50">
      <c r="A601">
        <v>25</v>
      </c>
      <c r="B601">
        <v>33</v>
      </c>
      <c r="C601" t="s">
        <v>74</v>
      </c>
      <c r="D601" t="s">
        <v>1631</v>
      </c>
      <c r="E601" t="s">
        <v>1632</v>
      </c>
      <c r="F601">
        <v>3827</v>
      </c>
      <c r="G601" s="23" t="s">
        <v>1426</v>
      </c>
      <c r="H601" t="s">
        <v>2738</v>
      </c>
      <c r="K601" s="149">
        <v>0</v>
      </c>
      <c r="L601" s="149">
        <v>264000</v>
      </c>
      <c r="M601" s="149">
        <v>50160</v>
      </c>
      <c r="N601" s="149">
        <v>314160</v>
      </c>
      <c r="O601">
        <v>0</v>
      </c>
      <c r="P601">
        <v>0</v>
      </c>
      <c r="Q601">
        <v>0</v>
      </c>
      <c r="R601">
        <v>0</v>
      </c>
      <c r="S601">
        <v>0</v>
      </c>
      <c r="T601" t="s">
        <v>77</v>
      </c>
      <c r="U601">
        <v>0</v>
      </c>
      <c r="V601">
        <v>0</v>
      </c>
      <c r="W601">
        <v>0</v>
      </c>
      <c r="X601">
        <v>0</v>
      </c>
      <c r="Y601">
        <v>0</v>
      </c>
      <c r="AC601">
        <v>0</v>
      </c>
      <c r="AE601">
        <v>0</v>
      </c>
      <c r="AF601">
        <v>2</v>
      </c>
      <c r="AG601">
        <v>0</v>
      </c>
      <c r="AH601">
        <v>0</v>
      </c>
      <c r="AI601">
        <v>0</v>
      </c>
      <c r="AM601">
        <v>0</v>
      </c>
      <c r="AR601" t="s">
        <v>2773</v>
      </c>
      <c r="AS601" t="s">
        <v>1680</v>
      </c>
      <c r="AT601">
        <v>2025</v>
      </c>
      <c r="AU601">
        <v>2</v>
      </c>
      <c r="AV601" t="s">
        <v>78</v>
      </c>
      <c r="AX601" t="s">
        <v>2798</v>
      </c>
    </row>
    <row r="602" spans="1:50">
      <c r="A602">
        <v>26</v>
      </c>
      <c r="B602">
        <v>33</v>
      </c>
      <c r="C602" t="s">
        <v>74</v>
      </c>
      <c r="D602" t="s">
        <v>1588</v>
      </c>
      <c r="E602" t="s">
        <v>1589</v>
      </c>
      <c r="F602">
        <v>3828</v>
      </c>
      <c r="G602" s="23" t="s">
        <v>1426</v>
      </c>
      <c r="H602" t="s">
        <v>2739</v>
      </c>
      <c r="K602" s="149">
        <v>0</v>
      </c>
      <c r="L602" s="149">
        <v>2988898</v>
      </c>
      <c r="M602" s="149">
        <v>567892</v>
      </c>
      <c r="N602" s="149">
        <v>3556790</v>
      </c>
      <c r="O602">
        <v>0</v>
      </c>
      <c r="P602">
        <v>0</v>
      </c>
      <c r="Q602">
        <v>0</v>
      </c>
      <c r="R602">
        <v>0</v>
      </c>
      <c r="S602">
        <v>0</v>
      </c>
      <c r="T602" t="s">
        <v>77</v>
      </c>
      <c r="U602">
        <v>0</v>
      </c>
      <c r="V602">
        <v>0</v>
      </c>
      <c r="W602">
        <v>0</v>
      </c>
      <c r="X602">
        <v>0</v>
      </c>
      <c r="Y602">
        <v>0</v>
      </c>
      <c r="AC602">
        <v>0</v>
      </c>
      <c r="AE602">
        <v>0</v>
      </c>
      <c r="AF602">
        <v>2</v>
      </c>
      <c r="AG602">
        <v>0</v>
      </c>
      <c r="AH602">
        <v>0</v>
      </c>
      <c r="AI602">
        <v>0</v>
      </c>
      <c r="AM602">
        <v>0</v>
      </c>
      <c r="AR602" t="s">
        <v>2773</v>
      </c>
      <c r="AS602" t="s">
        <v>1680</v>
      </c>
      <c r="AT602">
        <v>2025</v>
      </c>
      <c r="AU602">
        <v>2</v>
      </c>
      <c r="AV602" t="s">
        <v>78</v>
      </c>
      <c r="AX602" t="s">
        <v>2799</v>
      </c>
    </row>
    <row r="603" spans="1:50">
      <c r="A603">
        <v>27</v>
      </c>
      <c r="B603">
        <v>33</v>
      </c>
      <c r="C603" t="s">
        <v>74</v>
      </c>
      <c r="D603" t="s">
        <v>1222</v>
      </c>
      <c r="E603" t="s">
        <v>1223</v>
      </c>
      <c r="F603">
        <v>3829</v>
      </c>
      <c r="G603" s="23" t="s">
        <v>1430</v>
      </c>
      <c r="H603" s="2" t="s">
        <v>2740</v>
      </c>
      <c r="I603" s="2" t="s">
        <v>2741</v>
      </c>
      <c r="K603" s="149">
        <v>0</v>
      </c>
      <c r="L603" s="149">
        <v>3332650</v>
      </c>
      <c r="M603" s="149">
        <v>633203</v>
      </c>
      <c r="N603" s="149">
        <v>3965853</v>
      </c>
      <c r="O603">
        <v>0</v>
      </c>
      <c r="P603">
        <v>0</v>
      </c>
      <c r="Q603">
        <v>0</v>
      </c>
      <c r="R603">
        <v>0</v>
      </c>
      <c r="S603">
        <v>0</v>
      </c>
      <c r="T603" t="s">
        <v>77</v>
      </c>
      <c r="U603">
        <v>0</v>
      </c>
      <c r="V603">
        <v>0</v>
      </c>
      <c r="W603">
        <v>0</v>
      </c>
      <c r="X603">
        <v>0</v>
      </c>
      <c r="AC603">
        <v>0</v>
      </c>
      <c r="AE603">
        <v>0</v>
      </c>
      <c r="AF603">
        <v>2</v>
      </c>
      <c r="AG603">
        <v>0</v>
      </c>
      <c r="AH603">
        <v>0</v>
      </c>
      <c r="AI603">
        <v>0</v>
      </c>
      <c r="AM603">
        <v>0</v>
      </c>
      <c r="AR603" t="s">
        <v>2773</v>
      </c>
      <c r="AS603" t="s">
        <v>1680</v>
      </c>
      <c r="AT603">
        <v>2025</v>
      </c>
      <c r="AU603">
        <v>2</v>
      </c>
      <c r="AV603" t="s">
        <v>78</v>
      </c>
      <c r="AX603" t="s">
        <v>2800</v>
      </c>
    </row>
    <row r="604" spans="1:50">
      <c r="A604">
        <v>28</v>
      </c>
      <c r="B604">
        <v>33</v>
      </c>
      <c r="C604" t="s">
        <v>74</v>
      </c>
      <c r="D604" t="s">
        <v>1222</v>
      </c>
      <c r="E604" t="s">
        <v>1223</v>
      </c>
      <c r="F604">
        <v>3830</v>
      </c>
      <c r="G604" s="23" t="s">
        <v>1430</v>
      </c>
      <c r="H604" s="2" t="s">
        <v>2742</v>
      </c>
      <c r="I604" t="s">
        <v>2741</v>
      </c>
      <c r="K604" s="149">
        <v>0</v>
      </c>
      <c r="L604" s="149">
        <v>16590960</v>
      </c>
      <c r="M604" s="149">
        <v>3152282</v>
      </c>
      <c r="N604" s="149">
        <v>19743242</v>
      </c>
      <c r="O604">
        <v>0</v>
      </c>
      <c r="P604">
        <v>0</v>
      </c>
      <c r="Q604">
        <v>0</v>
      </c>
      <c r="R604">
        <v>0</v>
      </c>
      <c r="S604">
        <v>0</v>
      </c>
      <c r="T604" t="s">
        <v>77</v>
      </c>
      <c r="U604">
        <v>0</v>
      </c>
      <c r="V604">
        <v>0</v>
      </c>
      <c r="W604">
        <v>0</v>
      </c>
      <c r="X604">
        <v>0</v>
      </c>
      <c r="AC604">
        <v>0</v>
      </c>
      <c r="AE604">
        <v>0</v>
      </c>
      <c r="AF604">
        <v>2</v>
      </c>
      <c r="AG604">
        <v>0</v>
      </c>
      <c r="AH604">
        <v>0</v>
      </c>
      <c r="AI604">
        <v>0</v>
      </c>
      <c r="AM604">
        <v>0</v>
      </c>
      <c r="AR604" t="s">
        <v>2773</v>
      </c>
      <c r="AS604" t="s">
        <v>1680</v>
      </c>
      <c r="AT604">
        <v>2025</v>
      </c>
      <c r="AU604">
        <v>2</v>
      </c>
      <c r="AV604" t="s">
        <v>78</v>
      </c>
      <c r="AX604" t="s">
        <v>2801</v>
      </c>
    </row>
    <row r="605" spans="1:50">
      <c r="A605">
        <v>29</v>
      </c>
      <c r="B605">
        <v>33</v>
      </c>
      <c r="C605" t="s">
        <v>74</v>
      </c>
      <c r="D605" t="s">
        <v>1567</v>
      </c>
      <c r="E605" t="s">
        <v>1568</v>
      </c>
      <c r="F605">
        <v>3831</v>
      </c>
      <c r="G605" s="23" t="s">
        <v>1430</v>
      </c>
      <c r="H605" s="2" t="s">
        <v>2743</v>
      </c>
      <c r="I605" t="s">
        <v>2744</v>
      </c>
      <c r="K605" s="149">
        <v>0</v>
      </c>
      <c r="L605" s="149">
        <v>688245</v>
      </c>
      <c r="M605" s="149">
        <v>130767</v>
      </c>
      <c r="N605" s="149">
        <v>819012</v>
      </c>
      <c r="O605">
        <v>0</v>
      </c>
      <c r="P605">
        <v>0</v>
      </c>
      <c r="Q605">
        <v>0</v>
      </c>
      <c r="R605">
        <v>0</v>
      </c>
      <c r="S605">
        <v>0</v>
      </c>
      <c r="T605" t="s">
        <v>77</v>
      </c>
      <c r="U605">
        <v>0</v>
      </c>
      <c r="V605">
        <v>0</v>
      </c>
      <c r="W605">
        <v>0</v>
      </c>
      <c r="X605">
        <v>0</v>
      </c>
      <c r="Y605">
        <v>0</v>
      </c>
      <c r="AC605">
        <v>0</v>
      </c>
      <c r="AE605">
        <v>0</v>
      </c>
      <c r="AF605">
        <v>2</v>
      </c>
      <c r="AG605">
        <v>0</v>
      </c>
      <c r="AH605">
        <v>0</v>
      </c>
      <c r="AI605">
        <v>0</v>
      </c>
      <c r="AM605">
        <v>0</v>
      </c>
      <c r="AR605" t="s">
        <v>2773</v>
      </c>
      <c r="AS605" t="s">
        <v>1680</v>
      </c>
      <c r="AT605">
        <v>2025</v>
      </c>
      <c r="AU605">
        <v>2</v>
      </c>
      <c r="AV605" t="s">
        <v>78</v>
      </c>
      <c r="AX605" t="s">
        <v>2802</v>
      </c>
    </row>
    <row r="606" spans="1:50">
      <c r="A606">
        <v>30</v>
      </c>
      <c r="B606">
        <v>33</v>
      </c>
      <c r="C606" t="s">
        <v>74</v>
      </c>
      <c r="D606" t="s">
        <v>1988</v>
      </c>
      <c r="E606" t="s">
        <v>1989</v>
      </c>
      <c r="F606">
        <v>3832</v>
      </c>
      <c r="G606" s="23" t="s">
        <v>1430</v>
      </c>
      <c r="H606" s="2" t="s">
        <v>2745</v>
      </c>
      <c r="I606" s="2" t="s">
        <v>2746</v>
      </c>
      <c r="K606" s="149">
        <v>0</v>
      </c>
      <c r="L606" s="149">
        <v>2932300</v>
      </c>
      <c r="M606" s="149">
        <v>557137</v>
      </c>
      <c r="N606" s="149">
        <v>3489437</v>
      </c>
      <c r="O606">
        <v>0</v>
      </c>
      <c r="P606">
        <v>0</v>
      </c>
      <c r="Q606">
        <v>0</v>
      </c>
      <c r="R606">
        <v>0</v>
      </c>
      <c r="S606">
        <v>0</v>
      </c>
      <c r="T606" t="s">
        <v>77</v>
      </c>
      <c r="U606">
        <v>0</v>
      </c>
      <c r="V606">
        <v>0</v>
      </c>
      <c r="W606">
        <v>0</v>
      </c>
      <c r="X606">
        <v>0</v>
      </c>
      <c r="AC606">
        <v>0</v>
      </c>
      <c r="AE606">
        <v>0</v>
      </c>
      <c r="AF606">
        <v>2</v>
      </c>
      <c r="AG606">
        <v>0</v>
      </c>
      <c r="AH606">
        <v>0</v>
      </c>
      <c r="AI606">
        <v>0</v>
      </c>
      <c r="AM606">
        <v>0</v>
      </c>
      <c r="AR606" t="s">
        <v>2773</v>
      </c>
      <c r="AS606" t="s">
        <v>1680</v>
      </c>
      <c r="AT606">
        <v>2025</v>
      </c>
      <c r="AU606">
        <v>2</v>
      </c>
      <c r="AV606" t="s">
        <v>78</v>
      </c>
      <c r="AX606" t="s">
        <v>2803</v>
      </c>
    </row>
    <row r="607" spans="1:50">
      <c r="A607">
        <v>31</v>
      </c>
      <c r="B607">
        <v>33</v>
      </c>
      <c r="C607" t="s">
        <v>74</v>
      </c>
      <c r="D607" t="s">
        <v>2509</v>
      </c>
      <c r="E607" t="s">
        <v>2510</v>
      </c>
      <c r="F607">
        <v>3833</v>
      </c>
      <c r="G607" s="23" t="s">
        <v>1430</v>
      </c>
      <c r="H607" s="2" t="s">
        <v>2747</v>
      </c>
      <c r="I607" s="2" t="s">
        <v>2748</v>
      </c>
      <c r="K607" s="149">
        <v>0</v>
      </c>
      <c r="L607" s="149">
        <v>418932</v>
      </c>
      <c r="M607" s="149">
        <v>79597</v>
      </c>
      <c r="N607" s="149">
        <v>498529</v>
      </c>
      <c r="O607">
        <v>0</v>
      </c>
      <c r="P607">
        <v>0</v>
      </c>
      <c r="Q607">
        <v>0</v>
      </c>
      <c r="R607">
        <v>0</v>
      </c>
      <c r="S607">
        <v>0</v>
      </c>
      <c r="T607" t="s">
        <v>77</v>
      </c>
      <c r="U607">
        <v>0</v>
      </c>
      <c r="V607">
        <v>0</v>
      </c>
      <c r="W607">
        <v>0</v>
      </c>
      <c r="X607">
        <v>0</v>
      </c>
      <c r="Y607">
        <v>0</v>
      </c>
      <c r="AC607">
        <v>0</v>
      </c>
      <c r="AE607">
        <v>0</v>
      </c>
      <c r="AF607">
        <v>2</v>
      </c>
      <c r="AG607">
        <v>0</v>
      </c>
      <c r="AH607">
        <v>0</v>
      </c>
      <c r="AI607">
        <v>0</v>
      </c>
      <c r="AM607">
        <v>0</v>
      </c>
      <c r="AR607" t="s">
        <v>2773</v>
      </c>
      <c r="AS607" t="s">
        <v>1680</v>
      </c>
      <c r="AT607">
        <v>2025</v>
      </c>
      <c r="AU607">
        <v>2</v>
      </c>
      <c r="AV607" t="s">
        <v>78</v>
      </c>
      <c r="AX607" t="s">
        <v>2804</v>
      </c>
    </row>
    <row r="608" spans="1:50">
      <c r="A608">
        <v>32</v>
      </c>
      <c r="B608">
        <v>33</v>
      </c>
      <c r="C608" t="s">
        <v>74</v>
      </c>
      <c r="D608" t="s">
        <v>1581</v>
      </c>
      <c r="E608" t="s">
        <v>1582</v>
      </c>
      <c r="F608">
        <v>3834</v>
      </c>
      <c r="G608" s="23" t="s">
        <v>1430</v>
      </c>
      <c r="H608" s="2" t="s">
        <v>2749</v>
      </c>
      <c r="I608" s="2" t="s">
        <v>2750</v>
      </c>
      <c r="K608" s="149">
        <v>0</v>
      </c>
      <c r="L608" s="149">
        <v>1652634</v>
      </c>
      <c r="M608" s="149">
        <v>314001</v>
      </c>
      <c r="N608" s="149">
        <v>1966635</v>
      </c>
      <c r="O608">
        <v>0</v>
      </c>
      <c r="P608">
        <v>0</v>
      </c>
      <c r="Q608">
        <v>0</v>
      </c>
      <c r="R608">
        <v>0</v>
      </c>
      <c r="S608">
        <v>0</v>
      </c>
      <c r="T608" t="s">
        <v>77</v>
      </c>
      <c r="U608">
        <v>0</v>
      </c>
      <c r="V608">
        <v>0</v>
      </c>
      <c r="W608">
        <v>0</v>
      </c>
      <c r="X608">
        <v>0</v>
      </c>
      <c r="Y608">
        <v>0</v>
      </c>
      <c r="AC608">
        <v>0</v>
      </c>
      <c r="AE608">
        <v>0</v>
      </c>
      <c r="AF608">
        <v>2</v>
      </c>
      <c r="AG608">
        <v>0</v>
      </c>
      <c r="AH608">
        <v>0</v>
      </c>
      <c r="AI608">
        <v>0</v>
      </c>
      <c r="AM608">
        <v>0</v>
      </c>
      <c r="AR608" t="s">
        <v>2773</v>
      </c>
      <c r="AS608" t="s">
        <v>1680</v>
      </c>
      <c r="AT608">
        <v>2025</v>
      </c>
      <c r="AU608">
        <v>2</v>
      </c>
      <c r="AV608" t="s">
        <v>78</v>
      </c>
      <c r="AX608" t="s">
        <v>2805</v>
      </c>
    </row>
    <row r="609" spans="1:50">
      <c r="A609">
        <v>33</v>
      </c>
      <c r="B609">
        <v>33</v>
      </c>
      <c r="C609" t="s">
        <v>74</v>
      </c>
      <c r="D609" t="s">
        <v>1222</v>
      </c>
      <c r="E609" t="s">
        <v>1223</v>
      </c>
      <c r="F609">
        <v>3835</v>
      </c>
      <c r="G609" s="23" t="s">
        <v>3807</v>
      </c>
      <c r="H609" s="2" t="s">
        <v>2751</v>
      </c>
      <c r="I609" t="s">
        <v>2752</v>
      </c>
      <c r="K609" s="149">
        <v>0</v>
      </c>
      <c r="L609" s="149">
        <v>7913120</v>
      </c>
      <c r="M609" s="149">
        <v>1503492</v>
      </c>
      <c r="N609" s="149">
        <v>9416612</v>
      </c>
      <c r="O609">
        <v>0</v>
      </c>
      <c r="P609">
        <v>0</v>
      </c>
      <c r="Q609">
        <v>0</v>
      </c>
      <c r="R609">
        <v>0</v>
      </c>
      <c r="S609">
        <v>0</v>
      </c>
      <c r="T609" t="s">
        <v>77</v>
      </c>
      <c r="U609">
        <v>0</v>
      </c>
      <c r="V609">
        <v>0</v>
      </c>
      <c r="W609">
        <v>0</v>
      </c>
      <c r="X609">
        <v>0</v>
      </c>
      <c r="AC609">
        <v>0</v>
      </c>
      <c r="AE609">
        <v>0</v>
      </c>
      <c r="AF609">
        <v>2</v>
      </c>
      <c r="AG609">
        <v>0</v>
      </c>
      <c r="AH609">
        <v>0</v>
      </c>
      <c r="AI609">
        <v>0</v>
      </c>
      <c r="AM609">
        <v>0</v>
      </c>
      <c r="AR609" t="s">
        <v>2773</v>
      </c>
      <c r="AS609" t="s">
        <v>1680</v>
      </c>
      <c r="AT609">
        <v>2025</v>
      </c>
      <c r="AU609">
        <v>2</v>
      </c>
      <c r="AV609" t="s">
        <v>78</v>
      </c>
      <c r="AX609" t="s">
        <v>2806</v>
      </c>
    </row>
    <row r="610" spans="1:50">
      <c r="A610">
        <v>34</v>
      </c>
      <c r="B610">
        <v>33</v>
      </c>
      <c r="C610" t="s">
        <v>74</v>
      </c>
      <c r="D610" t="s">
        <v>1222</v>
      </c>
      <c r="E610" t="s">
        <v>1223</v>
      </c>
      <c r="F610">
        <v>3836</v>
      </c>
      <c r="G610" s="23" t="s">
        <v>3807</v>
      </c>
      <c r="H610" s="2" t="s">
        <v>2753</v>
      </c>
      <c r="I610" s="2" t="s">
        <v>2754</v>
      </c>
      <c r="K610" s="149">
        <v>0</v>
      </c>
      <c r="L610" s="149">
        <v>9586140</v>
      </c>
      <c r="M610" s="149">
        <v>1821367</v>
      </c>
      <c r="N610" s="149">
        <v>11407507</v>
      </c>
      <c r="O610">
        <v>0</v>
      </c>
      <c r="P610">
        <v>0</v>
      </c>
      <c r="Q610">
        <v>0</v>
      </c>
      <c r="R610">
        <v>0</v>
      </c>
      <c r="S610">
        <v>0</v>
      </c>
      <c r="T610" t="s">
        <v>77</v>
      </c>
      <c r="U610">
        <v>0</v>
      </c>
      <c r="V610">
        <v>0</v>
      </c>
      <c r="W610">
        <v>0</v>
      </c>
      <c r="X610">
        <v>0</v>
      </c>
      <c r="AC610">
        <v>0</v>
      </c>
      <c r="AE610">
        <v>0</v>
      </c>
      <c r="AF610">
        <v>2</v>
      </c>
      <c r="AG610">
        <v>0</v>
      </c>
      <c r="AH610">
        <v>0</v>
      </c>
      <c r="AI610">
        <v>0</v>
      </c>
      <c r="AM610">
        <v>0</v>
      </c>
      <c r="AR610" t="s">
        <v>2773</v>
      </c>
      <c r="AS610" t="s">
        <v>1680</v>
      </c>
      <c r="AT610">
        <v>2025</v>
      </c>
      <c r="AU610">
        <v>2</v>
      </c>
      <c r="AV610" t="s">
        <v>78</v>
      </c>
      <c r="AX610" t="s">
        <v>2807</v>
      </c>
    </row>
    <row r="611" spans="1:50">
      <c r="A611">
        <v>35</v>
      </c>
      <c r="B611">
        <v>33</v>
      </c>
      <c r="C611" t="s">
        <v>74</v>
      </c>
      <c r="D611" t="s">
        <v>1222</v>
      </c>
      <c r="E611" t="s">
        <v>1223</v>
      </c>
      <c r="F611">
        <v>3837</v>
      </c>
      <c r="G611" s="23" t="s">
        <v>1431</v>
      </c>
      <c r="H611" s="2" t="s">
        <v>2755</v>
      </c>
      <c r="I611" s="2">
        <v>45719.499537037038</v>
      </c>
      <c r="K611" s="149">
        <v>0</v>
      </c>
      <c r="L611" s="149">
        <v>3642240</v>
      </c>
      <c r="M611" s="149">
        <v>692025</v>
      </c>
      <c r="N611" s="149">
        <v>4334265</v>
      </c>
      <c r="O611">
        <v>0</v>
      </c>
      <c r="P611">
        <v>0</v>
      </c>
      <c r="Q611">
        <v>0</v>
      </c>
      <c r="R611">
        <v>0</v>
      </c>
      <c r="S611">
        <v>0</v>
      </c>
      <c r="T611" t="s">
        <v>77</v>
      </c>
      <c r="U611">
        <v>0</v>
      </c>
      <c r="V611">
        <v>0</v>
      </c>
      <c r="W611">
        <v>0</v>
      </c>
      <c r="X611">
        <v>0</v>
      </c>
      <c r="AC611">
        <v>0</v>
      </c>
      <c r="AE611">
        <v>0</v>
      </c>
      <c r="AF611">
        <v>2</v>
      </c>
      <c r="AG611">
        <v>0</v>
      </c>
      <c r="AH611">
        <v>0</v>
      </c>
      <c r="AI611">
        <v>0</v>
      </c>
      <c r="AM611">
        <v>0</v>
      </c>
      <c r="AR611" t="s">
        <v>2773</v>
      </c>
      <c r="AS611" t="s">
        <v>1680</v>
      </c>
      <c r="AT611">
        <v>2025</v>
      </c>
      <c r="AU611">
        <v>2</v>
      </c>
      <c r="AV611" t="s">
        <v>78</v>
      </c>
      <c r="AX611" t="s">
        <v>2808</v>
      </c>
    </row>
    <row r="612" spans="1:50">
      <c r="A612">
        <v>36</v>
      </c>
      <c r="B612">
        <v>33</v>
      </c>
      <c r="C612" t="s">
        <v>74</v>
      </c>
      <c r="D612" t="s">
        <v>1558</v>
      </c>
      <c r="E612" t="s">
        <v>1559</v>
      </c>
      <c r="F612">
        <v>3838</v>
      </c>
      <c r="G612" s="23" t="s">
        <v>1431</v>
      </c>
      <c r="H612" t="s">
        <v>2756</v>
      </c>
      <c r="I612" t="s">
        <v>2757</v>
      </c>
      <c r="K612" s="149">
        <v>0</v>
      </c>
      <c r="L612" s="149">
        <v>170400</v>
      </c>
      <c r="M612" s="149">
        <v>32376</v>
      </c>
      <c r="N612" s="149">
        <v>202776</v>
      </c>
      <c r="O612">
        <v>0</v>
      </c>
      <c r="P612">
        <v>0</v>
      </c>
      <c r="Q612">
        <v>0</v>
      </c>
      <c r="R612">
        <v>0</v>
      </c>
      <c r="S612">
        <v>0</v>
      </c>
      <c r="T612" t="s">
        <v>77</v>
      </c>
      <c r="U612">
        <v>0</v>
      </c>
      <c r="V612">
        <v>0</v>
      </c>
      <c r="W612">
        <v>0</v>
      </c>
      <c r="X612">
        <v>0</v>
      </c>
      <c r="Y612">
        <v>0</v>
      </c>
      <c r="AC612">
        <v>0</v>
      </c>
      <c r="AE612">
        <v>0</v>
      </c>
      <c r="AF612">
        <v>2</v>
      </c>
      <c r="AG612">
        <v>0</v>
      </c>
      <c r="AH612">
        <v>0</v>
      </c>
      <c r="AI612">
        <v>0</v>
      </c>
      <c r="AM612">
        <v>0</v>
      </c>
      <c r="AR612" t="s">
        <v>2773</v>
      </c>
      <c r="AS612" t="s">
        <v>1680</v>
      </c>
      <c r="AT612">
        <v>2025</v>
      </c>
      <c r="AU612">
        <v>2</v>
      </c>
      <c r="AV612" t="s">
        <v>78</v>
      </c>
      <c r="AX612" t="s">
        <v>2809</v>
      </c>
    </row>
    <row r="613" spans="1:50">
      <c r="A613">
        <v>37</v>
      </c>
      <c r="B613">
        <v>33</v>
      </c>
      <c r="C613" t="s">
        <v>74</v>
      </c>
      <c r="D613" t="s">
        <v>1222</v>
      </c>
      <c r="E613" t="s">
        <v>1223</v>
      </c>
      <c r="F613">
        <v>3839</v>
      </c>
      <c r="G613" s="23" t="s">
        <v>1431</v>
      </c>
      <c r="H613" t="s">
        <v>2758</v>
      </c>
      <c r="I613" t="s">
        <v>2759</v>
      </c>
      <c r="K613" s="149">
        <v>0</v>
      </c>
      <c r="L613" s="149">
        <v>15191080</v>
      </c>
      <c r="M613" s="149">
        <v>2886305</v>
      </c>
      <c r="N613" s="149">
        <v>18077385</v>
      </c>
      <c r="O613">
        <v>0</v>
      </c>
      <c r="P613">
        <v>0</v>
      </c>
      <c r="Q613">
        <v>0</v>
      </c>
      <c r="R613">
        <v>0</v>
      </c>
      <c r="S613">
        <v>0</v>
      </c>
      <c r="T613" t="s">
        <v>77</v>
      </c>
      <c r="U613">
        <v>0</v>
      </c>
      <c r="V613">
        <v>0</v>
      </c>
      <c r="W613">
        <v>0</v>
      </c>
      <c r="X613">
        <v>0</v>
      </c>
      <c r="AC613">
        <v>0</v>
      </c>
      <c r="AE613">
        <v>0</v>
      </c>
      <c r="AF613">
        <v>2</v>
      </c>
      <c r="AG613">
        <v>0</v>
      </c>
      <c r="AH613">
        <v>0</v>
      </c>
      <c r="AI613">
        <v>0</v>
      </c>
      <c r="AM613">
        <v>0</v>
      </c>
      <c r="AR613" t="s">
        <v>2773</v>
      </c>
      <c r="AS613" t="s">
        <v>1680</v>
      </c>
      <c r="AT613">
        <v>2025</v>
      </c>
      <c r="AU613">
        <v>2</v>
      </c>
      <c r="AV613" t="s">
        <v>78</v>
      </c>
      <c r="AX613" t="s">
        <v>2810</v>
      </c>
    </row>
    <row r="614" spans="1:50">
      <c r="A614">
        <v>38</v>
      </c>
      <c r="B614">
        <v>33</v>
      </c>
      <c r="C614" t="s">
        <v>74</v>
      </c>
      <c r="D614" t="s">
        <v>1222</v>
      </c>
      <c r="E614" t="s">
        <v>1223</v>
      </c>
      <c r="F614">
        <v>3840</v>
      </c>
      <c r="G614" s="23" t="s">
        <v>1431</v>
      </c>
      <c r="H614" s="2" t="s">
        <v>2760</v>
      </c>
      <c r="I614" s="2">
        <v>45750.416516203702</v>
      </c>
      <c r="K614" s="149">
        <v>0</v>
      </c>
      <c r="L614" s="149">
        <v>5101560</v>
      </c>
      <c r="M614" s="149">
        <v>969297</v>
      </c>
      <c r="N614" s="149">
        <v>6070857</v>
      </c>
      <c r="O614">
        <v>0</v>
      </c>
      <c r="P614">
        <v>0</v>
      </c>
      <c r="Q614">
        <v>0</v>
      </c>
      <c r="R614">
        <v>0</v>
      </c>
      <c r="S614">
        <v>0</v>
      </c>
      <c r="T614" t="s">
        <v>77</v>
      </c>
      <c r="U614">
        <v>0</v>
      </c>
      <c r="V614">
        <v>0</v>
      </c>
      <c r="W614">
        <v>0</v>
      </c>
      <c r="X614">
        <v>0</v>
      </c>
      <c r="AC614">
        <v>0</v>
      </c>
      <c r="AE614">
        <v>0</v>
      </c>
      <c r="AF614">
        <v>2</v>
      </c>
      <c r="AG614">
        <v>0</v>
      </c>
      <c r="AH614">
        <v>0</v>
      </c>
      <c r="AI614">
        <v>0</v>
      </c>
      <c r="AM614">
        <v>0</v>
      </c>
      <c r="AR614" t="s">
        <v>2773</v>
      </c>
      <c r="AS614" t="s">
        <v>1680</v>
      </c>
      <c r="AT614">
        <v>2025</v>
      </c>
      <c r="AU614">
        <v>2</v>
      </c>
      <c r="AV614" t="s">
        <v>78</v>
      </c>
      <c r="AX614" t="s">
        <v>2811</v>
      </c>
    </row>
    <row r="615" spans="1:50">
      <c r="A615">
        <v>39</v>
      </c>
      <c r="B615">
        <v>33</v>
      </c>
      <c r="C615" t="s">
        <v>74</v>
      </c>
      <c r="D615" t="s">
        <v>1561</v>
      </c>
      <c r="E615" t="s">
        <v>1562</v>
      </c>
      <c r="F615">
        <v>3841</v>
      </c>
      <c r="G615" s="23" t="s">
        <v>1429</v>
      </c>
      <c r="H615" s="2" t="s">
        <v>2761</v>
      </c>
      <c r="K615" s="149">
        <v>0</v>
      </c>
      <c r="L615" s="149">
        <v>37483500</v>
      </c>
      <c r="M615" s="149">
        <v>7121865</v>
      </c>
      <c r="N615" s="149">
        <v>44605365</v>
      </c>
      <c r="O615">
        <v>0</v>
      </c>
      <c r="P615">
        <v>0</v>
      </c>
      <c r="Q615">
        <v>0</v>
      </c>
      <c r="R615">
        <v>0</v>
      </c>
      <c r="S615">
        <v>0</v>
      </c>
      <c r="T615" t="s">
        <v>77</v>
      </c>
      <c r="U615">
        <v>0</v>
      </c>
      <c r="V615">
        <v>0</v>
      </c>
      <c r="W615">
        <v>0</v>
      </c>
      <c r="X615">
        <v>0</v>
      </c>
      <c r="AC615">
        <v>0</v>
      </c>
      <c r="AE615">
        <v>0</v>
      </c>
      <c r="AF615">
        <v>2</v>
      </c>
      <c r="AG615">
        <v>0</v>
      </c>
      <c r="AH615">
        <v>0</v>
      </c>
      <c r="AI615">
        <v>0</v>
      </c>
      <c r="AM615">
        <v>0</v>
      </c>
      <c r="AR615" t="s">
        <v>2773</v>
      </c>
      <c r="AS615" t="s">
        <v>1680</v>
      </c>
      <c r="AT615">
        <v>2025</v>
      </c>
      <c r="AU615">
        <v>2</v>
      </c>
      <c r="AV615" t="s">
        <v>78</v>
      </c>
      <c r="AX615" t="s">
        <v>2812</v>
      </c>
    </row>
    <row r="616" spans="1:50">
      <c r="A616">
        <v>40</v>
      </c>
      <c r="B616">
        <v>33</v>
      </c>
      <c r="C616" t="s">
        <v>74</v>
      </c>
      <c r="D616" t="s">
        <v>1353</v>
      </c>
      <c r="E616" t="s">
        <v>1354</v>
      </c>
      <c r="F616">
        <v>3842</v>
      </c>
      <c r="G616" s="23" t="s">
        <v>1429</v>
      </c>
      <c r="H616" s="2" t="s">
        <v>2762</v>
      </c>
      <c r="I616" t="s">
        <v>2763</v>
      </c>
      <c r="K616" s="149">
        <v>0</v>
      </c>
      <c r="L616" s="149">
        <v>4737115</v>
      </c>
      <c r="M616" s="149">
        <v>900052</v>
      </c>
      <c r="N616" s="149">
        <v>5637167</v>
      </c>
      <c r="O616">
        <v>0</v>
      </c>
      <c r="P616">
        <v>0</v>
      </c>
      <c r="Q616">
        <v>0</v>
      </c>
      <c r="R616">
        <v>0</v>
      </c>
      <c r="S616">
        <v>0</v>
      </c>
      <c r="T616" t="s">
        <v>77</v>
      </c>
      <c r="U616">
        <v>0</v>
      </c>
      <c r="V616">
        <v>0</v>
      </c>
      <c r="W616">
        <v>0</v>
      </c>
      <c r="X616">
        <v>0</v>
      </c>
      <c r="Y616">
        <v>0</v>
      </c>
      <c r="AC616">
        <v>0</v>
      </c>
      <c r="AE616">
        <v>0</v>
      </c>
      <c r="AF616">
        <v>2</v>
      </c>
      <c r="AG616">
        <v>0</v>
      </c>
      <c r="AH616">
        <v>0</v>
      </c>
      <c r="AI616">
        <v>0</v>
      </c>
      <c r="AM616">
        <v>0</v>
      </c>
      <c r="AR616" t="s">
        <v>2773</v>
      </c>
      <c r="AS616" t="s">
        <v>1680</v>
      </c>
      <c r="AT616">
        <v>2025</v>
      </c>
      <c r="AU616">
        <v>2</v>
      </c>
      <c r="AV616" t="s">
        <v>78</v>
      </c>
      <c r="AX616" t="s">
        <v>2813</v>
      </c>
    </row>
    <row r="617" spans="1:50">
      <c r="A617">
        <v>41</v>
      </c>
      <c r="B617">
        <v>33</v>
      </c>
      <c r="C617" t="s">
        <v>74</v>
      </c>
      <c r="D617" t="s">
        <v>1988</v>
      </c>
      <c r="E617" t="s">
        <v>1989</v>
      </c>
      <c r="F617">
        <v>3843</v>
      </c>
      <c r="G617" s="23" t="s">
        <v>1432</v>
      </c>
      <c r="H617" s="2" t="s">
        <v>2764</v>
      </c>
      <c r="J617" s="2">
        <v>45780.666354166664</v>
      </c>
      <c r="K617" s="149">
        <v>0</v>
      </c>
      <c r="L617" s="149">
        <v>2345840</v>
      </c>
      <c r="M617" s="149">
        <v>445710</v>
      </c>
      <c r="N617" s="149">
        <v>2791550</v>
      </c>
      <c r="O617">
        <v>0</v>
      </c>
      <c r="P617">
        <v>0</v>
      </c>
      <c r="Q617">
        <v>0</v>
      </c>
      <c r="R617">
        <v>0</v>
      </c>
      <c r="S617">
        <v>0</v>
      </c>
      <c r="T617" t="s">
        <v>77</v>
      </c>
      <c r="U617">
        <v>0</v>
      </c>
      <c r="V617">
        <v>0</v>
      </c>
      <c r="W617">
        <v>0</v>
      </c>
      <c r="X617">
        <v>0</v>
      </c>
      <c r="AC617">
        <v>0</v>
      </c>
      <c r="AE617">
        <v>0</v>
      </c>
      <c r="AF617">
        <v>2</v>
      </c>
      <c r="AG617">
        <v>0</v>
      </c>
      <c r="AH617">
        <v>0</v>
      </c>
      <c r="AI617">
        <v>0</v>
      </c>
      <c r="AM617">
        <v>0</v>
      </c>
      <c r="AR617" t="s">
        <v>2773</v>
      </c>
      <c r="AS617" t="s">
        <v>1680</v>
      </c>
      <c r="AT617">
        <v>2025</v>
      </c>
      <c r="AU617">
        <v>2</v>
      </c>
      <c r="AV617" t="s">
        <v>78</v>
      </c>
      <c r="AX617" t="s">
        <v>2814</v>
      </c>
    </row>
    <row r="618" spans="1:50">
      <c r="A618">
        <v>42</v>
      </c>
      <c r="B618">
        <v>33</v>
      </c>
      <c r="C618" t="s">
        <v>74</v>
      </c>
      <c r="D618" t="s">
        <v>1571</v>
      </c>
      <c r="E618" t="s">
        <v>1572</v>
      </c>
      <c r="F618">
        <v>3844</v>
      </c>
      <c r="G618" s="23" t="s">
        <v>1432</v>
      </c>
      <c r="H618" s="2" t="s">
        <v>2765</v>
      </c>
      <c r="I618" t="s">
        <v>2766</v>
      </c>
      <c r="K618" s="149">
        <v>0</v>
      </c>
      <c r="L618" s="149">
        <v>10581342</v>
      </c>
      <c r="M618" s="149">
        <v>2010455</v>
      </c>
      <c r="N618" s="149">
        <v>12591797</v>
      </c>
      <c r="O618">
        <v>0</v>
      </c>
      <c r="P618">
        <v>0</v>
      </c>
      <c r="Q618">
        <v>0</v>
      </c>
      <c r="R618">
        <v>0</v>
      </c>
      <c r="S618">
        <v>0</v>
      </c>
      <c r="T618" t="s">
        <v>77</v>
      </c>
      <c r="U618">
        <v>0</v>
      </c>
      <c r="V618">
        <v>0</v>
      </c>
      <c r="W618">
        <v>0</v>
      </c>
      <c r="X618">
        <v>0</v>
      </c>
      <c r="AC618">
        <v>0</v>
      </c>
      <c r="AE618">
        <v>0</v>
      </c>
      <c r="AF618">
        <v>2</v>
      </c>
      <c r="AG618">
        <v>0</v>
      </c>
      <c r="AH618">
        <v>0</v>
      </c>
      <c r="AI618">
        <v>0</v>
      </c>
      <c r="AM618">
        <v>0</v>
      </c>
      <c r="AR618" t="s">
        <v>2773</v>
      </c>
      <c r="AS618" t="s">
        <v>1680</v>
      </c>
      <c r="AT618">
        <v>2025</v>
      </c>
      <c r="AU618">
        <v>2</v>
      </c>
      <c r="AV618" t="s">
        <v>78</v>
      </c>
      <c r="AX618" t="s">
        <v>2815</v>
      </c>
    </row>
    <row r="619" spans="1:50">
      <c r="A619">
        <v>43</v>
      </c>
      <c r="B619">
        <v>33</v>
      </c>
      <c r="C619" t="s">
        <v>74</v>
      </c>
      <c r="D619" t="s">
        <v>1564</v>
      </c>
      <c r="E619" t="s">
        <v>1565</v>
      </c>
      <c r="F619">
        <v>3845</v>
      </c>
      <c r="G619" s="23" t="s">
        <v>1432</v>
      </c>
      <c r="H619" s="2" t="s">
        <v>2767</v>
      </c>
      <c r="I619" t="s">
        <v>2768</v>
      </c>
      <c r="K619" s="149">
        <v>0</v>
      </c>
      <c r="L619" s="149">
        <v>508511</v>
      </c>
      <c r="M619" s="149">
        <v>96615</v>
      </c>
      <c r="N619" s="149">
        <v>605126</v>
      </c>
      <c r="O619">
        <v>0</v>
      </c>
      <c r="P619">
        <v>0</v>
      </c>
      <c r="Q619">
        <v>0</v>
      </c>
      <c r="R619">
        <v>0</v>
      </c>
      <c r="S619">
        <v>0</v>
      </c>
      <c r="T619" t="s">
        <v>77</v>
      </c>
      <c r="U619">
        <v>0</v>
      </c>
      <c r="V619">
        <v>0</v>
      </c>
      <c r="W619">
        <v>0</v>
      </c>
      <c r="X619">
        <v>0</v>
      </c>
      <c r="Y619">
        <v>0</v>
      </c>
      <c r="AC619">
        <v>0</v>
      </c>
      <c r="AE619">
        <v>0</v>
      </c>
      <c r="AF619">
        <v>2</v>
      </c>
      <c r="AG619">
        <v>0</v>
      </c>
      <c r="AH619">
        <v>0</v>
      </c>
      <c r="AI619">
        <v>0</v>
      </c>
      <c r="AM619">
        <v>0</v>
      </c>
      <c r="AR619" t="s">
        <v>2773</v>
      </c>
      <c r="AS619" t="s">
        <v>1680</v>
      </c>
      <c r="AT619">
        <v>2025</v>
      </c>
      <c r="AU619">
        <v>2</v>
      </c>
      <c r="AV619" t="s">
        <v>78</v>
      </c>
      <c r="AX619" t="s">
        <v>2816</v>
      </c>
    </row>
    <row r="620" spans="1:50">
      <c r="A620">
        <v>44</v>
      </c>
      <c r="B620">
        <v>33</v>
      </c>
      <c r="C620" t="s">
        <v>74</v>
      </c>
      <c r="D620" t="s">
        <v>1988</v>
      </c>
      <c r="E620" t="s">
        <v>1989</v>
      </c>
      <c r="F620">
        <v>3846</v>
      </c>
      <c r="G620" s="23" t="s">
        <v>1432</v>
      </c>
      <c r="H620" s="2" t="s">
        <v>2769</v>
      </c>
      <c r="I620" s="2">
        <v>45811.485405092593</v>
      </c>
      <c r="K620" s="149">
        <v>0</v>
      </c>
      <c r="L620" s="149">
        <v>1926940</v>
      </c>
      <c r="M620" s="149">
        <v>366119</v>
      </c>
      <c r="N620" s="149">
        <v>2293059</v>
      </c>
      <c r="O620">
        <v>0</v>
      </c>
      <c r="P620">
        <v>0</v>
      </c>
      <c r="Q620">
        <v>0</v>
      </c>
      <c r="R620">
        <v>0</v>
      </c>
      <c r="S620">
        <v>0</v>
      </c>
      <c r="T620" t="s">
        <v>77</v>
      </c>
      <c r="U620">
        <v>0</v>
      </c>
      <c r="V620">
        <v>0</v>
      </c>
      <c r="W620">
        <v>0</v>
      </c>
      <c r="X620">
        <v>0</v>
      </c>
      <c r="AC620">
        <v>0</v>
      </c>
      <c r="AE620">
        <v>0</v>
      </c>
      <c r="AF620">
        <v>2</v>
      </c>
      <c r="AG620">
        <v>0</v>
      </c>
      <c r="AH620">
        <v>0</v>
      </c>
      <c r="AI620">
        <v>0</v>
      </c>
      <c r="AM620">
        <v>0</v>
      </c>
      <c r="AR620" t="s">
        <v>2773</v>
      </c>
      <c r="AS620" t="s">
        <v>1680</v>
      </c>
      <c r="AT620">
        <v>2025</v>
      </c>
      <c r="AU620">
        <v>2</v>
      </c>
      <c r="AV620" t="s">
        <v>78</v>
      </c>
      <c r="AX620" t="s">
        <v>2817</v>
      </c>
    </row>
    <row r="621" spans="1:50">
      <c r="A621">
        <v>45</v>
      </c>
      <c r="B621">
        <v>33</v>
      </c>
      <c r="C621" t="s">
        <v>74</v>
      </c>
      <c r="D621" t="s">
        <v>1600</v>
      </c>
      <c r="E621" t="s">
        <v>1601</v>
      </c>
      <c r="F621">
        <v>3872</v>
      </c>
      <c r="G621" s="23" t="s">
        <v>1432</v>
      </c>
      <c r="H621" s="2" t="s">
        <v>2770</v>
      </c>
      <c r="K621" s="149">
        <v>0</v>
      </c>
      <c r="L621" s="149">
        <v>20592</v>
      </c>
      <c r="M621" s="149">
        <v>3912</v>
      </c>
      <c r="N621" s="149">
        <v>24504</v>
      </c>
      <c r="O621">
        <v>0</v>
      </c>
      <c r="P621">
        <v>0</v>
      </c>
      <c r="Q621">
        <v>0</v>
      </c>
      <c r="R621">
        <v>0</v>
      </c>
      <c r="S621">
        <v>0</v>
      </c>
      <c r="T621" t="s">
        <v>77</v>
      </c>
      <c r="U621">
        <v>0</v>
      </c>
      <c r="V621">
        <v>0</v>
      </c>
      <c r="W621">
        <v>0</v>
      </c>
      <c r="X621">
        <v>0</v>
      </c>
      <c r="Y621">
        <v>0</v>
      </c>
      <c r="AC621">
        <v>0</v>
      </c>
      <c r="AE621">
        <v>0</v>
      </c>
      <c r="AF621">
        <v>2</v>
      </c>
      <c r="AG621">
        <v>0</v>
      </c>
      <c r="AH621">
        <v>0</v>
      </c>
      <c r="AI621">
        <v>0</v>
      </c>
      <c r="AM621">
        <v>0</v>
      </c>
      <c r="AR621" t="s">
        <v>2773</v>
      </c>
      <c r="AS621" t="s">
        <v>1680</v>
      </c>
      <c r="AT621">
        <v>2025</v>
      </c>
      <c r="AU621">
        <v>2</v>
      </c>
      <c r="AV621" t="s">
        <v>78</v>
      </c>
      <c r="AX621" t="s">
        <v>2818</v>
      </c>
    </row>
    <row r="622" spans="1:50">
      <c r="A622">
        <v>46</v>
      </c>
      <c r="B622">
        <v>61</v>
      </c>
      <c r="C622" t="s">
        <v>74</v>
      </c>
      <c r="D622" t="s">
        <v>1222</v>
      </c>
      <c r="E622" t="s">
        <v>1223</v>
      </c>
      <c r="F622">
        <v>787</v>
      </c>
      <c r="G622" s="23" t="s">
        <v>1433</v>
      </c>
      <c r="H622" s="2">
        <v>45963.626631944448</v>
      </c>
      <c r="I622" t="s">
        <v>2724</v>
      </c>
      <c r="K622" s="149">
        <v>0</v>
      </c>
      <c r="L622" s="149">
        <v>-6895600</v>
      </c>
      <c r="M622" s="149">
        <v>-1310164</v>
      </c>
      <c r="N622" s="149">
        <v>-8205764</v>
      </c>
      <c r="O622">
        <v>0</v>
      </c>
      <c r="P622">
        <v>0</v>
      </c>
      <c r="Q622">
        <v>0</v>
      </c>
      <c r="R622">
        <v>0</v>
      </c>
      <c r="S622">
        <v>0</v>
      </c>
      <c r="T622" t="s">
        <v>77</v>
      </c>
      <c r="U622">
        <v>0</v>
      </c>
      <c r="V622">
        <v>0</v>
      </c>
      <c r="W622">
        <v>0</v>
      </c>
      <c r="X622">
        <v>0</v>
      </c>
      <c r="Y622">
        <v>33</v>
      </c>
      <c r="Z622">
        <v>3814</v>
      </c>
      <c r="AC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M622">
        <v>0</v>
      </c>
      <c r="AR622" t="s">
        <v>2773</v>
      </c>
      <c r="AS622" t="s">
        <v>1680</v>
      </c>
      <c r="AT622">
        <v>2025</v>
      </c>
      <c r="AU622">
        <v>2</v>
      </c>
      <c r="AV622" t="s">
        <v>318</v>
      </c>
      <c r="AX622" t="s">
        <v>2819</v>
      </c>
    </row>
    <row r="623" spans="1:50">
      <c r="A623">
        <v>47</v>
      </c>
      <c r="B623">
        <v>61</v>
      </c>
      <c r="C623" t="s">
        <v>74</v>
      </c>
      <c r="D623" t="s">
        <v>1353</v>
      </c>
      <c r="E623" t="s">
        <v>1354</v>
      </c>
      <c r="F623">
        <v>788</v>
      </c>
      <c r="G623" s="23">
        <v>45699</v>
      </c>
      <c r="H623" s="2">
        <v>45963.678807870368</v>
      </c>
      <c r="K623" s="149">
        <v>0</v>
      </c>
      <c r="L623" s="149">
        <v>-34364</v>
      </c>
      <c r="M623" s="149">
        <v>-6529</v>
      </c>
      <c r="N623" s="149">
        <v>-40893</v>
      </c>
      <c r="O623">
        <v>0</v>
      </c>
      <c r="P623">
        <v>0</v>
      </c>
      <c r="Q623">
        <v>0</v>
      </c>
      <c r="R623">
        <v>0</v>
      </c>
      <c r="S623">
        <v>0</v>
      </c>
      <c r="T623" t="s">
        <v>77</v>
      </c>
      <c r="U623">
        <v>0</v>
      </c>
      <c r="V623">
        <v>0</v>
      </c>
      <c r="W623">
        <v>0</v>
      </c>
      <c r="X623">
        <v>0</v>
      </c>
      <c r="Y623">
        <v>33</v>
      </c>
      <c r="Z623">
        <v>3526</v>
      </c>
      <c r="AC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M623">
        <v>0</v>
      </c>
      <c r="AR623" t="s">
        <v>2773</v>
      </c>
      <c r="AS623" t="s">
        <v>1680</v>
      </c>
      <c r="AT623">
        <v>2025</v>
      </c>
      <c r="AU623">
        <v>2</v>
      </c>
      <c r="AV623" t="s">
        <v>318</v>
      </c>
      <c r="AX623" t="s">
        <v>2820</v>
      </c>
    </row>
    <row r="624" spans="1:50">
      <c r="A624">
        <v>48</v>
      </c>
      <c r="B624">
        <v>61</v>
      </c>
      <c r="C624" t="s">
        <v>74</v>
      </c>
      <c r="D624" t="s">
        <v>1353</v>
      </c>
      <c r="E624" t="s">
        <v>1354</v>
      </c>
      <c r="F624">
        <v>789</v>
      </c>
      <c r="G624" s="23">
        <v>45699</v>
      </c>
      <c r="H624" s="2">
        <v>45963.694930555554</v>
      </c>
      <c r="K624" s="149">
        <v>0</v>
      </c>
      <c r="L624" s="149">
        <v>-119240</v>
      </c>
      <c r="M624" s="149">
        <v>-22656</v>
      </c>
      <c r="N624" s="149">
        <v>-141896</v>
      </c>
      <c r="O624">
        <v>0</v>
      </c>
      <c r="P624">
        <v>0</v>
      </c>
      <c r="Q624">
        <v>0</v>
      </c>
      <c r="R624">
        <v>0</v>
      </c>
      <c r="S624">
        <v>0</v>
      </c>
      <c r="T624" t="s">
        <v>77</v>
      </c>
      <c r="U624">
        <v>0</v>
      </c>
      <c r="V624">
        <v>0</v>
      </c>
      <c r="W624">
        <v>0</v>
      </c>
      <c r="X624">
        <v>0</v>
      </c>
      <c r="Y624">
        <v>33</v>
      </c>
      <c r="Z624">
        <v>3795</v>
      </c>
      <c r="AC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M624">
        <v>0</v>
      </c>
      <c r="AR624" t="s">
        <v>2773</v>
      </c>
      <c r="AS624" t="s">
        <v>1680</v>
      </c>
      <c r="AT624">
        <v>2025</v>
      </c>
      <c r="AU624">
        <v>2</v>
      </c>
      <c r="AV624" t="s">
        <v>318</v>
      </c>
      <c r="AX624" t="s">
        <v>2821</v>
      </c>
    </row>
    <row r="625" spans="1:50">
      <c r="A625">
        <v>49</v>
      </c>
      <c r="B625">
        <v>61</v>
      </c>
      <c r="C625" t="s">
        <v>74</v>
      </c>
      <c r="D625" t="s">
        <v>1988</v>
      </c>
      <c r="E625" t="s">
        <v>1989</v>
      </c>
      <c r="F625">
        <v>790</v>
      </c>
      <c r="G625" s="23" t="s">
        <v>1433</v>
      </c>
      <c r="H625" s="2" t="s">
        <v>2771</v>
      </c>
      <c r="K625" s="149">
        <v>0</v>
      </c>
      <c r="L625" s="149">
        <v>-1005360</v>
      </c>
      <c r="M625" s="149">
        <v>-191018</v>
      </c>
      <c r="N625" s="149">
        <v>-1196378</v>
      </c>
      <c r="O625">
        <v>0</v>
      </c>
      <c r="P625">
        <v>0</v>
      </c>
      <c r="Q625">
        <v>0</v>
      </c>
      <c r="R625">
        <v>0</v>
      </c>
      <c r="S625">
        <v>0</v>
      </c>
      <c r="T625" t="s">
        <v>77</v>
      </c>
      <c r="U625">
        <v>0</v>
      </c>
      <c r="V625">
        <v>0</v>
      </c>
      <c r="W625">
        <v>0</v>
      </c>
      <c r="X625">
        <v>0</v>
      </c>
      <c r="Y625">
        <v>33</v>
      </c>
      <c r="Z625">
        <v>3564</v>
      </c>
      <c r="AC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M625">
        <v>0</v>
      </c>
      <c r="AR625" t="s">
        <v>2773</v>
      </c>
      <c r="AS625" t="s">
        <v>1680</v>
      </c>
      <c r="AT625">
        <v>2025</v>
      </c>
      <c r="AU625">
        <v>2</v>
      </c>
      <c r="AV625" t="s">
        <v>318</v>
      </c>
      <c r="AX625" t="s">
        <v>2822</v>
      </c>
    </row>
    <row r="626" spans="1:50">
      <c r="A626">
        <v>50</v>
      </c>
      <c r="B626">
        <v>61</v>
      </c>
      <c r="C626" t="s">
        <v>74</v>
      </c>
      <c r="D626" t="s">
        <v>1222</v>
      </c>
      <c r="E626" t="s">
        <v>1223</v>
      </c>
      <c r="F626">
        <v>791</v>
      </c>
      <c r="G626" s="23" t="s">
        <v>3806</v>
      </c>
      <c r="H626" s="2" t="s">
        <v>2772</v>
      </c>
      <c r="I626" t="s">
        <v>2726</v>
      </c>
      <c r="K626" s="149">
        <v>0</v>
      </c>
      <c r="L626" s="149">
        <v>-3497900</v>
      </c>
      <c r="M626" s="149">
        <v>-664601</v>
      </c>
      <c r="N626" s="149">
        <v>-4162501</v>
      </c>
      <c r="O626">
        <v>0</v>
      </c>
      <c r="P626">
        <v>0</v>
      </c>
      <c r="Q626">
        <v>0</v>
      </c>
      <c r="R626">
        <v>0</v>
      </c>
      <c r="S626">
        <v>0</v>
      </c>
      <c r="T626" t="s">
        <v>77</v>
      </c>
      <c r="U626">
        <v>0</v>
      </c>
      <c r="V626">
        <v>0</v>
      </c>
      <c r="W626">
        <v>0</v>
      </c>
      <c r="X626">
        <v>0</v>
      </c>
      <c r="Y626">
        <v>33</v>
      </c>
      <c r="Z626">
        <v>3818</v>
      </c>
      <c r="AC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M626">
        <v>0</v>
      </c>
      <c r="AR626" t="s">
        <v>2773</v>
      </c>
      <c r="AS626" t="s">
        <v>1680</v>
      </c>
      <c r="AT626">
        <v>2025</v>
      </c>
      <c r="AU626">
        <v>2</v>
      </c>
      <c r="AV626" t="s">
        <v>318</v>
      </c>
      <c r="AX626" t="s">
        <v>2823</v>
      </c>
    </row>
    <row r="627" spans="1:50">
      <c r="A627">
        <v>51</v>
      </c>
      <c r="B627">
        <v>61</v>
      </c>
      <c r="C627" t="s">
        <v>74</v>
      </c>
      <c r="D627" t="s">
        <v>319</v>
      </c>
      <c r="E627" t="s">
        <v>2547</v>
      </c>
      <c r="F627">
        <v>792</v>
      </c>
      <c r="G627" s="23" t="s">
        <v>1432</v>
      </c>
      <c r="H627" s="2">
        <v>45750.578182870369</v>
      </c>
      <c r="K627" s="149">
        <v>0</v>
      </c>
      <c r="L627" s="149">
        <v>-5000000</v>
      </c>
      <c r="M627" s="149">
        <v>-950000</v>
      </c>
      <c r="N627" s="149">
        <v>-5950000</v>
      </c>
      <c r="O627">
        <v>0</v>
      </c>
      <c r="P627">
        <v>0</v>
      </c>
      <c r="Q627">
        <v>0</v>
      </c>
      <c r="R627">
        <v>0</v>
      </c>
      <c r="S627">
        <v>0</v>
      </c>
      <c r="T627" t="s">
        <v>77</v>
      </c>
      <c r="U627">
        <v>0</v>
      </c>
      <c r="V627">
        <v>0</v>
      </c>
      <c r="W627">
        <v>0</v>
      </c>
      <c r="X627">
        <v>0</v>
      </c>
      <c r="Y627">
        <v>33</v>
      </c>
      <c r="Z627">
        <v>3790</v>
      </c>
      <c r="AC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M627">
        <v>0</v>
      </c>
      <c r="AR627" t="s">
        <v>2773</v>
      </c>
      <c r="AS627" t="s">
        <v>1680</v>
      </c>
      <c r="AT627">
        <v>2025</v>
      </c>
      <c r="AU627">
        <v>2</v>
      </c>
      <c r="AV627" t="s">
        <v>318</v>
      </c>
      <c r="AX627" t="s">
        <v>2824</v>
      </c>
    </row>
    <row r="628" spans="1:50">
      <c r="A628">
        <v>1</v>
      </c>
      <c r="B628">
        <v>33</v>
      </c>
      <c r="C628" t="s">
        <v>74</v>
      </c>
      <c r="D628" t="s">
        <v>1573</v>
      </c>
      <c r="E628" t="s">
        <v>1574</v>
      </c>
      <c r="F628">
        <v>3847</v>
      </c>
      <c r="G628" s="23">
        <v>45720</v>
      </c>
      <c r="H628" s="2">
        <v>45719.445324074077</v>
      </c>
      <c r="K628" s="149">
        <v>0</v>
      </c>
      <c r="L628" s="149">
        <v>246424</v>
      </c>
      <c r="M628" s="149">
        <v>46821</v>
      </c>
      <c r="N628" s="149">
        <v>293245</v>
      </c>
      <c r="O628">
        <v>0</v>
      </c>
      <c r="P628">
        <v>0</v>
      </c>
      <c r="Q628">
        <v>0</v>
      </c>
      <c r="R628">
        <v>0</v>
      </c>
      <c r="S628">
        <v>0</v>
      </c>
      <c r="T628" t="s">
        <v>77</v>
      </c>
      <c r="U628">
        <v>0</v>
      </c>
      <c r="V628">
        <v>0</v>
      </c>
      <c r="W628">
        <v>0</v>
      </c>
      <c r="X628">
        <v>0</v>
      </c>
      <c r="Y628">
        <v>0</v>
      </c>
      <c r="AC628">
        <v>0</v>
      </c>
      <c r="AE628">
        <v>0</v>
      </c>
      <c r="AF628">
        <v>2</v>
      </c>
      <c r="AG628">
        <v>0</v>
      </c>
      <c r="AH628">
        <v>0</v>
      </c>
      <c r="AI628">
        <v>0</v>
      </c>
      <c r="AM628">
        <v>0</v>
      </c>
      <c r="AR628" t="s">
        <v>2898</v>
      </c>
      <c r="AS628" t="s">
        <v>1680</v>
      </c>
      <c r="AT628">
        <v>2025</v>
      </c>
      <c r="AU628">
        <v>3</v>
      </c>
      <c r="AV628" t="s">
        <v>78</v>
      </c>
      <c r="AX628" t="s">
        <v>2899</v>
      </c>
    </row>
    <row r="629" spans="1:50">
      <c r="A629">
        <v>2</v>
      </c>
      <c r="B629">
        <v>33</v>
      </c>
      <c r="C629" t="s">
        <v>74</v>
      </c>
      <c r="D629" t="s">
        <v>1353</v>
      </c>
      <c r="E629" t="s">
        <v>1354</v>
      </c>
      <c r="F629">
        <v>3848</v>
      </c>
      <c r="G629" s="23">
        <v>45720</v>
      </c>
      <c r="H629" s="2">
        <v>45719.449618055558</v>
      </c>
      <c r="I629" s="2">
        <v>45719.547754629632</v>
      </c>
      <c r="K629" s="149">
        <v>0</v>
      </c>
      <c r="L629" s="149">
        <v>1155000</v>
      </c>
      <c r="M629" s="149">
        <v>219450</v>
      </c>
      <c r="N629" s="149">
        <v>1374450</v>
      </c>
      <c r="O629">
        <v>0</v>
      </c>
      <c r="P629">
        <v>0</v>
      </c>
      <c r="Q629">
        <v>0</v>
      </c>
      <c r="R629">
        <v>0</v>
      </c>
      <c r="S629">
        <v>0</v>
      </c>
      <c r="T629" t="s">
        <v>77</v>
      </c>
      <c r="U629">
        <v>0</v>
      </c>
      <c r="V629">
        <v>0</v>
      </c>
      <c r="W629">
        <v>0</v>
      </c>
      <c r="X629">
        <v>0</v>
      </c>
      <c r="Y629">
        <v>0</v>
      </c>
      <c r="AC629">
        <v>0</v>
      </c>
      <c r="AE629">
        <v>0</v>
      </c>
      <c r="AF629">
        <v>2</v>
      </c>
      <c r="AG629">
        <v>0</v>
      </c>
      <c r="AH629">
        <v>0</v>
      </c>
      <c r="AI629">
        <v>0</v>
      </c>
      <c r="AM629">
        <v>0</v>
      </c>
      <c r="AR629" t="s">
        <v>2898</v>
      </c>
      <c r="AS629" t="s">
        <v>1680</v>
      </c>
      <c r="AT629">
        <v>2025</v>
      </c>
      <c r="AU629">
        <v>3</v>
      </c>
      <c r="AV629" t="s">
        <v>78</v>
      </c>
      <c r="AX629" t="s">
        <v>2900</v>
      </c>
    </row>
    <row r="630" spans="1:50">
      <c r="A630">
        <v>3</v>
      </c>
      <c r="B630">
        <v>33</v>
      </c>
      <c r="C630" t="s">
        <v>74</v>
      </c>
      <c r="D630" t="s">
        <v>1564</v>
      </c>
      <c r="E630" t="s">
        <v>1565</v>
      </c>
      <c r="F630">
        <v>3849</v>
      </c>
      <c r="G630" s="23">
        <v>45722</v>
      </c>
      <c r="H630" s="2">
        <v>45719.58834490741</v>
      </c>
      <c r="K630" s="149">
        <v>0</v>
      </c>
      <c r="L630" s="149">
        <v>476409</v>
      </c>
      <c r="M630" s="149">
        <v>90515</v>
      </c>
      <c r="N630" s="149">
        <v>566924</v>
      </c>
      <c r="O630">
        <v>0</v>
      </c>
      <c r="P630">
        <v>0</v>
      </c>
      <c r="Q630">
        <v>0</v>
      </c>
      <c r="R630">
        <v>0</v>
      </c>
      <c r="S630">
        <v>0</v>
      </c>
      <c r="T630" t="s">
        <v>77</v>
      </c>
      <c r="U630">
        <v>0</v>
      </c>
      <c r="V630">
        <v>0</v>
      </c>
      <c r="W630">
        <v>0</v>
      </c>
      <c r="X630">
        <v>0</v>
      </c>
      <c r="Y630">
        <v>0</v>
      </c>
      <c r="AC630">
        <v>0</v>
      </c>
      <c r="AE630">
        <v>0</v>
      </c>
      <c r="AF630">
        <v>2</v>
      </c>
      <c r="AG630">
        <v>0</v>
      </c>
      <c r="AH630">
        <v>0</v>
      </c>
      <c r="AI630">
        <v>0</v>
      </c>
      <c r="AM630">
        <v>0</v>
      </c>
      <c r="AR630" t="s">
        <v>2898</v>
      </c>
      <c r="AS630" t="s">
        <v>1680</v>
      </c>
      <c r="AT630">
        <v>2025</v>
      </c>
      <c r="AU630">
        <v>3</v>
      </c>
      <c r="AV630" t="s">
        <v>78</v>
      </c>
      <c r="AX630" t="s">
        <v>2901</v>
      </c>
    </row>
    <row r="631" spans="1:50">
      <c r="A631">
        <v>4</v>
      </c>
      <c r="B631">
        <v>33</v>
      </c>
      <c r="C631" t="s">
        <v>74</v>
      </c>
      <c r="D631" t="s">
        <v>1222</v>
      </c>
      <c r="E631" t="s">
        <v>1223</v>
      </c>
      <c r="F631">
        <v>3850</v>
      </c>
      <c r="G631" s="23">
        <v>45722</v>
      </c>
      <c r="H631" s="2">
        <v>45750.716851851852</v>
      </c>
      <c r="I631" s="2">
        <v>45933.616423611114</v>
      </c>
      <c r="K631" s="149">
        <v>0</v>
      </c>
      <c r="L631" s="149">
        <v>9636900</v>
      </c>
      <c r="M631" s="149">
        <v>1831010</v>
      </c>
      <c r="N631" s="149">
        <v>11467910</v>
      </c>
      <c r="O631">
        <v>0</v>
      </c>
      <c r="P631">
        <v>0</v>
      </c>
      <c r="Q631">
        <v>0</v>
      </c>
      <c r="R631">
        <v>0</v>
      </c>
      <c r="S631">
        <v>0</v>
      </c>
      <c r="T631" t="s">
        <v>77</v>
      </c>
      <c r="U631">
        <v>0</v>
      </c>
      <c r="V631">
        <v>0</v>
      </c>
      <c r="W631">
        <v>0</v>
      </c>
      <c r="X631">
        <v>0</v>
      </c>
      <c r="AC631">
        <v>0</v>
      </c>
      <c r="AE631">
        <v>0</v>
      </c>
      <c r="AF631">
        <v>2</v>
      </c>
      <c r="AG631">
        <v>0</v>
      </c>
      <c r="AH631">
        <v>0</v>
      </c>
      <c r="AI631">
        <v>0</v>
      </c>
      <c r="AM631">
        <v>0</v>
      </c>
      <c r="AR631" t="s">
        <v>2898</v>
      </c>
      <c r="AS631" t="s">
        <v>1680</v>
      </c>
      <c r="AT631">
        <v>2025</v>
      </c>
      <c r="AU631">
        <v>3</v>
      </c>
      <c r="AV631" t="s">
        <v>78</v>
      </c>
      <c r="AX631" t="s">
        <v>2902</v>
      </c>
    </row>
    <row r="632" spans="1:50">
      <c r="A632">
        <v>5</v>
      </c>
      <c r="B632">
        <v>33</v>
      </c>
      <c r="C632" t="s">
        <v>74</v>
      </c>
      <c r="D632" t="s">
        <v>1222</v>
      </c>
      <c r="E632" t="s">
        <v>1223</v>
      </c>
      <c r="F632">
        <v>3851</v>
      </c>
      <c r="G632" s="23">
        <v>45722</v>
      </c>
      <c r="H632" s="2">
        <v>45750.722442129627</v>
      </c>
      <c r="I632" s="2">
        <v>45933.616655092592</v>
      </c>
      <c r="K632" s="149">
        <v>0</v>
      </c>
      <c r="L632" s="149">
        <v>8657930</v>
      </c>
      <c r="M632" s="149">
        <v>1645007</v>
      </c>
      <c r="N632" s="149">
        <v>10302937</v>
      </c>
      <c r="O632">
        <v>0</v>
      </c>
      <c r="P632">
        <v>0</v>
      </c>
      <c r="Q632">
        <v>0</v>
      </c>
      <c r="R632">
        <v>0</v>
      </c>
      <c r="S632">
        <v>0</v>
      </c>
      <c r="T632" t="s">
        <v>77</v>
      </c>
      <c r="U632">
        <v>0</v>
      </c>
      <c r="V632">
        <v>0</v>
      </c>
      <c r="W632">
        <v>0</v>
      </c>
      <c r="X632">
        <v>0</v>
      </c>
      <c r="AC632">
        <v>0</v>
      </c>
      <c r="AE632">
        <v>0</v>
      </c>
      <c r="AF632">
        <v>2</v>
      </c>
      <c r="AG632">
        <v>0</v>
      </c>
      <c r="AH632">
        <v>0</v>
      </c>
      <c r="AI632">
        <v>0</v>
      </c>
      <c r="AM632">
        <v>0</v>
      </c>
      <c r="AR632" t="s">
        <v>2898</v>
      </c>
      <c r="AS632" t="s">
        <v>1680</v>
      </c>
      <c r="AT632">
        <v>2025</v>
      </c>
      <c r="AU632">
        <v>3</v>
      </c>
      <c r="AV632" t="s">
        <v>78</v>
      </c>
      <c r="AX632" t="s">
        <v>2903</v>
      </c>
    </row>
    <row r="633" spans="1:50">
      <c r="A633">
        <v>6</v>
      </c>
      <c r="B633">
        <v>33</v>
      </c>
      <c r="C633" t="s">
        <v>74</v>
      </c>
      <c r="D633" t="s">
        <v>1581</v>
      </c>
      <c r="E633" t="s">
        <v>1582</v>
      </c>
      <c r="F633">
        <v>3852</v>
      </c>
      <c r="G633" s="23">
        <v>45722</v>
      </c>
      <c r="H633" s="2">
        <v>45780.445185185185</v>
      </c>
      <c r="I633" s="2">
        <v>45841.492743055554</v>
      </c>
      <c r="J633" s="2"/>
      <c r="K633" s="149">
        <v>0</v>
      </c>
      <c r="L633" s="149">
        <v>1015960</v>
      </c>
      <c r="M633" s="149">
        <v>193032</v>
      </c>
      <c r="N633" s="149">
        <v>1208992</v>
      </c>
      <c r="O633">
        <v>0</v>
      </c>
      <c r="P633">
        <v>0</v>
      </c>
      <c r="Q633">
        <v>0</v>
      </c>
      <c r="R633">
        <v>0</v>
      </c>
      <c r="S633">
        <v>0</v>
      </c>
      <c r="T633" t="s">
        <v>77</v>
      </c>
      <c r="U633">
        <v>0</v>
      </c>
      <c r="V633">
        <v>0</v>
      </c>
      <c r="W633">
        <v>0</v>
      </c>
      <c r="X633">
        <v>0</v>
      </c>
      <c r="Y633">
        <v>0</v>
      </c>
      <c r="AC633">
        <v>0</v>
      </c>
      <c r="AE633">
        <v>0</v>
      </c>
      <c r="AF633">
        <v>2</v>
      </c>
      <c r="AG633">
        <v>0</v>
      </c>
      <c r="AH633">
        <v>0</v>
      </c>
      <c r="AI633">
        <v>0</v>
      </c>
      <c r="AM633">
        <v>0</v>
      </c>
      <c r="AR633" t="s">
        <v>2898</v>
      </c>
      <c r="AS633" t="s">
        <v>1680</v>
      </c>
      <c r="AT633">
        <v>2025</v>
      </c>
      <c r="AU633">
        <v>3</v>
      </c>
      <c r="AV633" t="s">
        <v>78</v>
      </c>
      <c r="AX633" t="s">
        <v>2904</v>
      </c>
    </row>
    <row r="634" spans="1:50">
      <c r="A634">
        <v>7</v>
      </c>
      <c r="B634">
        <v>33</v>
      </c>
      <c r="C634" t="s">
        <v>74</v>
      </c>
      <c r="D634" t="s">
        <v>2329</v>
      </c>
      <c r="E634" t="s">
        <v>2330</v>
      </c>
      <c r="F634">
        <v>3853</v>
      </c>
      <c r="G634" s="23">
        <v>45722</v>
      </c>
      <c r="H634" s="2">
        <v>45780.48228009259</v>
      </c>
      <c r="K634" s="149">
        <v>0</v>
      </c>
      <c r="L634" s="149">
        <v>280000</v>
      </c>
      <c r="M634" s="149">
        <v>53200</v>
      </c>
      <c r="N634" s="149">
        <v>333200</v>
      </c>
      <c r="O634">
        <v>0</v>
      </c>
      <c r="P634">
        <v>0</v>
      </c>
      <c r="Q634">
        <v>0</v>
      </c>
      <c r="R634">
        <v>0</v>
      </c>
      <c r="S634">
        <v>0</v>
      </c>
      <c r="T634" t="s">
        <v>77</v>
      </c>
      <c r="U634">
        <v>0</v>
      </c>
      <c r="V634">
        <v>0</v>
      </c>
      <c r="W634">
        <v>0</v>
      </c>
      <c r="X634">
        <v>0</v>
      </c>
      <c r="Y634">
        <v>0</v>
      </c>
      <c r="AC634">
        <v>0</v>
      </c>
      <c r="AE634">
        <v>0</v>
      </c>
      <c r="AF634">
        <v>2</v>
      </c>
      <c r="AG634">
        <v>0</v>
      </c>
      <c r="AH634">
        <v>0</v>
      </c>
      <c r="AI634">
        <v>0</v>
      </c>
      <c r="AM634">
        <v>0</v>
      </c>
      <c r="AR634" t="s">
        <v>2898</v>
      </c>
      <c r="AS634" t="s">
        <v>1680</v>
      </c>
      <c r="AT634">
        <v>2025</v>
      </c>
      <c r="AU634">
        <v>3</v>
      </c>
      <c r="AV634" t="s">
        <v>78</v>
      </c>
      <c r="AX634" t="s">
        <v>2905</v>
      </c>
    </row>
    <row r="635" spans="1:50">
      <c r="A635">
        <v>8</v>
      </c>
      <c r="B635">
        <v>33</v>
      </c>
      <c r="C635" t="s">
        <v>74</v>
      </c>
      <c r="D635" t="s">
        <v>1588</v>
      </c>
      <c r="E635" t="s">
        <v>1589</v>
      </c>
      <c r="F635">
        <v>3854</v>
      </c>
      <c r="G635" s="23">
        <v>45722</v>
      </c>
      <c r="H635" s="2">
        <v>45780.490243055552</v>
      </c>
      <c r="K635" s="149">
        <v>0</v>
      </c>
      <c r="L635" s="149">
        <v>1611440</v>
      </c>
      <c r="M635" s="149">
        <v>306173</v>
      </c>
      <c r="N635" s="149">
        <v>1917613</v>
      </c>
      <c r="O635">
        <v>0</v>
      </c>
      <c r="P635">
        <v>0</v>
      </c>
      <c r="Q635">
        <v>0</v>
      </c>
      <c r="R635">
        <v>0</v>
      </c>
      <c r="S635">
        <v>0</v>
      </c>
      <c r="T635" t="s">
        <v>77</v>
      </c>
      <c r="U635">
        <v>0</v>
      </c>
      <c r="V635">
        <v>0</v>
      </c>
      <c r="W635">
        <v>0</v>
      </c>
      <c r="X635">
        <v>0</v>
      </c>
      <c r="Y635">
        <v>0</v>
      </c>
      <c r="AC635">
        <v>0</v>
      </c>
      <c r="AE635">
        <v>0</v>
      </c>
      <c r="AF635">
        <v>2</v>
      </c>
      <c r="AG635">
        <v>0</v>
      </c>
      <c r="AH635">
        <v>0</v>
      </c>
      <c r="AI635">
        <v>0</v>
      </c>
      <c r="AM635">
        <v>0</v>
      </c>
      <c r="AR635" t="s">
        <v>2898</v>
      </c>
      <c r="AS635" t="s">
        <v>1680</v>
      </c>
      <c r="AT635">
        <v>2025</v>
      </c>
      <c r="AU635">
        <v>3</v>
      </c>
      <c r="AV635" t="s">
        <v>78</v>
      </c>
      <c r="AX635" t="s">
        <v>2906</v>
      </c>
    </row>
    <row r="636" spans="1:50">
      <c r="A636">
        <v>9</v>
      </c>
      <c r="B636">
        <v>33</v>
      </c>
      <c r="C636" t="s">
        <v>74</v>
      </c>
      <c r="D636" t="s">
        <v>2825</v>
      </c>
      <c r="E636" t="s">
        <v>2826</v>
      </c>
      <c r="F636">
        <v>3855</v>
      </c>
      <c r="G636" s="23">
        <v>45722</v>
      </c>
      <c r="H636" s="2">
        <v>45780.535636574074</v>
      </c>
      <c r="K636" s="149">
        <v>2</v>
      </c>
      <c r="L636" s="149">
        <v>266264</v>
      </c>
      <c r="M636" s="149">
        <v>50592</v>
      </c>
      <c r="N636" s="149">
        <v>316858</v>
      </c>
      <c r="O636">
        <v>0</v>
      </c>
      <c r="P636">
        <v>0</v>
      </c>
      <c r="Q636">
        <v>0</v>
      </c>
      <c r="R636">
        <v>0</v>
      </c>
      <c r="S636">
        <v>0</v>
      </c>
      <c r="T636" t="s">
        <v>77</v>
      </c>
      <c r="U636">
        <v>0</v>
      </c>
      <c r="V636">
        <v>0</v>
      </c>
      <c r="W636">
        <v>0</v>
      </c>
      <c r="X636">
        <v>0</v>
      </c>
      <c r="Y636">
        <v>0</v>
      </c>
      <c r="AC636">
        <v>0</v>
      </c>
      <c r="AE636">
        <v>0</v>
      </c>
      <c r="AF636">
        <v>2</v>
      </c>
      <c r="AG636">
        <v>0</v>
      </c>
      <c r="AH636">
        <v>0</v>
      </c>
      <c r="AI636">
        <v>0</v>
      </c>
      <c r="AM636">
        <v>0</v>
      </c>
      <c r="AR636" t="s">
        <v>2898</v>
      </c>
      <c r="AS636" t="s">
        <v>1680</v>
      </c>
      <c r="AT636">
        <v>2025</v>
      </c>
      <c r="AU636">
        <v>3</v>
      </c>
      <c r="AV636" t="s">
        <v>78</v>
      </c>
      <c r="AX636" t="s">
        <v>2907</v>
      </c>
    </row>
    <row r="637" spans="1:50">
      <c r="A637">
        <v>10</v>
      </c>
      <c r="B637">
        <v>33</v>
      </c>
      <c r="C637" t="s">
        <v>74</v>
      </c>
      <c r="D637" t="s">
        <v>1353</v>
      </c>
      <c r="E637" t="s">
        <v>1354</v>
      </c>
      <c r="F637">
        <v>3856</v>
      </c>
      <c r="G637" s="23">
        <v>45723</v>
      </c>
      <c r="H637" s="2">
        <v>45811.491736111115</v>
      </c>
      <c r="I637" s="2">
        <v>45994.498055555552</v>
      </c>
      <c r="K637" s="149">
        <v>343401</v>
      </c>
      <c r="L637" s="149">
        <v>693000</v>
      </c>
      <c r="M637" s="149">
        <v>131670</v>
      </c>
      <c r="N637" s="149">
        <v>1168071</v>
      </c>
      <c r="O637">
        <v>0</v>
      </c>
      <c r="P637">
        <v>0</v>
      </c>
      <c r="Q637">
        <v>0</v>
      </c>
      <c r="R637">
        <v>0</v>
      </c>
      <c r="S637">
        <v>0</v>
      </c>
      <c r="T637" t="s">
        <v>77</v>
      </c>
      <c r="U637">
        <v>0</v>
      </c>
      <c r="V637">
        <v>0</v>
      </c>
      <c r="W637">
        <v>0</v>
      </c>
      <c r="X637">
        <v>0</v>
      </c>
      <c r="Y637">
        <v>0</v>
      </c>
      <c r="AC637">
        <v>0</v>
      </c>
      <c r="AE637">
        <v>0</v>
      </c>
      <c r="AF637">
        <v>2</v>
      </c>
      <c r="AG637">
        <v>0</v>
      </c>
      <c r="AH637">
        <v>0</v>
      </c>
      <c r="AI637">
        <v>0</v>
      </c>
      <c r="AM637">
        <v>0</v>
      </c>
      <c r="AR637" t="s">
        <v>2898</v>
      </c>
      <c r="AS637" t="s">
        <v>1680</v>
      </c>
      <c r="AT637">
        <v>2025</v>
      </c>
      <c r="AU637">
        <v>3</v>
      </c>
      <c r="AV637" t="s">
        <v>78</v>
      </c>
      <c r="AX637" t="s">
        <v>2908</v>
      </c>
    </row>
    <row r="638" spans="1:50">
      <c r="A638">
        <v>11</v>
      </c>
      <c r="B638">
        <v>33</v>
      </c>
      <c r="C638" t="s">
        <v>74</v>
      </c>
      <c r="D638" t="s">
        <v>1222</v>
      </c>
      <c r="E638" t="s">
        <v>1223</v>
      </c>
      <c r="F638">
        <v>3857</v>
      </c>
      <c r="G638" s="23">
        <v>45726</v>
      </c>
      <c r="H638" s="2">
        <v>45811.697858796295</v>
      </c>
      <c r="I638" s="2" t="s">
        <v>2827</v>
      </c>
      <c r="K638" s="149">
        <v>0</v>
      </c>
      <c r="L638" s="149">
        <v>4478200</v>
      </c>
      <c r="M638" s="149">
        <v>850858</v>
      </c>
      <c r="N638" s="149">
        <v>5329058</v>
      </c>
      <c r="O638">
        <v>0</v>
      </c>
      <c r="P638">
        <v>0</v>
      </c>
      <c r="Q638">
        <v>0</v>
      </c>
      <c r="R638">
        <v>0</v>
      </c>
      <c r="S638">
        <v>0</v>
      </c>
      <c r="T638" t="s">
        <v>77</v>
      </c>
      <c r="U638">
        <v>0</v>
      </c>
      <c r="V638">
        <v>0</v>
      </c>
      <c r="W638">
        <v>0</v>
      </c>
      <c r="X638">
        <v>0</v>
      </c>
      <c r="AC638">
        <v>0</v>
      </c>
      <c r="AE638">
        <v>0</v>
      </c>
      <c r="AF638">
        <v>2</v>
      </c>
      <c r="AG638">
        <v>0</v>
      </c>
      <c r="AH638">
        <v>0</v>
      </c>
      <c r="AI638">
        <v>0</v>
      </c>
      <c r="AM638">
        <v>0</v>
      </c>
      <c r="AR638" t="s">
        <v>2898</v>
      </c>
      <c r="AS638" t="s">
        <v>1680</v>
      </c>
      <c r="AT638">
        <v>2025</v>
      </c>
      <c r="AU638">
        <v>3</v>
      </c>
      <c r="AV638" t="s">
        <v>78</v>
      </c>
      <c r="AX638" t="s">
        <v>2909</v>
      </c>
    </row>
    <row r="639" spans="1:50">
      <c r="A639">
        <v>12</v>
      </c>
      <c r="B639">
        <v>33</v>
      </c>
      <c r="C639" t="s">
        <v>74</v>
      </c>
      <c r="D639" t="s">
        <v>1222</v>
      </c>
      <c r="E639" t="s">
        <v>1223</v>
      </c>
      <c r="F639">
        <v>3858</v>
      </c>
      <c r="G639" s="23">
        <v>45726</v>
      </c>
      <c r="H639" s="2">
        <v>45811.709930555553</v>
      </c>
      <c r="I639" s="2">
        <v>45994.764467592591</v>
      </c>
      <c r="K639" s="149">
        <v>0</v>
      </c>
      <c r="L639" s="149">
        <v>8657930</v>
      </c>
      <c r="M639" s="149">
        <v>1645007</v>
      </c>
      <c r="N639" s="149">
        <v>10302937</v>
      </c>
      <c r="O639">
        <v>0</v>
      </c>
      <c r="P639">
        <v>0</v>
      </c>
      <c r="Q639">
        <v>0</v>
      </c>
      <c r="R639">
        <v>0</v>
      </c>
      <c r="S639">
        <v>0</v>
      </c>
      <c r="T639" t="s">
        <v>77</v>
      </c>
      <c r="U639">
        <v>0</v>
      </c>
      <c r="V639">
        <v>0</v>
      </c>
      <c r="W639">
        <v>0</v>
      </c>
      <c r="X639">
        <v>0</v>
      </c>
      <c r="AC639">
        <v>0</v>
      </c>
      <c r="AE639">
        <v>0</v>
      </c>
      <c r="AF639">
        <v>2</v>
      </c>
      <c r="AG639">
        <v>0</v>
      </c>
      <c r="AH639">
        <v>0</v>
      </c>
      <c r="AI639">
        <v>0</v>
      </c>
      <c r="AM639">
        <v>0</v>
      </c>
      <c r="AR639" t="s">
        <v>2898</v>
      </c>
      <c r="AS639" t="s">
        <v>1680</v>
      </c>
      <c r="AT639">
        <v>2025</v>
      </c>
      <c r="AU639">
        <v>3</v>
      </c>
      <c r="AV639" t="s">
        <v>78</v>
      </c>
      <c r="AX639" t="s">
        <v>2910</v>
      </c>
    </row>
    <row r="640" spans="1:50">
      <c r="A640">
        <v>13</v>
      </c>
      <c r="B640">
        <v>33</v>
      </c>
      <c r="C640" t="s">
        <v>74</v>
      </c>
      <c r="D640" t="s">
        <v>1600</v>
      </c>
      <c r="E640" t="s">
        <v>1601</v>
      </c>
      <c r="F640">
        <v>3859</v>
      </c>
      <c r="G640" s="23">
        <v>45726</v>
      </c>
      <c r="H640" s="2">
        <v>45841.527766203704</v>
      </c>
      <c r="K640" s="149">
        <v>0</v>
      </c>
      <c r="L640" s="149">
        <v>48453</v>
      </c>
      <c r="M640" s="149">
        <v>9206</v>
      </c>
      <c r="N640" s="149">
        <v>57659</v>
      </c>
      <c r="O640">
        <v>0</v>
      </c>
      <c r="P640">
        <v>0</v>
      </c>
      <c r="Q640">
        <v>0</v>
      </c>
      <c r="R640">
        <v>0</v>
      </c>
      <c r="S640">
        <v>0</v>
      </c>
      <c r="T640" t="s">
        <v>77</v>
      </c>
      <c r="U640">
        <v>0</v>
      </c>
      <c r="V640">
        <v>0</v>
      </c>
      <c r="W640">
        <v>0</v>
      </c>
      <c r="X640">
        <v>0</v>
      </c>
      <c r="Y640">
        <v>0</v>
      </c>
      <c r="AC640">
        <v>0</v>
      </c>
      <c r="AE640">
        <v>0</v>
      </c>
      <c r="AF640">
        <v>2</v>
      </c>
      <c r="AG640">
        <v>0</v>
      </c>
      <c r="AH640">
        <v>0</v>
      </c>
      <c r="AI640">
        <v>0</v>
      </c>
      <c r="AM640">
        <v>0</v>
      </c>
      <c r="AR640" t="s">
        <v>2898</v>
      </c>
      <c r="AS640" t="s">
        <v>1680</v>
      </c>
      <c r="AT640">
        <v>2025</v>
      </c>
      <c r="AU640">
        <v>3</v>
      </c>
      <c r="AV640" t="s">
        <v>78</v>
      </c>
      <c r="AX640" t="s">
        <v>2911</v>
      </c>
    </row>
    <row r="641" spans="1:50">
      <c r="A641">
        <v>14</v>
      </c>
      <c r="B641">
        <v>33</v>
      </c>
      <c r="C641" t="s">
        <v>74</v>
      </c>
      <c r="D641" t="s">
        <v>2509</v>
      </c>
      <c r="E641" t="s">
        <v>2510</v>
      </c>
      <c r="F641">
        <v>3860</v>
      </c>
      <c r="G641" s="23">
        <v>45727</v>
      </c>
      <c r="H641" s="2">
        <v>45933.476597222223</v>
      </c>
      <c r="I641" s="2">
        <v>45964.523923611108</v>
      </c>
      <c r="K641" s="149">
        <v>0</v>
      </c>
      <c r="L641" s="149">
        <v>300294</v>
      </c>
      <c r="M641" s="149">
        <v>57056</v>
      </c>
      <c r="N641" s="149">
        <v>357350</v>
      </c>
      <c r="O641">
        <v>0</v>
      </c>
      <c r="P641">
        <v>0</v>
      </c>
      <c r="Q641">
        <v>0</v>
      </c>
      <c r="R641">
        <v>0</v>
      </c>
      <c r="S641">
        <v>0</v>
      </c>
      <c r="T641" t="s">
        <v>77</v>
      </c>
      <c r="U641">
        <v>0</v>
      </c>
      <c r="V641">
        <v>0</v>
      </c>
      <c r="W641">
        <v>0</v>
      </c>
      <c r="X641">
        <v>0</v>
      </c>
      <c r="Y641">
        <v>0</v>
      </c>
      <c r="AC641">
        <v>0</v>
      </c>
      <c r="AE641">
        <v>0</v>
      </c>
      <c r="AF641">
        <v>2</v>
      </c>
      <c r="AG641">
        <v>0</v>
      </c>
      <c r="AH641">
        <v>0</v>
      </c>
      <c r="AI641">
        <v>0</v>
      </c>
      <c r="AM641">
        <v>0</v>
      </c>
      <c r="AR641" t="s">
        <v>2898</v>
      </c>
      <c r="AS641" t="s">
        <v>1680</v>
      </c>
      <c r="AT641">
        <v>2025</v>
      </c>
      <c r="AU641">
        <v>3</v>
      </c>
      <c r="AV641" t="s">
        <v>78</v>
      </c>
      <c r="AX641" t="s">
        <v>2912</v>
      </c>
    </row>
    <row r="642" spans="1:50">
      <c r="A642">
        <v>15</v>
      </c>
      <c r="B642">
        <v>33</v>
      </c>
      <c r="C642" t="s">
        <v>74</v>
      </c>
      <c r="D642" t="s">
        <v>1631</v>
      </c>
      <c r="E642" t="s">
        <v>1632</v>
      </c>
      <c r="F642">
        <v>3861</v>
      </c>
      <c r="G642" s="23">
        <v>45727</v>
      </c>
      <c r="H642" s="2">
        <v>45933.477766203701</v>
      </c>
      <c r="K642" s="149">
        <v>0</v>
      </c>
      <c r="L642" s="149">
        <v>277200</v>
      </c>
      <c r="M642" s="149">
        <v>52668</v>
      </c>
      <c r="N642" s="149">
        <v>329868</v>
      </c>
      <c r="O642">
        <v>0</v>
      </c>
      <c r="P642">
        <v>0</v>
      </c>
      <c r="Q642">
        <v>0</v>
      </c>
      <c r="R642">
        <v>0</v>
      </c>
      <c r="S642">
        <v>0</v>
      </c>
      <c r="T642" t="s">
        <v>77</v>
      </c>
      <c r="U642">
        <v>0</v>
      </c>
      <c r="V642">
        <v>0</v>
      </c>
      <c r="W642">
        <v>0</v>
      </c>
      <c r="X642">
        <v>0</v>
      </c>
      <c r="Y642">
        <v>0</v>
      </c>
      <c r="AC642">
        <v>0</v>
      </c>
      <c r="AE642">
        <v>0</v>
      </c>
      <c r="AF642">
        <v>2</v>
      </c>
      <c r="AG642">
        <v>0</v>
      </c>
      <c r="AH642">
        <v>0</v>
      </c>
      <c r="AI642">
        <v>0</v>
      </c>
      <c r="AM642">
        <v>0</v>
      </c>
      <c r="AR642" t="s">
        <v>2898</v>
      </c>
      <c r="AS642" t="s">
        <v>1680</v>
      </c>
      <c r="AT642">
        <v>2025</v>
      </c>
      <c r="AU642">
        <v>3</v>
      </c>
      <c r="AV642" t="s">
        <v>78</v>
      </c>
      <c r="AX642" t="s">
        <v>2913</v>
      </c>
    </row>
    <row r="643" spans="1:50">
      <c r="A643">
        <v>16</v>
      </c>
      <c r="B643">
        <v>33</v>
      </c>
      <c r="C643" t="s">
        <v>74</v>
      </c>
      <c r="D643" t="s">
        <v>1353</v>
      </c>
      <c r="E643" t="s">
        <v>1354</v>
      </c>
      <c r="F643">
        <v>3862</v>
      </c>
      <c r="G643" s="23">
        <v>45727</v>
      </c>
      <c r="H643" s="2">
        <v>45933.5155787037</v>
      </c>
      <c r="I643" s="2">
        <v>45994.509074074071</v>
      </c>
      <c r="K643" s="149">
        <v>0</v>
      </c>
      <c r="L643" s="149">
        <v>3270450</v>
      </c>
      <c r="M643" s="149">
        <v>621387</v>
      </c>
      <c r="N643" s="149">
        <v>3891837</v>
      </c>
      <c r="O643">
        <v>0</v>
      </c>
      <c r="P643">
        <v>0</v>
      </c>
      <c r="Q643">
        <v>0</v>
      </c>
      <c r="R643">
        <v>0</v>
      </c>
      <c r="S643">
        <v>0</v>
      </c>
      <c r="T643" t="s">
        <v>77</v>
      </c>
      <c r="U643">
        <v>0</v>
      </c>
      <c r="V643">
        <v>0</v>
      </c>
      <c r="W643">
        <v>0</v>
      </c>
      <c r="X643">
        <v>0</v>
      </c>
      <c r="Y643">
        <v>0</v>
      </c>
      <c r="AC643">
        <v>0</v>
      </c>
      <c r="AE643">
        <v>0</v>
      </c>
      <c r="AF643">
        <v>2</v>
      </c>
      <c r="AG643">
        <v>0</v>
      </c>
      <c r="AH643">
        <v>0</v>
      </c>
      <c r="AI643">
        <v>0</v>
      </c>
      <c r="AM643">
        <v>0</v>
      </c>
      <c r="AR643" t="s">
        <v>2898</v>
      </c>
      <c r="AS643" t="s">
        <v>1680</v>
      </c>
      <c r="AT643">
        <v>2025</v>
      </c>
      <c r="AU643">
        <v>3</v>
      </c>
      <c r="AV643" t="s">
        <v>78</v>
      </c>
      <c r="AX643" t="s">
        <v>2914</v>
      </c>
    </row>
    <row r="644" spans="1:50">
      <c r="A644">
        <v>17</v>
      </c>
      <c r="B644">
        <v>33</v>
      </c>
      <c r="C644" t="s">
        <v>74</v>
      </c>
      <c r="D644" t="s">
        <v>1222</v>
      </c>
      <c r="E644" t="s">
        <v>1223</v>
      </c>
      <c r="F644">
        <v>3863</v>
      </c>
      <c r="G644" s="23" t="s">
        <v>3808</v>
      </c>
      <c r="H644" s="2">
        <v>45933.574791666666</v>
      </c>
      <c r="I644" s="2" t="s">
        <v>2828</v>
      </c>
      <c r="K644" s="149">
        <v>0</v>
      </c>
      <c r="L644" s="149">
        <v>10890320</v>
      </c>
      <c r="M644" s="149">
        <v>2069161</v>
      </c>
      <c r="N644" s="149">
        <v>12959481</v>
      </c>
      <c r="O644">
        <v>0</v>
      </c>
      <c r="P644">
        <v>0</v>
      </c>
      <c r="Q644">
        <v>0</v>
      </c>
      <c r="R644">
        <v>0</v>
      </c>
      <c r="S644">
        <v>0</v>
      </c>
      <c r="T644" t="s">
        <v>77</v>
      </c>
      <c r="U644">
        <v>0</v>
      </c>
      <c r="V644">
        <v>0</v>
      </c>
      <c r="W644">
        <v>0</v>
      </c>
      <c r="X644">
        <v>0</v>
      </c>
      <c r="AC644">
        <v>0</v>
      </c>
      <c r="AE644">
        <v>0</v>
      </c>
      <c r="AF644">
        <v>2</v>
      </c>
      <c r="AG644">
        <v>0</v>
      </c>
      <c r="AH644">
        <v>0</v>
      </c>
      <c r="AI644">
        <v>0</v>
      </c>
      <c r="AM644">
        <v>0</v>
      </c>
      <c r="AR644" t="s">
        <v>2898</v>
      </c>
      <c r="AS644" t="s">
        <v>1680</v>
      </c>
      <c r="AT644">
        <v>2025</v>
      </c>
      <c r="AU644">
        <v>3</v>
      </c>
      <c r="AV644" t="s">
        <v>78</v>
      </c>
      <c r="AX644" t="s">
        <v>2915</v>
      </c>
    </row>
    <row r="645" spans="1:50">
      <c r="A645">
        <v>18</v>
      </c>
      <c r="B645">
        <v>33</v>
      </c>
      <c r="C645" t="s">
        <v>74</v>
      </c>
      <c r="D645" t="s">
        <v>1222</v>
      </c>
      <c r="E645" t="s">
        <v>1223</v>
      </c>
      <c r="F645">
        <v>3864</v>
      </c>
      <c r="G645" s="23" t="s">
        <v>3808</v>
      </c>
      <c r="H645" s="2">
        <v>45933.595150462963</v>
      </c>
      <c r="I645" s="2" t="s">
        <v>2829</v>
      </c>
      <c r="K645" s="149">
        <v>0</v>
      </c>
      <c r="L645" s="149">
        <v>6964400</v>
      </c>
      <c r="M645" s="149">
        <v>1323236</v>
      </c>
      <c r="N645" s="149">
        <v>8287636</v>
      </c>
      <c r="O645">
        <v>0</v>
      </c>
      <c r="P645">
        <v>0</v>
      </c>
      <c r="Q645">
        <v>0</v>
      </c>
      <c r="R645">
        <v>0</v>
      </c>
      <c r="S645">
        <v>0</v>
      </c>
      <c r="T645" t="s">
        <v>77</v>
      </c>
      <c r="U645">
        <v>0</v>
      </c>
      <c r="V645">
        <v>0</v>
      </c>
      <c r="W645">
        <v>0</v>
      </c>
      <c r="X645">
        <v>0</v>
      </c>
      <c r="AC645">
        <v>0</v>
      </c>
      <c r="AE645">
        <v>0</v>
      </c>
      <c r="AF645">
        <v>2</v>
      </c>
      <c r="AG645">
        <v>0</v>
      </c>
      <c r="AH645">
        <v>0</v>
      </c>
      <c r="AI645">
        <v>0</v>
      </c>
      <c r="AM645">
        <v>0</v>
      </c>
      <c r="AR645" t="s">
        <v>2898</v>
      </c>
      <c r="AS645" t="s">
        <v>1680</v>
      </c>
      <c r="AT645">
        <v>2025</v>
      </c>
      <c r="AU645">
        <v>3</v>
      </c>
      <c r="AV645" t="s">
        <v>78</v>
      </c>
      <c r="AX645" t="s">
        <v>2916</v>
      </c>
    </row>
    <row r="646" spans="1:50">
      <c r="A646">
        <v>19</v>
      </c>
      <c r="B646">
        <v>33</v>
      </c>
      <c r="C646" t="s">
        <v>74</v>
      </c>
      <c r="D646" t="s">
        <v>1567</v>
      </c>
      <c r="E646" t="s">
        <v>1568</v>
      </c>
      <c r="F646">
        <v>3865</v>
      </c>
      <c r="G646" s="23">
        <v>45727</v>
      </c>
      <c r="H646" s="2">
        <v>45933.601770833331</v>
      </c>
      <c r="I646" s="2">
        <v>45933.667766203704</v>
      </c>
      <c r="K646" s="149">
        <v>0</v>
      </c>
      <c r="L646" s="149">
        <v>1147075</v>
      </c>
      <c r="M646" s="149">
        <v>217944</v>
      </c>
      <c r="N646" s="149">
        <v>1365019</v>
      </c>
      <c r="O646">
        <v>0</v>
      </c>
      <c r="P646">
        <v>0</v>
      </c>
      <c r="Q646">
        <v>0</v>
      </c>
      <c r="R646">
        <v>0</v>
      </c>
      <c r="S646">
        <v>0</v>
      </c>
      <c r="T646" t="s">
        <v>77</v>
      </c>
      <c r="U646">
        <v>0</v>
      </c>
      <c r="V646">
        <v>0</v>
      </c>
      <c r="W646">
        <v>0</v>
      </c>
      <c r="X646">
        <v>0</v>
      </c>
      <c r="Y646">
        <v>0</v>
      </c>
      <c r="AC646">
        <v>0</v>
      </c>
      <c r="AE646">
        <v>0</v>
      </c>
      <c r="AF646">
        <v>2</v>
      </c>
      <c r="AG646">
        <v>0</v>
      </c>
      <c r="AH646">
        <v>0</v>
      </c>
      <c r="AI646">
        <v>0</v>
      </c>
      <c r="AM646">
        <v>0</v>
      </c>
      <c r="AR646" t="s">
        <v>2898</v>
      </c>
      <c r="AS646" t="s">
        <v>1680</v>
      </c>
      <c r="AT646">
        <v>2025</v>
      </c>
      <c r="AU646">
        <v>3</v>
      </c>
      <c r="AV646" t="s">
        <v>78</v>
      </c>
      <c r="AX646" t="s">
        <v>2917</v>
      </c>
    </row>
    <row r="647" spans="1:50">
      <c r="A647">
        <v>20</v>
      </c>
      <c r="B647">
        <v>33</v>
      </c>
      <c r="C647" t="s">
        <v>74</v>
      </c>
      <c r="D647" t="s">
        <v>1353</v>
      </c>
      <c r="E647" t="s">
        <v>1354</v>
      </c>
      <c r="F647">
        <v>3866</v>
      </c>
      <c r="G647" s="23" t="s">
        <v>3808</v>
      </c>
      <c r="H647" s="2">
        <v>45994.544618055559</v>
      </c>
      <c r="I647" t="s">
        <v>2830</v>
      </c>
      <c r="K647" s="149">
        <v>0</v>
      </c>
      <c r="L647" s="149">
        <v>1386000</v>
      </c>
      <c r="M647" s="149">
        <v>263340</v>
      </c>
      <c r="N647" s="149">
        <v>1649340</v>
      </c>
      <c r="O647">
        <v>0</v>
      </c>
      <c r="P647">
        <v>0</v>
      </c>
      <c r="Q647">
        <v>0</v>
      </c>
      <c r="R647">
        <v>0</v>
      </c>
      <c r="S647">
        <v>0</v>
      </c>
      <c r="T647" t="s">
        <v>77</v>
      </c>
      <c r="U647">
        <v>0</v>
      </c>
      <c r="V647">
        <v>0</v>
      </c>
      <c r="W647">
        <v>0</v>
      </c>
      <c r="X647">
        <v>0</v>
      </c>
      <c r="Y647">
        <v>0</v>
      </c>
      <c r="AC647">
        <v>0</v>
      </c>
      <c r="AE647">
        <v>0</v>
      </c>
      <c r="AF647">
        <v>2</v>
      </c>
      <c r="AG647">
        <v>0</v>
      </c>
      <c r="AH647">
        <v>0</v>
      </c>
      <c r="AI647">
        <v>0</v>
      </c>
      <c r="AM647">
        <v>0</v>
      </c>
      <c r="AR647" t="s">
        <v>2898</v>
      </c>
      <c r="AS647" t="s">
        <v>1680</v>
      </c>
      <c r="AT647">
        <v>2025</v>
      </c>
      <c r="AU647">
        <v>3</v>
      </c>
      <c r="AV647" t="s">
        <v>78</v>
      </c>
      <c r="AX647" t="s">
        <v>2918</v>
      </c>
    </row>
    <row r="648" spans="1:50">
      <c r="A648">
        <v>21</v>
      </c>
      <c r="B648">
        <v>33</v>
      </c>
      <c r="C648" t="s">
        <v>74</v>
      </c>
      <c r="D648" t="s">
        <v>1564</v>
      </c>
      <c r="E648" t="s">
        <v>1565</v>
      </c>
      <c r="F648">
        <v>3867</v>
      </c>
      <c r="G648" s="23" t="s">
        <v>3808</v>
      </c>
      <c r="H648" s="2">
        <v>45994.549305555556</v>
      </c>
      <c r="K648" s="149">
        <v>0</v>
      </c>
      <c r="L648" s="149">
        <v>392886</v>
      </c>
      <c r="M648" s="149">
        <v>74650</v>
      </c>
      <c r="N648" s="149">
        <v>467536</v>
      </c>
      <c r="O648">
        <v>0</v>
      </c>
      <c r="P648">
        <v>0</v>
      </c>
      <c r="Q648">
        <v>0</v>
      </c>
      <c r="R648">
        <v>0</v>
      </c>
      <c r="S648">
        <v>0</v>
      </c>
      <c r="T648" t="s">
        <v>77</v>
      </c>
      <c r="U648">
        <v>0</v>
      </c>
      <c r="V648">
        <v>0</v>
      </c>
      <c r="W648">
        <v>0</v>
      </c>
      <c r="X648">
        <v>0</v>
      </c>
      <c r="Y648">
        <v>0</v>
      </c>
      <c r="AC648">
        <v>0</v>
      </c>
      <c r="AE648">
        <v>0</v>
      </c>
      <c r="AF648">
        <v>2</v>
      </c>
      <c r="AG648">
        <v>0</v>
      </c>
      <c r="AH648">
        <v>0</v>
      </c>
      <c r="AI648">
        <v>0</v>
      </c>
      <c r="AM648">
        <v>0</v>
      </c>
      <c r="AR648" t="s">
        <v>2898</v>
      </c>
      <c r="AS648" t="s">
        <v>1680</v>
      </c>
      <c r="AT648">
        <v>2025</v>
      </c>
      <c r="AU648">
        <v>3</v>
      </c>
      <c r="AV648" t="s">
        <v>78</v>
      </c>
      <c r="AX648" t="s">
        <v>2919</v>
      </c>
    </row>
    <row r="649" spans="1:50">
      <c r="A649">
        <v>22</v>
      </c>
      <c r="B649">
        <v>33</v>
      </c>
      <c r="C649" t="s">
        <v>74</v>
      </c>
      <c r="D649" t="s">
        <v>1581</v>
      </c>
      <c r="E649" t="s">
        <v>1582</v>
      </c>
      <c r="F649">
        <v>3868</v>
      </c>
      <c r="G649" s="23" t="s">
        <v>1455</v>
      </c>
      <c r="H649" s="2" t="s">
        <v>2831</v>
      </c>
      <c r="I649" t="s">
        <v>2832</v>
      </c>
      <c r="K649" s="149">
        <v>0</v>
      </c>
      <c r="L649" s="149">
        <v>1101384</v>
      </c>
      <c r="M649" s="149">
        <v>209263</v>
      </c>
      <c r="N649" s="149">
        <v>1310647</v>
      </c>
      <c r="O649">
        <v>0</v>
      </c>
      <c r="P649">
        <v>0</v>
      </c>
      <c r="Q649">
        <v>0</v>
      </c>
      <c r="R649">
        <v>0</v>
      </c>
      <c r="S649">
        <v>0</v>
      </c>
      <c r="T649" t="s">
        <v>77</v>
      </c>
      <c r="U649">
        <v>0</v>
      </c>
      <c r="V649">
        <v>0</v>
      </c>
      <c r="W649">
        <v>0</v>
      </c>
      <c r="X649">
        <v>0</v>
      </c>
      <c r="Y649">
        <v>0</v>
      </c>
      <c r="AC649">
        <v>0</v>
      </c>
      <c r="AE649">
        <v>0</v>
      </c>
      <c r="AF649">
        <v>2</v>
      </c>
      <c r="AG649">
        <v>0</v>
      </c>
      <c r="AH649">
        <v>0</v>
      </c>
      <c r="AI649">
        <v>0</v>
      </c>
      <c r="AM649">
        <v>0</v>
      </c>
      <c r="AR649" t="s">
        <v>2898</v>
      </c>
      <c r="AS649" t="s">
        <v>1680</v>
      </c>
      <c r="AT649">
        <v>2025</v>
      </c>
      <c r="AU649">
        <v>3</v>
      </c>
      <c r="AV649" t="s">
        <v>78</v>
      </c>
      <c r="AX649" t="s">
        <v>2920</v>
      </c>
    </row>
    <row r="650" spans="1:50">
      <c r="A650">
        <v>23</v>
      </c>
      <c r="B650">
        <v>33</v>
      </c>
      <c r="C650" t="s">
        <v>74</v>
      </c>
      <c r="D650" t="s">
        <v>1222</v>
      </c>
      <c r="E650" t="s">
        <v>1223</v>
      </c>
      <c r="F650">
        <v>3869</v>
      </c>
      <c r="G650" s="23" t="s">
        <v>1455</v>
      </c>
      <c r="H650" s="2" t="s">
        <v>2833</v>
      </c>
      <c r="I650" t="s">
        <v>2834</v>
      </c>
      <c r="K650" s="149">
        <v>0</v>
      </c>
      <c r="L650" s="149">
        <v>7438920</v>
      </c>
      <c r="M650" s="149">
        <v>1413395</v>
      </c>
      <c r="N650" s="149">
        <v>8852315</v>
      </c>
      <c r="O650">
        <v>0</v>
      </c>
      <c r="P650">
        <v>0</v>
      </c>
      <c r="Q650">
        <v>0</v>
      </c>
      <c r="R650">
        <v>0</v>
      </c>
      <c r="S650">
        <v>0</v>
      </c>
      <c r="T650" t="s">
        <v>77</v>
      </c>
      <c r="U650">
        <v>0</v>
      </c>
      <c r="V650">
        <v>0</v>
      </c>
      <c r="W650">
        <v>0</v>
      </c>
      <c r="X650">
        <v>0</v>
      </c>
      <c r="AC650">
        <v>0</v>
      </c>
      <c r="AE650">
        <v>0</v>
      </c>
      <c r="AF650">
        <v>2</v>
      </c>
      <c r="AG650">
        <v>0</v>
      </c>
      <c r="AH650">
        <v>0</v>
      </c>
      <c r="AI650">
        <v>0</v>
      </c>
      <c r="AM650">
        <v>0</v>
      </c>
      <c r="AR650" t="s">
        <v>2898</v>
      </c>
      <c r="AS650" t="s">
        <v>1680</v>
      </c>
      <c r="AT650">
        <v>2025</v>
      </c>
      <c r="AU650">
        <v>3</v>
      </c>
      <c r="AV650" t="s">
        <v>78</v>
      </c>
      <c r="AX650" t="s">
        <v>2921</v>
      </c>
    </row>
    <row r="651" spans="1:50">
      <c r="A651">
        <v>24</v>
      </c>
      <c r="B651">
        <v>33</v>
      </c>
      <c r="C651" t="s">
        <v>74</v>
      </c>
      <c r="D651" t="s">
        <v>1222</v>
      </c>
      <c r="E651" t="s">
        <v>1223</v>
      </c>
      <c r="F651">
        <v>3870</v>
      </c>
      <c r="G651" s="23" t="s">
        <v>1455</v>
      </c>
      <c r="H651" s="2" t="s">
        <v>2835</v>
      </c>
      <c r="I651" s="2" t="s">
        <v>2834</v>
      </c>
      <c r="K651" s="149">
        <v>0</v>
      </c>
      <c r="L651" s="149">
        <v>3240520</v>
      </c>
      <c r="M651" s="149">
        <v>615699</v>
      </c>
      <c r="N651" s="149">
        <v>3856219</v>
      </c>
      <c r="O651">
        <v>0</v>
      </c>
      <c r="P651">
        <v>0</v>
      </c>
      <c r="Q651">
        <v>0</v>
      </c>
      <c r="R651">
        <v>0</v>
      </c>
      <c r="S651">
        <v>0</v>
      </c>
      <c r="T651" t="s">
        <v>77</v>
      </c>
      <c r="U651">
        <v>0</v>
      </c>
      <c r="V651">
        <v>0</v>
      </c>
      <c r="W651">
        <v>0</v>
      </c>
      <c r="X651">
        <v>0</v>
      </c>
      <c r="AC651">
        <v>0</v>
      </c>
      <c r="AE651">
        <v>0</v>
      </c>
      <c r="AF651">
        <v>2</v>
      </c>
      <c r="AG651">
        <v>0</v>
      </c>
      <c r="AH651">
        <v>0</v>
      </c>
      <c r="AI651">
        <v>0</v>
      </c>
      <c r="AM651">
        <v>0</v>
      </c>
      <c r="AR651" t="s">
        <v>2898</v>
      </c>
      <c r="AS651" t="s">
        <v>1680</v>
      </c>
      <c r="AT651">
        <v>2025</v>
      </c>
      <c r="AU651">
        <v>3</v>
      </c>
      <c r="AV651" t="s">
        <v>78</v>
      </c>
      <c r="AX651" t="s">
        <v>2922</v>
      </c>
    </row>
    <row r="652" spans="1:50">
      <c r="A652">
        <v>25</v>
      </c>
      <c r="B652">
        <v>33</v>
      </c>
      <c r="C652" t="s">
        <v>74</v>
      </c>
      <c r="D652" t="s">
        <v>1561</v>
      </c>
      <c r="E652" t="s">
        <v>1562</v>
      </c>
      <c r="F652">
        <v>3871</v>
      </c>
      <c r="G652" s="23" t="s">
        <v>3809</v>
      </c>
      <c r="H652" s="2" t="s">
        <v>2836</v>
      </c>
      <c r="I652" s="2"/>
      <c r="K652" s="149">
        <v>0</v>
      </c>
      <c r="L652" s="149">
        <v>37483500</v>
      </c>
      <c r="M652" s="149">
        <v>7121865</v>
      </c>
      <c r="N652" s="149">
        <v>44605365</v>
      </c>
      <c r="O652">
        <v>0</v>
      </c>
      <c r="P652">
        <v>0</v>
      </c>
      <c r="Q652">
        <v>0</v>
      </c>
      <c r="R652">
        <v>0</v>
      </c>
      <c r="S652">
        <v>0</v>
      </c>
      <c r="T652" t="s">
        <v>77</v>
      </c>
      <c r="U652">
        <v>0</v>
      </c>
      <c r="V652">
        <v>0</v>
      </c>
      <c r="W652">
        <v>0</v>
      </c>
      <c r="X652">
        <v>0</v>
      </c>
      <c r="AC652">
        <v>0</v>
      </c>
      <c r="AE652">
        <v>0</v>
      </c>
      <c r="AF652">
        <v>2</v>
      </c>
      <c r="AG652">
        <v>0</v>
      </c>
      <c r="AH652">
        <v>0</v>
      </c>
      <c r="AI652">
        <v>0</v>
      </c>
      <c r="AM652">
        <v>0</v>
      </c>
      <c r="AR652" t="s">
        <v>2898</v>
      </c>
      <c r="AS652" t="s">
        <v>1680</v>
      </c>
      <c r="AT652">
        <v>2025</v>
      </c>
      <c r="AU652">
        <v>3</v>
      </c>
      <c r="AV652" t="s">
        <v>78</v>
      </c>
      <c r="AX652" t="s">
        <v>2923</v>
      </c>
    </row>
    <row r="653" spans="1:50">
      <c r="A653">
        <v>26</v>
      </c>
      <c r="B653">
        <v>33</v>
      </c>
      <c r="C653" t="s">
        <v>74</v>
      </c>
      <c r="D653" t="s">
        <v>1573</v>
      </c>
      <c r="E653" t="s">
        <v>1574</v>
      </c>
      <c r="F653">
        <v>3873</v>
      </c>
      <c r="G653" s="23" t="s">
        <v>1456</v>
      </c>
      <c r="H653" s="2" t="s">
        <v>2837</v>
      </c>
      <c r="I653" s="2"/>
      <c r="K653" s="149">
        <v>0</v>
      </c>
      <c r="L653" s="149">
        <v>294323</v>
      </c>
      <c r="M653" s="149">
        <v>55922</v>
      </c>
      <c r="N653" s="149">
        <v>350245</v>
      </c>
      <c r="O653">
        <v>0</v>
      </c>
      <c r="P653">
        <v>0</v>
      </c>
      <c r="Q653">
        <v>0</v>
      </c>
      <c r="R653">
        <v>0</v>
      </c>
      <c r="S653">
        <v>0</v>
      </c>
      <c r="T653" t="s">
        <v>77</v>
      </c>
      <c r="U653">
        <v>0</v>
      </c>
      <c r="V653">
        <v>0</v>
      </c>
      <c r="W653">
        <v>0</v>
      </c>
      <c r="X653">
        <v>0</v>
      </c>
      <c r="Y653">
        <v>0</v>
      </c>
      <c r="AC653">
        <v>0</v>
      </c>
      <c r="AE653">
        <v>0</v>
      </c>
      <c r="AF653">
        <v>2</v>
      </c>
      <c r="AG653">
        <v>0</v>
      </c>
      <c r="AH653">
        <v>0</v>
      </c>
      <c r="AI653">
        <v>0</v>
      </c>
      <c r="AM653">
        <v>0</v>
      </c>
      <c r="AR653" t="s">
        <v>2898</v>
      </c>
      <c r="AS653" t="s">
        <v>1680</v>
      </c>
      <c r="AT653">
        <v>2025</v>
      </c>
      <c r="AU653">
        <v>3</v>
      </c>
      <c r="AV653" t="s">
        <v>78</v>
      </c>
      <c r="AX653" t="s">
        <v>2924</v>
      </c>
    </row>
    <row r="654" spans="1:50">
      <c r="A654">
        <v>27</v>
      </c>
      <c r="B654">
        <v>33</v>
      </c>
      <c r="C654" t="s">
        <v>74</v>
      </c>
      <c r="D654" t="s">
        <v>1592</v>
      </c>
      <c r="E654" t="s">
        <v>1593</v>
      </c>
      <c r="F654">
        <v>3874</v>
      </c>
      <c r="G654" s="23" t="s">
        <v>1456</v>
      </c>
      <c r="H654" s="2" t="s">
        <v>2838</v>
      </c>
      <c r="I654" s="2"/>
      <c r="K654" s="149">
        <v>0</v>
      </c>
      <c r="L654" s="149">
        <v>234894</v>
      </c>
      <c r="M654" s="149">
        <v>44630</v>
      </c>
      <c r="N654" s="149">
        <v>279524</v>
      </c>
      <c r="O654">
        <v>0</v>
      </c>
      <c r="P654">
        <v>0</v>
      </c>
      <c r="Q654">
        <v>0</v>
      </c>
      <c r="R654">
        <v>0</v>
      </c>
      <c r="S654">
        <v>0</v>
      </c>
      <c r="T654" t="s">
        <v>77</v>
      </c>
      <c r="U654">
        <v>0</v>
      </c>
      <c r="V654">
        <v>0</v>
      </c>
      <c r="W654">
        <v>0</v>
      </c>
      <c r="X654">
        <v>0</v>
      </c>
      <c r="Y654">
        <v>0</v>
      </c>
      <c r="AC654">
        <v>0</v>
      </c>
      <c r="AE654">
        <v>0</v>
      </c>
      <c r="AF654">
        <v>2</v>
      </c>
      <c r="AG654">
        <v>0</v>
      </c>
      <c r="AH654">
        <v>0</v>
      </c>
      <c r="AI654">
        <v>0</v>
      </c>
      <c r="AM654">
        <v>0</v>
      </c>
      <c r="AR654" t="s">
        <v>2898</v>
      </c>
      <c r="AS654" t="s">
        <v>1680</v>
      </c>
      <c r="AT654">
        <v>2025</v>
      </c>
      <c r="AU654">
        <v>3</v>
      </c>
      <c r="AV654" t="s">
        <v>78</v>
      </c>
      <c r="AX654" t="s">
        <v>2925</v>
      </c>
    </row>
    <row r="655" spans="1:50">
      <c r="A655">
        <v>28</v>
      </c>
      <c r="B655">
        <v>33</v>
      </c>
      <c r="C655" t="s">
        <v>74</v>
      </c>
      <c r="D655" t="s">
        <v>1353</v>
      </c>
      <c r="E655" t="s">
        <v>1354</v>
      </c>
      <c r="F655">
        <v>3875</v>
      </c>
      <c r="G655" s="23" t="s">
        <v>1456</v>
      </c>
      <c r="H655" s="2" t="s">
        <v>2839</v>
      </c>
      <c r="I655" s="2" t="s">
        <v>2840</v>
      </c>
      <c r="K655" s="149">
        <v>0</v>
      </c>
      <c r="L655" s="149">
        <v>2723782</v>
      </c>
      <c r="M655" s="149">
        <v>517519</v>
      </c>
      <c r="N655" s="149">
        <v>3241301</v>
      </c>
      <c r="O655">
        <v>0</v>
      </c>
      <c r="P655">
        <v>0</v>
      </c>
      <c r="Q655">
        <v>0</v>
      </c>
      <c r="R655">
        <v>0</v>
      </c>
      <c r="S655">
        <v>0</v>
      </c>
      <c r="T655" t="s">
        <v>77</v>
      </c>
      <c r="U655">
        <v>0</v>
      </c>
      <c r="V655">
        <v>0</v>
      </c>
      <c r="W655">
        <v>0</v>
      </c>
      <c r="X655">
        <v>0</v>
      </c>
      <c r="Y655">
        <v>0</v>
      </c>
      <c r="AC655">
        <v>0</v>
      </c>
      <c r="AE655">
        <v>0</v>
      </c>
      <c r="AF655">
        <v>2</v>
      </c>
      <c r="AG655">
        <v>0</v>
      </c>
      <c r="AH655">
        <v>0</v>
      </c>
      <c r="AI655">
        <v>0</v>
      </c>
      <c r="AM655">
        <v>0</v>
      </c>
      <c r="AR655" t="s">
        <v>2898</v>
      </c>
      <c r="AS655" t="s">
        <v>1680</v>
      </c>
      <c r="AT655">
        <v>2025</v>
      </c>
      <c r="AU655">
        <v>3</v>
      </c>
      <c r="AV655" t="s">
        <v>78</v>
      </c>
      <c r="AX655" t="s">
        <v>2926</v>
      </c>
    </row>
    <row r="656" spans="1:50">
      <c r="A656">
        <v>29</v>
      </c>
      <c r="B656">
        <v>33</v>
      </c>
      <c r="C656" t="s">
        <v>74</v>
      </c>
      <c r="D656" t="s">
        <v>1558</v>
      </c>
      <c r="E656" t="s">
        <v>1559</v>
      </c>
      <c r="F656">
        <v>3876</v>
      </c>
      <c r="G656" s="23" t="s">
        <v>1456</v>
      </c>
      <c r="H656" s="2" t="s">
        <v>2841</v>
      </c>
      <c r="I656" t="s">
        <v>2842</v>
      </c>
      <c r="K656" s="149">
        <v>0</v>
      </c>
      <c r="L656" s="149">
        <v>170400</v>
      </c>
      <c r="M656" s="149">
        <v>32376</v>
      </c>
      <c r="N656" s="149">
        <v>202776</v>
      </c>
      <c r="O656">
        <v>0</v>
      </c>
      <c r="P656">
        <v>0</v>
      </c>
      <c r="Q656">
        <v>0</v>
      </c>
      <c r="R656">
        <v>0</v>
      </c>
      <c r="S656">
        <v>0</v>
      </c>
      <c r="T656" t="s">
        <v>77</v>
      </c>
      <c r="U656">
        <v>0</v>
      </c>
      <c r="V656">
        <v>0</v>
      </c>
      <c r="W656">
        <v>0</v>
      </c>
      <c r="X656">
        <v>0</v>
      </c>
      <c r="Y656">
        <v>0</v>
      </c>
      <c r="AC656">
        <v>0</v>
      </c>
      <c r="AE656">
        <v>0</v>
      </c>
      <c r="AF656">
        <v>2</v>
      </c>
      <c r="AG656">
        <v>0</v>
      </c>
      <c r="AH656">
        <v>0</v>
      </c>
      <c r="AI656">
        <v>0</v>
      </c>
      <c r="AM656">
        <v>0</v>
      </c>
      <c r="AR656" t="s">
        <v>2898</v>
      </c>
      <c r="AS656" t="s">
        <v>1680</v>
      </c>
      <c r="AT656">
        <v>2025</v>
      </c>
      <c r="AU656">
        <v>3</v>
      </c>
      <c r="AV656" t="s">
        <v>78</v>
      </c>
      <c r="AX656" t="s">
        <v>2927</v>
      </c>
    </row>
    <row r="657" spans="1:50">
      <c r="A657">
        <v>30</v>
      </c>
      <c r="B657">
        <v>33</v>
      </c>
      <c r="C657" t="s">
        <v>74</v>
      </c>
      <c r="D657" t="s">
        <v>1579</v>
      </c>
      <c r="E657" t="s">
        <v>1580</v>
      </c>
      <c r="F657">
        <v>3877</v>
      </c>
      <c r="G657" s="23" t="s">
        <v>3809</v>
      </c>
      <c r="H657" s="2" t="s">
        <v>2843</v>
      </c>
      <c r="K657" s="149">
        <v>0</v>
      </c>
      <c r="L657" s="149">
        <v>8219480</v>
      </c>
      <c r="M657" s="149">
        <v>1561701</v>
      </c>
      <c r="N657" s="149">
        <v>9781181</v>
      </c>
      <c r="O657">
        <v>0</v>
      </c>
      <c r="P657">
        <v>0</v>
      </c>
      <c r="Q657">
        <v>0</v>
      </c>
      <c r="R657">
        <v>0</v>
      </c>
      <c r="S657">
        <v>0</v>
      </c>
      <c r="T657" t="s">
        <v>77</v>
      </c>
      <c r="U657">
        <v>0</v>
      </c>
      <c r="V657">
        <v>0</v>
      </c>
      <c r="W657">
        <v>0</v>
      </c>
      <c r="X657">
        <v>0</v>
      </c>
      <c r="AC657">
        <v>0</v>
      </c>
      <c r="AE657">
        <v>0</v>
      </c>
      <c r="AF657">
        <v>2</v>
      </c>
      <c r="AG657">
        <v>0</v>
      </c>
      <c r="AH657">
        <v>0</v>
      </c>
      <c r="AI657">
        <v>0</v>
      </c>
      <c r="AM657">
        <v>0</v>
      </c>
      <c r="AR657" t="s">
        <v>2898</v>
      </c>
      <c r="AS657" t="s">
        <v>1680</v>
      </c>
      <c r="AT657">
        <v>2025</v>
      </c>
      <c r="AU657">
        <v>3</v>
      </c>
      <c r="AV657" t="s">
        <v>78</v>
      </c>
      <c r="AX657" t="s">
        <v>2928</v>
      </c>
    </row>
    <row r="658" spans="1:50">
      <c r="A658">
        <v>31</v>
      </c>
      <c r="B658">
        <v>33</v>
      </c>
      <c r="C658" t="s">
        <v>74</v>
      </c>
      <c r="D658" t="s">
        <v>1222</v>
      </c>
      <c r="E658" t="s">
        <v>1223</v>
      </c>
      <c r="F658">
        <v>3878</v>
      </c>
      <c r="G658" s="23" t="s">
        <v>3810</v>
      </c>
      <c r="H658" s="2" t="s">
        <v>2844</v>
      </c>
      <c r="J658" t="s">
        <v>2845</v>
      </c>
      <c r="K658" s="149">
        <v>0</v>
      </c>
      <c r="L658" s="149">
        <v>7277960</v>
      </c>
      <c r="M658" s="149">
        <v>1382812</v>
      </c>
      <c r="N658" s="149">
        <v>8660772</v>
      </c>
      <c r="O658">
        <v>0</v>
      </c>
      <c r="P658">
        <v>0</v>
      </c>
      <c r="Q658">
        <v>0</v>
      </c>
      <c r="R658">
        <v>0</v>
      </c>
      <c r="S658">
        <v>0</v>
      </c>
      <c r="T658" t="s">
        <v>77</v>
      </c>
      <c r="U658">
        <v>0</v>
      </c>
      <c r="V658">
        <v>0</v>
      </c>
      <c r="W658">
        <v>0</v>
      </c>
      <c r="X658">
        <v>0</v>
      </c>
      <c r="AC658">
        <v>0</v>
      </c>
      <c r="AE658">
        <v>0</v>
      </c>
      <c r="AF658">
        <v>2</v>
      </c>
      <c r="AG658">
        <v>0</v>
      </c>
      <c r="AH658">
        <v>0</v>
      </c>
      <c r="AI658">
        <v>0</v>
      </c>
      <c r="AM658">
        <v>0</v>
      </c>
      <c r="AR658" t="s">
        <v>2898</v>
      </c>
      <c r="AS658" t="s">
        <v>1680</v>
      </c>
      <c r="AT658">
        <v>2025</v>
      </c>
      <c r="AU658">
        <v>3</v>
      </c>
      <c r="AV658" t="s">
        <v>78</v>
      </c>
      <c r="AX658" t="s">
        <v>2929</v>
      </c>
    </row>
    <row r="659" spans="1:50">
      <c r="A659">
        <v>32</v>
      </c>
      <c r="B659">
        <v>33</v>
      </c>
      <c r="C659" t="s">
        <v>74</v>
      </c>
      <c r="D659" t="s">
        <v>1222</v>
      </c>
      <c r="E659" t="s">
        <v>1223</v>
      </c>
      <c r="F659">
        <v>3879</v>
      </c>
      <c r="G659" s="23" t="s">
        <v>3810</v>
      </c>
      <c r="H659" s="2" t="s">
        <v>2846</v>
      </c>
      <c r="J659" t="s">
        <v>2847</v>
      </c>
      <c r="K659" s="149">
        <v>0</v>
      </c>
      <c r="L659" s="149">
        <v>3358100</v>
      </c>
      <c r="M659" s="149">
        <v>638039</v>
      </c>
      <c r="N659" s="149">
        <v>3996139</v>
      </c>
      <c r="O659">
        <v>0</v>
      </c>
      <c r="P659">
        <v>0</v>
      </c>
      <c r="Q659">
        <v>0</v>
      </c>
      <c r="R659">
        <v>0</v>
      </c>
      <c r="S659">
        <v>0</v>
      </c>
      <c r="T659" t="s">
        <v>77</v>
      </c>
      <c r="U659">
        <v>0</v>
      </c>
      <c r="V659">
        <v>0</v>
      </c>
      <c r="W659">
        <v>0</v>
      </c>
      <c r="X659">
        <v>0</v>
      </c>
      <c r="AC659">
        <v>0</v>
      </c>
      <c r="AE659">
        <v>0</v>
      </c>
      <c r="AF659">
        <v>2</v>
      </c>
      <c r="AG659">
        <v>0</v>
      </c>
      <c r="AH659">
        <v>0</v>
      </c>
      <c r="AI659">
        <v>0</v>
      </c>
      <c r="AM659">
        <v>0</v>
      </c>
      <c r="AR659" t="s">
        <v>2898</v>
      </c>
      <c r="AS659" t="s">
        <v>1680</v>
      </c>
      <c r="AT659">
        <v>2025</v>
      </c>
      <c r="AU659">
        <v>3</v>
      </c>
      <c r="AV659" t="s">
        <v>78</v>
      </c>
      <c r="AX659" t="s">
        <v>2930</v>
      </c>
    </row>
    <row r="660" spans="1:50">
      <c r="A660">
        <v>33</v>
      </c>
      <c r="B660">
        <v>33</v>
      </c>
      <c r="C660" t="s">
        <v>74</v>
      </c>
      <c r="D660" t="s">
        <v>1571</v>
      </c>
      <c r="E660" t="s">
        <v>1572</v>
      </c>
      <c r="F660">
        <v>3880</v>
      </c>
      <c r="G660" s="23" t="s">
        <v>3810</v>
      </c>
      <c r="H660" s="2" t="s">
        <v>2848</v>
      </c>
      <c r="J660" t="s">
        <v>2849</v>
      </c>
      <c r="K660" s="149">
        <v>0</v>
      </c>
      <c r="L660" s="149">
        <v>6561210</v>
      </c>
      <c r="M660" s="149">
        <v>1246631</v>
      </c>
      <c r="N660" s="149">
        <v>7807841</v>
      </c>
      <c r="O660">
        <v>0</v>
      </c>
      <c r="P660">
        <v>0</v>
      </c>
      <c r="Q660">
        <v>0</v>
      </c>
      <c r="R660">
        <v>0</v>
      </c>
      <c r="S660">
        <v>0</v>
      </c>
      <c r="T660" t="s">
        <v>77</v>
      </c>
      <c r="U660">
        <v>0</v>
      </c>
      <c r="V660">
        <v>0</v>
      </c>
      <c r="W660">
        <v>0</v>
      </c>
      <c r="X660">
        <v>0</v>
      </c>
      <c r="AC660">
        <v>0</v>
      </c>
      <c r="AE660">
        <v>0</v>
      </c>
      <c r="AF660">
        <v>2</v>
      </c>
      <c r="AG660">
        <v>0</v>
      </c>
      <c r="AH660">
        <v>0</v>
      </c>
      <c r="AI660">
        <v>0</v>
      </c>
      <c r="AM660">
        <v>0</v>
      </c>
      <c r="AR660" t="s">
        <v>2898</v>
      </c>
      <c r="AS660" t="s">
        <v>1680</v>
      </c>
      <c r="AT660">
        <v>2025</v>
      </c>
      <c r="AU660">
        <v>3</v>
      </c>
      <c r="AV660" t="s">
        <v>78</v>
      </c>
      <c r="AX660" t="s">
        <v>2931</v>
      </c>
    </row>
    <row r="661" spans="1:50">
      <c r="A661">
        <v>34</v>
      </c>
      <c r="B661">
        <v>33</v>
      </c>
      <c r="C661" t="s">
        <v>74</v>
      </c>
      <c r="D661" t="s">
        <v>1564</v>
      </c>
      <c r="E661" t="s">
        <v>1565</v>
      </c>
      <c r="F661">
        <v>3881</v>
      </c>
      <c r="G661" s="23" t="s">
        <v>3810</v>
      </c>
      <c r="H661" s="2" t="s">
        <v>2850</v>
      </c>
      <c r="K661" s="149">
        <v>0</v>
      </c>
      <c r="L661" s="149">
        <v>610561</v>
      </c>
      <c r="M661" s="149">
        <v>116006</v>
      </c>
      <c r="N661" s="149">
        <v>726567</v>
      </c>
      <c r="O661">
        <v>0</v>
      </c>
      <c r="P661">
        <v>0</v>
      </c>
      <c r="Q661">
        <v>0</v>
      </c>
      <c r="R661">
        <v>0</v>
      </c>
      <c r="S661">
        <v>0</v>
      </c>
      <c r="T661" t="s">
        <v>77</v>
      </c>
      <c r="U661">
        <v>0</v>
      </c>
      <c r="V661">
        <v>0</v>
      </c>
      <c r="W661">
        <v>0</v>
      </c>
      <c r="X661">
        <v>0</v>
      </c>
      <c r="Y661">
        <v>0</v>
      </c>
      <c r="AC661">
        <v>0</v>
      </c>
      <c r="AE661">
        <v>0</v>
      </c>
      <c r="AF661">
        <v>2</v>
      </c>
      <c r="AG661">
        <v>0</v>
      </c>
      <c r="AH661">
        <v>0</v>
      </c>
      <c r="AI661">
        <v>0</v>
      </c>
      <c r="AM661">
        <v>0</v>
      </c>
      <c r="AR661" t="s">
        <v>2898</v>
      </c>
      <c r="AS661" t="s">
        <v>1680</v>
      </c>
      <c r="AT661">
        <v>2025</v>
      </c>
      <c r="AU661">
        <v>3</v>
      </c>
      <c r="AV661" t="s">
        <v>78</v>
      </c>
      <c r="AX661" t="s">
        <v>2932</v>
      </c>
    </row>
    <row r="662" spans="1:50">
      <c r="A662">
        <v>35</v>
      </c>
      <c r="B662">
        <v>33</v>
      </c>
      <c r="C662" t="s">
        <v>74</v>
      </c>
      <c r="D662" t="s">
        <v>2509</v>
      </c>
      <c r="E662" t="s">
        <v>2510</v>
      </c>
      <c r="F662">
        <v>3882</v>
      </c>
      <c r="G662" s="23" t="s">
        <v>3810</v>
      </c>
      <c r="H662" s="2" t="s">
        <v>2851</v>
      </c>
      <c r="I662" t="s">
        <v>2852</v>
      </c>
      <c r="K662" s="149">
        <v>0</v>
      </c>
      <c r="L662" s="149">
        <v>313155</v>
      </c>
      <c r="M662" s="149">
        <v>59499</v>
      </c>
      <c r="N662" s="149">
        <v>372654</v>
      </c>
      <c r="O662">
        <v>0</v>
      </c>
      <c r="P662">
        <v>0</v>
      </c>
      <c r="Q662">
        <v>0</v>
      </c>
      <c r="R662">
        <v>0</v>
      </c>
      <c r="S662">
        <v>0</v>
      </c>
      <c r="T662" t="s">
        <v>77</v>
      </c>
      <c r="U662">
        <v>0</v>
      </c>
      <c r="V662">
        <v>0</v>
      </c>
      <c r="W662">
        <v>0</v>
      </c>
      <c r="X662">
        <v>0</v>
      </c>
      <c r="Y662">
        <v>0</v>
      </c>
      <c r="AC662">
        <v>0</v>
      </c>
      <c r="AE662">
        <v>0</v>
      </c>
      <c r="AF662">
        <v>2</v>
      </c>
      <c r="AG662">
        <v>0</v>
      </c>
      <c r="AH662">
        <v>0</v>
      </c>
      <c r="AI662">
        <v>0</v>
      </c>
      <c r="AM662">
        <v>0</v>
      </c>
      <c r="AR662" t="s">
        <v>2898</v>
      </c>
      <c r="AS662" t="s">
        <v>1680</v>
      </c>
      <c r="AT662">
        <v>2025</v>
      </c>
      <c r="AU662">
        <v>3</v>
      </c>
      <c r="AV662" t="s">
        <v>78</v>
      </c>
      <c r="AX662" t="s">
        <v>2933</v>
      </c>
    </row>
    <row r="663" spans="1:50">
      <c r="A663">
        <v>36</v>
      </c>
      <c r="B663">
        <v>33</v>
      </c>
      <c r="C663" t="s">
        <v>74</v>
      </c>
      <c r="D663" t="s">
        <v>1353</v>
      </c>
      <c r="E663" t="s">
        <v>1354</v>
      </c>
      <c r="F663">
        <v>3883</v>
      </c>
      <c r="G663" s="23" t="s">
        <v>3810</v>
      </c>
      <c r="H663" s="2" t="s">
        <v>2853</v>
      </c>
      <c r="I663" t="s">
        <v>2854</v>
      </c>
      <c r="K663" s="149">
        <v>0</v>
      </c>
      <c r="L663" s="149">
        <v>1041810</v>
      </c>
      <c r="M663" s="149">
        <v>197943</v>
      </c>
      <c r="N663" s="149">
        <v>1239753</v>
      </c>
      <c r="O663">
        <v>0</v>
      </c>
      <c r="P663">
        <v>0</v>
      </c>
      <c r="Q663">
        <v>0</v>
      </c>
      <c r="R663">
        <v>0</v>
      </c>
      <c r="S663">
        <v>0</v>
      </c>
      <c r="T663" t="s">
        <v>77</v>
      </c>
      <c r="U663">
        <v>0</v>
      </c>
      <c r="V663">
        <v>0</v>
      </c>
      <c r="W663">
        <v>0</v>
      </c>
      <c r="X663">
        <v>0</v>
      </c>
      <c r="Y663">
        <v>0</v>
      </c>
      <c r="AC663">
        <v>0</v>
      </c>
      <c r="AE663">
        <v>0</v>
      </c>
      <c r="AF663">
        <v>2</v>
      </c>
      <c r="AG663">
        <v>0</v>
      </c>
      <c r="AH663">
        <v>0</v>
      </c>
      <c r="AI663">
        <v>0</v>
      </c>
      <c r="AM663">
        <v>0</v>
      </c>
      <c r="AR663" t="s">
        <v>2898</v>
      </c>
      <c r="AS663" t="s">
        <v>1680</v>
      </c>
      <c r="AT663">
        <v>2025</v>
      </c>
      <c r="AU663">
        <v>3</v>
      </c>
      <c r="AV663" t="s">
        <v>78</v>
      </c>
      <c r="AX663" t="s">
        <v>2934</v>
      </c>
    </row>
    <row r="664" spans="1:50">
      <c r="A664">
        <v>37</v>
      </c>
      <c r="B664">
        <v>33</v>
      </c>
      <c r="C664" t="s">
        <v>74</v>
      </c>
      <c r="D664" t="s">
        <v>2855</v>
      </c>
      <c r="E664" t="s">
        <v>2856</v>
      </c>
      <c r="F664">
        <v>3884</v>
      </c>
      <c r="G664" s="23" t="s">
        <v>1462</v>
      </c>
      <c r="H664" s="2" t="s">
        <v>2857</v>
      </c>
      <c r="K664" s="149">
        <v>1</v>
      </c>
      <c r="L664" s="149">
        <v>4566060</v>
      </c>
      <c r="M664" s="149">
        <v>867551</v>
      </c>
      <c r="N664" s="149">
        <v>5433612</v>
      </c>
      <c r="O664">
        <v>0</v>
      </c>
      <c r="P664">
        <v>0</v>
      </c>
      <c r="Q664">
        <v>0</v>
      </c>
      <c r="R664">
        <v>0</v>
      </c>
      <c r="S664">
        <v>0</v>
      </c>
      <c r="T664" t="s">
        <v>77</v>
      </c>
      <c r="U664">
        <v>0</v>
      </c>
      <c r="V664">
        <v>0</v>
      </c>
      <c r="W664">
        <v>0</v>
      </c>
      <c r="X664">
        <v>0</v>
      </c>
      <c r="Y664">
        <v>0</v>
      </c>
      <c r="AC664">
        <v>0</v>
      </c>
      <c r="AE664">
        <v>0</v>
      </c>
      <c r="AF664">
        <v>2</v>
      </c>
      <c r="AG664">
        <v>0</v>
      </c>
      <c r="AH664">
        <v>0</v>
      </c>
      <c r="AI664">
        <v>0</v>
      </c>
      <c r="AM664">
        <v>0</v>
      </c>
      <c r="AR664" t="s">
        <v>2898</v>
      </c>
      <c r="AS664" t="s">
        <v>1680</v>
      </c>
      <c r="AT664">
        <v>2025</v>
      </c>
      <c r="AU664">
        <v>3</v>
      </c>
      <c r="AV664" t="s">
        <v>78</v>
      </c>
      <c r="AX664" t="s">
        <v>2935</v>
      </c>
    </row>
    <row r="665" spans="1:50">
      <c r="A665">
        <v>38</v>
      </c>
      <c r="B665">
        <v>33</v>
      </c>
      <c r="C665" t="s">
        <v>74</v>
      </c>
      <c r="D665" t="s">
        <v>1353</v>
      </c>
      <c r="E665" t="s">
        <v>1354</v>
      </c>
      <c r="F665">
        <v>3885</v>
      </c>
      <c r="G665" s="23" t="s">
        <v>1485</v>
      </c>
      <c r="H665" s="2" t="s">
        <v>2858</v>
      </c>
      <c r="I665" t="s">
        <v>2859</v>
      </c>
      <c r="K665" s="149">
        <v>0</v>
      </c>
      <c r="L665" s="149">
        <v>3197260</v>
      </c>
      <c r="M665" s="149">
        <v>607480</v>
      </c>
      <c r="N665" s="149">
        <v>3804740</v>
      </c>
      <c r="O665">
        <v>0</v>
      </c>
      <c r="P665">
        <v>0</v>
      </c>
      <c r="Q665">
        <v>0</v>
      </c>
      <c r="R665">
        <v>0</v>
      </c>
      <c r="S665">
        <v>0</v>
      </c>
      <c r="T665" t="s">
        <v>77</v>
      </c>
      <c r="U665">
        <v>0</v>
      </c>
      <c r="V665">
        <v>0</v>
      </c>
      <c r="W665">
        <v>0</v>
      </c>
      <c r="X665">
        <v>0</v>
      </c>
      <c r="Y665">
        <v>0</v>
      </c>
      <c r="AC665">
        <v>0</v>
      </c>
      <c r="AE665">
        <v>0</v>
      </c>
      <c r="AF665">
        <v>2</v>
      </c>
      <c r="AG665">
        <v>0</v>
      </c>
      <c r="AH665">
        <v>0</v>
      </c>
      <c r="AI665">
        <v>0</v>
      </c>
      <c r="AM665">
        <v>0</v>
      </c>
      <c r="AR665" t="s">
        <v>2898</v>
      </c>
      <c r="AS665" t="s">
        <v>1680</v>
      </c>
      <c r="AT665">
        <v>2025</v>
      </c>
      <c r="AU665">
        <v>3</v>
      </c>
      <c r="AV665" t="s">
        <v>78</v>
      </c>
      <c r="AX665" t="s">
        <v>2936</v>
      </c>
    </row>
    <row r="666" spans="1:50">
      <c r="A666">
        <v>39</v>
      </c>
      <c r="B666">
        <v>33</v>
      </c>
      <c r="C666" t="s">
        <v>74</v>
      </c>
      <c r="D666" t="s">
        <v>1581</v>
      </c>
      <c r="E666" t="s">
        <v>1582</v>
      </c>
      <c r="F666">
        <v>3886</v>
      </c>
      <c r="G666" s="23" t="s">
        <v>1485</v>
      </c>
      <c r="H666" s="2" t="s">
        <v>2860</v>
      </c>
      <c r="I666" t="s">
        <v>2861</v>
      </c>
      <c r="K666" s="149">
        <v>0</v>
      </c>
      <c r="L666" s="149">
        <v>1075998</v>
      </c>
      <c r="M666" s="149">
        <v>204439</v>
      </c>
      <c r="N666" s="149">
        <v>1280437</v>
      </c>
      <c r="O666">
        <v>0</v>
      </c>
      <c r="P666">
        <v>0</v>
      </c>
      <c r="Q666">
        <v>0</v>
      </c>
      <c r="R666">
        <v>0</v>
      </c>
      <c r="S666">
        <v>0</v>
      </c>
      <c r="T666" t="s">
        <v>77</v>
      </c>
      <c r="U666">
        <v>0</v>
      </c>
      <c r="V666">
        <v>0</v>
      </c>
      <c r="W666">
        <v>0</v>
      </c>
      <c r="X666">
        <v>0</v>
      </c>
      <c r="Y666">
        <v>0</v>
      </c>
      <c r="AC666">
        <v>0</v>
      </c>
      <c r="AE666">
        <v>0</v>
      </c>
      <c r="AF666">
        <v>2</v>
      </c>
      <c r="AG666">
        <v>0</v>
      </c>
      <c r="AH666">
        <v>0</v>
      </c>
      <c r="AI666">
        <v>0</v>
      </c>
      <c r="AM666">
        <v>0</v>
      </c>
      <c r="AR666" t="s">
        <v>2898</v>
      </c>
      <c r="AS666" t="s">
        <v>1680</v>
      </c>
      <c r="AT666">
        <v>2025</v>
      </c>
      <c r="AU666">
        <v>3</v>
      </c>
      <c r="AV666" t="s">
        <v>78</v>
      </c>
      <c r="AX666" t="s">
        <v>2937</v>
      </c>
    </row>
    <row r="667" spans="1:50">
      <c r="A667">
        <v>40</v>
      </c>
      <c r="B667">
        <v>33</v>
      </c>
      <c r="C667" t="s">
        <v>74</v>
      </c>
      <c r="D667" t="s">
        <v>1555</v>
      </c>
      <c r="E667" t="s">
        <v>1556</v>
      </c>
      <c r="F667">
        <v>3887</v>
      </c>
      <c r="G667" s="23" t="s">
        <v>1485</v>
      </c>
      <c r="H667" s="2" t="s">
        <v>2862</v>
      </c>
      <c r="I667" t="s">
        <v>2863</v>
      </c>
      <c r="K667" s="149">
        <v>0</v>
      </c>
      <c r="L667" s="149">
        <v>2268680</v>
      </c>
      <c r="M667" s="149">
        <v>431050</v>
      </c>
      <c r="N667" s="149">
        <v>2699730</v>
      </c>
      <c r="O667">
        <v>0</v>
      </c>
      <c r="P667">
        <v>0</v>
      </c>
      <c r="Q667">
        <v>0</v>
      </c>
      <c r="R667">
        <v>0</v>
      </c>
      <c r="S667">
        <v>0</v>
      </c>
      <c r="T667" t="s">
        <v>77</v>
      </c>
      <c r="U667">
        <v>0</v>
      </c>
      <c r="V667">
        <v>0</v>
      </c>
      <c r="W667">
        <v>0</v>
      </c>
      <c r="X667">
        <v>0</v>
      </c>
      <c r="AC667">
        <v>0</v>
      </c>
      <c r="AE667">
        <v>0</v>
      </c>
      <c r="AF667">
        <v>2</v>
      </c>
      <c r="AG667">
        <v>0</v>
      </c>
      <c r="AH667">
        <v>0</v>
      </c>
      <c r="AI667">
        <v>0</v>
      </c>
      <c r="AM667">
        <v>0</v>
      </c>
      <c r="AR667" t="s">
        <v>2898</v>
      </c>
      <c r="AS667" t="s">
        <v>1680</v>
      </c>
      <c r="AT667">
        <v>2025</v>
      </c>
      <c r="AU667">
        <v>3</v>
      </c>
      <c r="AV667" t="s">
        <v>78</v>
      </c>
      <c r="AX667" t="s">
        <v>2938</v>
      </c>
    </row>
    <row r="668" spans="1:50">
      <c r="A668">
        <v>41</v>
      </c>
      <c r="B668">
        <v>33</v>
      </c>
      <c r="C668" t="s">
        <v>74</v>
      </c>
      <c r="D668" t="s">
        <v>1222</v>
      </c>
      <c r="E668" t="s">
        <v>1223</v>
      </c>
      <c r="F668">
        <v>3888</v>
      </c>
      <c r="G668" s="23" t="s">
        <v>1459</v>
      </c>
      <c r="H668" s="2" t="s">
        <v>2864</v>
      </c>
      <c r="J668" t="s">
        <v>2865</v>
      </c>
      <c r="K668" s="149">
        <v>0</v>
      </c>
      <c r="L668" s="149">
        <v>10512700</v>
      </c>
      <c r="M668" s="149">
        <v>1997413</v>
      </c>
      <c r="N668" s="149">
        <v>12510113</v>
      </c>
      <c r="O668">
        <v>0</v>
      </c>
      <c r="P668">
        <v>0</v>
      </c>
      <c r="Q668">
        <v>0</v>
      </c>
      <c r="R668">
        <v>0</v>
      </c>
      <c r="S668">
        <v>0</v>
      </c>
      <c r="T668" t="s">
        <v>77</v>
      </c>
      <c r="U668">
        <v>0</v>
      </c>
      <c r="V668">
        <v>0</v>
      </c>
      <c r="W668">
        <v>0</v>
      </c>
      <c r="X668">
        <v>0</v>
      </c>
      <c r="AC668">
        <v>0</v>
      </c>
      <c r="AE668">
        <v>0</v>
      </c>
      <c r="AF668">
        <v>2</v>
      </c>
      <c r="AG668">
        <v>0</v>
      </c>
      <c r="AH668">
        <v>0</v>
      </c>
      <c r="AI668">
        <v>0</v>
      </c>
      <c r="AM668">
        <v>0</v>
      </c>
      <c r="AR668" t="s">
        <v>2898</v>
      </c>
      <c r="AS668" t="s">
        <v>1680</v>
      </c>
      <c r="AT668">
        <v>2025</v>
      </c>
      <c r="AU668">
        <v>3</v>
      </c>
      <c r="AV668" t="s">
        <v>78</v>
      </c>
      <c r="AX668" t="s">
        <v>2939</v>
      </c>
    </row>
    <row r="669" spans="1:50">
      <c r="A669">
        <v>42</v>
      </c>
      <c r="B669">
        <v>33</v>
      </c>
      <c r="C669" t="s">
        <v>74</v>
      </c>
      <c r="D669" t="s">
        <v>2329</v>
      </c>
      <c r="E669" t="s">
        <v>2330</v>
      </c>
      <c r="F669">
        <v>3889</v>
      </c>
      <c r="G669" s="23" t="s">
        <v>1485</v>
      </c>
      <c r="H669" s="2" t="s">
        <v>2866</v>
      </c>
      <c r="I669" t="s">
        <v>2867</v>
      </c>
      <c r="K669" s="149">
        <v>0</v>
      </c>
      <c r="L669" s="149">
        <v>280000</v>
      </c>
      <c r="M669" s="149">
        <v>53200</v>
      </c>
      <c r="N669" s="149">
        <v>333200</v>
      </c>
      <c r="O669">
        <v>0</v>
      </c>
      <c r="P669">
        <v>0</v>
      </c>
      <c r="Q669">
        <v>0</v>
      </c>
      <c r="R669">
        <v>0</v>
      </c>
      <c r="S669">
        <v>0</v>
      </c>
      <c r="T669" t="s">
        <v>77</v>
      </c>
      <c r="U669">
        <v>0</v>
      </c>
      <c r="V669">
        <v>0</v>
      </c>
      <c r="W669">
        <v>0</v>
      </c>
      <c r="X669">
        <v>0</v>
      </c>
      <c r="Y669">
        <v>0</v>
      </c>
      <c r="AC669">
        <v>0</v>
      </c>
      <c r="AE669">
        <v>0</v>
      </c>
      <c r="AF669">
        <v>2</v>
      </c>
      <c r="AG669">
        <v>0</v>
      </c>
      <c r="AH669">
        <v>0</v>
      </c>
      <c r="AI669">
        <v>0</v>
      </c>
      <c r="AM669">
        <v>0</v>
      </c>
      <c r="AR669" t="s">
        <v>2898</v>
      </c>
      <c r="AS669" t="s">
        <v>1680</v>
      </c>
      <c r="AT669">
        <v>2025</v>
      </c>
      <c r="AU669">
        <v>3</v>
      </c>
      <c r="AV669" t="s">
        <v>78</v>
      </c>
      <c r="AX669" t="s">
        <v>2940</v>
      </c>
    </row>
    <row r="670" spans="1:50">
      <c r="A670">
        <v>43</v>
      </c>
      <c r="B670">
        <v>33</v>
      </c>
      <c r="C670" t="s">
        <v>74</v>
      </c>
      <c r="D670" t="s">
        <v>1573</v>
      </c>
      <c r="E670" t="s">
        <v>1574</v>
      </c>
      <c r="F670">
        <v>3890</v>
      </c>
      <c r="G670" s="23" t="s">
        <v>1459</v>
      </c>
      <c r="H670" s="2" t="s">
        <v>2868</v>
      </c>
      <c r="I670" t="s">
        <v>2869</v>
      </c>
      <c r="K670" s="149">
        <v>0</v>
      </c>
      <c r="L670" s="149">
        <v>246730</v>
      </c>
      <c r="M670" s="149">
        <v>46879</v>
      </c>
      <c r="N670" s="149">
        <v>293609</v>
      </c>
      <c r="O670">
        <v>0</v>
      </c>
      <c r="P670">
        <v>0</v>
      </c>
      <c r="Q670">
        <v>0</v>
      </c>
      <c r="R670">
        <v>0</v>
      </c>
      <c r="S670">
        <v>0</v>
      </c>
      <c r="T670" t="s">
        <v>77</v>
      </c>
      <c r="U670">
        <v>0</v>
      </c>
      <c r="V670">
        <v>0</v>
      </c>
      <c r="W670">
        <v>0</v>
      </c>
      <c r="X670">
        <v>0</v>
      </c>
      <c r="Y670">
        <v>0</v>
      </c>
      <c r="AC670">
        <v>0</v>
      </c>
      <c r="AE670">
        <v>0</v>
      </c>
      <c r="AF670">
        <v>2</v>
      </c>
      <c r="AG670">
        <v>0</v>
      </c>
      <c r="AH670">
        <v>0</v>
      </c>
      <c r="AI670">
        <v>0</v>
      </c>
      <c r="AM670">
        <v>0</v>
      </c>
      <c r="AR670" t="s">
        <v>2898</v>
      </c>
      <c r="AS670" t="s">
        <v>1680</v>
      </c>
      <c r="AT670">
        <v>2025</v>
      </c>
      <c r="AU670">
        <v>3</v>
      </c>
      <c r="AV670" t="s">
        <v>78</v>
      </c>
      <c r="AX670" t="s">
        <v>2941</v>
      </c>
    </row>
    <row r="671" spans="1:50">
      <c r="A671">
        <v>44</v>
      </c>
      <c r="B671">
        <v>33</v>
      </c>
      <c r="C671" t="s">
        <v>74</v>
      </c>
      <c r="D671" t="s">
        <v>1569</v>
      </c>
      <c r="E671" t="s">
        <v>1570</v>
      </c>
      <c r="F671">
        <v>3891</v>
      </c>
      <c r="G671" s="23" t="s">
        <v>1459</v>
      </c>
      <c r="H671" s="2" t="s">
        <v>2870</v>
      </c>
      <c r="I671" t="s">
        <v>2871</v>
      </c>
      <c r="K671" s="149">
        <v>0</v>
      </c>
      <c r="L671" s="149">
        <v>315200</v>
      </c>
      <c r="M671" s="149">
        <v>59888</v>
      </c>
      <c r="N671" s="149">
        <v>375088</v>
      </c>
      <c r="O671">
        <v>0</v>
      </c>
      <c r="P671">
        <v>0</v>
      </c>
      <c r="Q671">
        <v>0</v>
      </c>
      <c r="R671">
        <v>0</v>
      </c>
      <c r="S671">
        <v>0</v>
      </c>
      <c r="T671" t="s">
        <v>77</v>
      </c>
      <c r="U671">
        <v>0</v>
      </c>
      <c r="V671">
        <v>0</v>
      </c>
      <c r="W671">
        <v>0</v>
      </c>
      <c r="X671">
        <v>0</v>
      </c>
      <c r="Y671">
        <v>0</v>
      </c>
      <c r="AC671">
        <v>0</v>
      </c>
      <c r="AE671">
        <v>0</v>
      </c>
      <c r="AF671">
        <v>2</v>
      </c>
      <c r="AG671">
        <v>0</v>
      </c>
      <c r="AH671">
        <v>0</v>
      </c>
      <c r="AI671">
        <v>0</v>
      </c>
      <c r="AM671">
        <v>0</v>
      </c>
      <c r="AR671" t="s">
        <v>2898</v>
      </c>
      <c r="AS671" t="s">
        <v>1680</v>
      </c>
      <c r="AT671">
        <v>2025</v>
      </c>
      <c r="AU671">
        <v>3</v>
      </c>
      <c r="AV671" t="s">
        <v>78</v>
      </c>
      <c r="AX671" t="s">
        <v>2942</v>
      </c>
    </row>
    <row r="672" spans="1:50">
      <c r="A672">
        <v>45</v>
      </c>
      <c r="B672">
        <v>33</v>
      </c>
      <c r="C672" t="s">
        <v>74</v>
      </c>
      <c r="D672" t="s">
        <v>2509</v>
      </c>
      <c r="E672" t="s">
        <v>2510</v>
      </c>
      <c r="F672">
        <v>3892</v>
      </c>
      <c r="G672" s="23" t="s">
        <v>1459</v>
      </c>
      <c r="H672" s="2" t="s">
        <v>2872</v>
      </c>
      <c r="I672" t="s">
        <v>2873</v>
      </c>
      <c r="K672" s="149">
        <v>0</v>
      </c>
      <c r="L672" s="149">
        <v>349110</v>
      </c>
      <c r="M672" s="149">
        <v>66331</v>
      </c>
      <c r="N672" s="149">
        <v>415441</v>
      </c>
      <c r="O672">
        <v>0</v>
      </c>
      <c r="P672">
        <v>0</v>
      </c>
      <c r="Q672">
        <v>0</v>
      </c>
      <c r="R672">
        <v>0</v>
      </c>
      <c r="S672">
        <v>0</v>
      </c>
      <c r="T672" t="s">
        <v>77</v>
      </c>
      <c r="U672">
        <v>0</v>
      </c>
      <c r="V672">
        <v>0</v>
      </c>
      <c r="W672">
        <v>0</v>
      </c>
      <c r="X672">
        <v>0</v>
      </c>
      <c r="Y672">
        <v>0</v>
      </c>
      <c r="AC672">
        <v>0</v>
      </c>
      <c r="AE672">
        <v>0</v>
      </c>
      <c r="AF672">
        <v>2</v>
      </c>
      <c r="AG672">
        <v>0</v>
      </c>
      <c r="AH672">
        <v>0</v>
      </c>
      <c r="AI672">
        <v>0</v>
      </c>
      <c r="AM672">
        <v>0</v>
      </c>
      <c r="AR672" t="s">
        <v>2898</v>
      </c>
      <c r="AS672" t="s">
        <v>1680</v>
      </c>
      <c r="AT672">
        <v>2025</v>
      </c>
      <c r="AU672">
        <v>3</v>
      </c>
      <c r="AV672" t="s">
        <v>78</v>
      </c>
      <c r="AX672" t="s">
        <v>2943</v>
      </c>
    </row>
    <row r="673" spans="1:50">
      <c r="A673">
        <v>46</v>
      </c>
      <c r="B673">
        <v>33</v>
      </c>
      <c r="C673" t="s">
        <v>74</v>
      </c>
      <c r="D673" t="s">
        <v>1592</v>
      </c>
      <c r="E673" t="s">
        <v>1593</v>
      </c>
      <c r="F673">
        <v>3893</v>
      </c>
      <c r="G673" s="23" t="s">
        <v>1459</v>
      </c>
      <c r="H673" s="2" t="s">
        <v>2874</v>
      </c>
      <c r="I673" t="s">
        <v>2875</v>
      </c>
      <c r="K673" s="149">
        <v>0</v>
      </c>
      <c r="L673" s="149">
        <v>283672</v>
      </c>
      <c r="M673" s="149">
        <v>53898</v>
      </c>
      <c r="N673" s="149">
        <v>337570</v>
      </c>
      <c r="O673">
        <v>0</v>
      </c>
      <c r="P673">
        <v>0</v>
      </c>
      <c r="Q673">
        <v>0</v>
      </c>
      <c r="R673">
        <v>0</v>
      </c>
      <c r="S673">
        <v>0</v>
      </c>
      <c r="T673" t="s">
        <v>77</v>
      </c>
      <c r="U673">
        <v>0</v>
      </c>
      <c r="V673">
        <v>0</v>
      </c>
      <c r="W673">
        <v>0</v>
      </c>
      <c r="X673">
        <v>0</v>
      </c>
      <c r="Y673">
        <v>0</v>
      </c>
      <c r="AC673">
        <v>0</v>
      </c>
      <c r="AE673">
        <v>0</v>
      </c>
      <c r="AF673">
        <v>2</v>
      </c>
      <c r="AG673">
        <v>0</v>
      </c>
      <c r="AH673">
        <v>0</v>
      </c>
      <c r="AI673">
        <v>0</v>
      </c>
      <c r="AM673">
        <v>0</v>
      </c>
      <c r="AR673" t="s">
        <v>2898</v>
      </c>
      <c r="AS673" t="s">
        <v>1680</v>
      </c>
      <c r="AT673">
        <v>2025</v>
      </c>
      <c r="AU673">
        <v>3</v>
      </c>
      <c r="AV673" t="s">
        <v>78</v>
      </c>
      <c r="AX673" t="s">
        <v>2944</v>
      </c>
    </row>
    <row r="674" spans="1:50">
      <c r="A674">
        <v>47</v>
      </c>
      <c r="B674">
        <v>33</v>
      </c>
      <c r="C674" t="s">
        <v>74</v>
      </c>
      <c r="D674" t="s">
        <v>1631</v>
      </c>
      <c r="E674" t="s">
        <v>1632</v>
      </c>
      <c r="F674">
        <v>3894</v>
      </c>
      <c r="G674" s="23" t="s">
        <v>1459</v>
      </c>
      <c r="H674" s="2" t="s">
        <v>2876</v>
      </c>
      <c r="K674" s="149">
        <v>0</v>
      </c>
      <c r="L674" s="149">
        <v>264000</v>
      </c>
      <c r="M674" s="149">
        <v>50160</v>
      </c>
      <c r="N674" s="149">
        <v>314160</v>
      </c>
      <c r="O674">
        <v>0</v>
      </c>
      <c r="P674">
        <v>0</v>
      </c>
      <c r="Q674">
        <v>0</v>
      </c>
      <c r="R674">
        <v>0</v>
      </c>
      <c r="S674">
        <v>0</v>
      </c>
      <c r="T674" t="s">
        <v>77</v>
      </c>
      <c r="U674">
        <v>0</v>
      </c>
      <c r="V674">
        <v>0</v>
      </c>
      <c r="W674">
        <v>0</v>
      </c>
      <c r="X674">
        <v>0</v>
      </c>
      <c r="Y674">
        <v>0</v>
      </c>
      <c r="AC674">
        <v>0</v>
      </c>
      <c r="AE674">
        <v>0</v>
      </c>
      <c r="AF674">
        <v>2</v>
      </c>
      <c r="AG674">
        <v>0</v>
      </c>
      <c r="AH674">
        <v>0</v>
      </c>
      <c r="AI674">
        <v>0</v>
      </c>
      <c r="AM674">
        <v>0</v>
      </c>
      <c r="AR674" t="s">
        <v>2898</v>
      </c>
      <c r="AS674" t="s">
        <v>1680</v>
      </c>
      <c r="AT674">
        <v>2025</v>
      </c>
      <c r="AU674">
        <v>3</v>
      </c>
      <c r="AV674" t="s">
        <v>78</v>
      </c>
      <c r="AX674" t="s">
        <v>2945</v>
      </c>
    </row>
    <row r="675" spans="1:50">
      <c r="A675">
        <v>48</v>
      </c>
      <c r="B675">
        <v>33</v>
      </c>
      <c r="C675" t="s">
        <v>74</v>
      </c>
      <c r="D675" t="s">
        <v>2825</v>
      </c>
      <c r="E675" t="s">
        <v>2826</v>
      </c>
      <c r="F675">
        <v>3895</v>
      </c>
      <c r="G675" s="23" t="s">
        <v>1459</v>
      </c>
      <c r="H675" s="2" t="s">
        <v>2877</v>
      </c>
      <c r="K675" s="149">
        <v>0</v>
      </c>
      <c r="L675" s="149">
        <v>325710</v>
      </c>
      <c r="M675" s="149">
        <v>61886</v>
      </c>
      <c r="N675" s="149">
        <v>387596</v>
      </c>
      <c r="O675">
        <v>0</v>
      </c>
      <c r="P675">
        <v>0</v>
      </c>
      <c r="Q675">
        <v>0</v>
      </c>
      <c r="R675">
        <v>0</v>
      </c>
      <c r="S675">
        <v>0</v>
      </c>
      <c r="T675" t="s">
        <v>77</v>
      </c>
      <c r="U675">
        <v>0</v>
      </c>
      <c r="V675">
        <v>0</v>
      </c>
      <c r="W675">
        <v>0</v>
      </c>
      <c r="X675">
        <v>0</v>
      </c>
      <c r="Y675">
        <v>0</v>
      </c>
      <c r="AC675">
        <v>0</v>
      </c>
      <c r="AE675">
        <v>0</v>
      </c>
      <c r="AF675">
        <v>2</v>
      </c>
      <c r="AG675">
        <v>0</v>
      </c>
      <c r="AH675">
        <v>0</v>
      </c>
      <c r="AI675">
        <v>0</v>
      </c>
      <c r="AM675">
        <v>0</v>
      </c>
      <c r="AR675" t="s">
        <v>2898</v>
      </c>
      <c r="AS675" t="s">
        <v>1680</v>
      </c>
      <c r="AT675">
        <v>2025</v>
      </c>
      <c r="AU675">
        <v>3</v>
      </c>
      <c r="AV675" t="s">
        <v>78</v>
      </c>
      <c r="AX675" t="s">
        <v>2946</v>
      </c>
    </row>
    <row r="676" spans="1:50">
      <c r="A676">
        <v>49</v>
      </c>
      <c r="B676">
        <v>33</v>
      </c>
      <c r="C676" t="s">
        <v>74</v>
      </c>
      <c r="D676" t="s">
        <v>1600</v>
      </c>
      <c r="E676" t="s">
        <v>1601</v>
      </c>
      <c r="F676">
        <v>3896</v>
      </c>
      <c r="G676" s="23" t="s">
        <v>1459</v>
      </c>
      <c r="H676" s="2" t="s">
        <v>2878</v>
      </c>
      <c r="I676" s="2"/>
      <c r="K676" s="149">
        <v>0</v>
      </c>
      <c r="L676" s="149">
        <v>83140</v>
      </c>
      <c r="M676" s="149">
        <v>15796</v>
      </c>
      <c r="N676" s="149">
        <v>98936</v>
      </c>
      <c r="O676">
        <v>0</v>
      </c>
      <c r="P676">
        <v>0</v>
      </c>
      <c r="Q676">
        <v>0</v>
      </c>
      <c r="R676">
        <v>0</v>
      </c>
      <c r="S676">
        <v>0</v>
      </c>
      <c r="T676" t="s">
        <v>77</v>
      </c>
      <c r="U676">
        <v>0</v>
      </c>
      <c r="V676">
        <v>0</v>
      </c>
      <c r="W676">
        <v>0</v>
      </c>
      <c r="X676">
        <v>0</v>
      </c>
      <c r="Y676">
        <v>0</v>
      </c>
      <c r="AC676">
        <v>0</v>
      </c>
      <c r="AE676">
        <v>0</v>
      </c>
      <c r="AF676">
        <v>2</v>
      </c>
      <c r="AG676">
        <v>0</v>
      </c>
      <c r="AH676">
        <v>0</v>
      </c>
      <c r="AI676">
        <v>0</v>
      </c>
      <c r="AM676">
        <v>0</v>
      </c>
      <c r="AR676" t="s">
        <v>2898</v>
      </c>
      <c r="AS676" t="s">
        <v>1680</v>
      </c>
      <c r="AT676">
        <v>2025</v>
      </c>
      <c r="AU676">
        <v>3</v>
      </c>
      <c r="AV676" t="s">
        <v>78</v>
      </c>
      <c r="AX676" t="s">
        <v>2947</v>
      </c>
    </row>
    <row r="677" spans="1:50">
      <c r="A677">
        <v>50</v>
      </c>
      <c r="B677">
        <v>33</v>
      </c>
      <c r="C677" t="s">
        <v>74</v>
      </c>
      <c r="D677" t="s">
        <v>1222</v>
      </c>
      <c r="E677" t="s">
        <v>1223</v>
      </c>
      <c r="F677">
        <v>3897</v>
      </c>
      <c r="G677" s="23" t="s">
        <v>1460</v>
      </c>
      <c r="H677" s="2" t="s">
        <v>2879</v>
      </c>
      <c r="J677" t="s">
        <v>2880</v>
      </c>
      <c r="K677" s="149">
        <v>0</v>
      </c>
      <c r="L677" s="149">
        <v>14935600</v>
      </c>
      <c r="M677" s="149">
        <v>2837763</v>
      </c>
      <c r="N677" s="149">
        <v>17773363</v>
      </c>
      <c r="O677">
        <v>0</v>
      </c>
      <c r="P677">
        <v>0</v>
      </c>
      <c r="Q677">
        <v>0</v>
      </c>
      <c r="R677">
        <v>0</v>
      </c>
      <c r="S677">
        <v>0</v>
      </c>
      <c r="T677" t="s">
        <v>77</v>
      </c>
      <c r="U677">
        <v>0</v>
      </c>
      <c r="V677">
        <v>0</v>
      </c>
      <c r="W677">
        <v>0</v>
      </c>
      <c r="X677">
        <v>0</v>
      </c>
      <c r="AC677">
        <v>0</v>
      </c>
      <c r="AE677">
        <v>0</v>
      </c>
      <c r="AF677">
        <v>2</v>
      </c>
      <c r="AG677">
        <v>0</v>
      </c>
      <c r="AH677">
        <v>0</v>
      </c>
      <c r="AI677">
        <v>0</v>
      </c>
      <c r="AM677">
        <v>0</v>
      </c>
      <c r="AR677" t="s">
        <v>2898</v>
      </c>
      <c r="AS677" t="s">
        <v>1680</v>
      </c>
      <c r="AT677">
        <v>2025</v>
      </c>
      <c r="AU677">
        <v>3</v>
      </c>
      <c r="AV677" t="s">
        <v>78</v>
      </c>
      <c r="AX677" t="s">
        <v>2948</v>
      </c>
    </row>
    <row r="678" spans="1:50">
      <c r="A678">
        <v>51</v>
      </c>
      <c r="B678">
        <v>33</v>
      </c>
      <c r="C678" t="s">
        <v>74</v>
      </c>
      <c r="D678" t="s">
        <v>1222</v>
      </c>
      <c r="E678" t="s">
        <v>1223</v>
      </c>
      <c r="F678">
        <v>3898</v>
      </c>
      <c r="G678" s="23" t="s">
        <v>1460</v>
      </c>
      <c r="H678" s="2" t="s">
        <v>2881</v>
      </c>
      <c r="I678" s="2" t="s">
        <v>2882</v>
      </c>
      <c r="K678" s="149">
        <v>0</v>
      </c>
      <c r="L678" s="149">
        <v>3567000</v>
      </c>
      <c r="M678" s="149">
        <v>677730</v>
      </c>
      <c r="N678" s="149">
        <v>4244730</v>
      </c>
      <c r="O678">
        <v>0</v>
      </c>
      <c r="P678">
        <v>0</v>
      </c>
      <c r="Q678">
        <v>0</v>
      </c>
      <c r="R678">
        <v>0</v>
      </c>
      <c r="S678">
        <v>0</v>
      </c>
      <c r="T678" t="s">
        <v>77</v>
      </c>
      <c r="U678">
        <v>0</v>
      </c>
      <c r="V678">
        <v>0</v>
      </c>
      <c r="W678">
        <v>0</v>
      </c>
      <c r="X678">
        <v>0</v>
      </c>
      <c r="AC678">
        <v>0</v>
      </c>
      <c r="AE678">
        <v>0</v>
      </c>
      <c r="AF678">
        <v>2</v>
      </c>
      <c r="AG678">
        <v>0</v>
      </c>
      <c r="AH678">
        <v>0</v>
      </c>
      <c r="AI678">
        <v>0</v>
      </c>
      <c r="AM678">
        <v>0</v>
      </c>
      <c r="AR678" t="s">
        <v>2898</v>
      </c>
      <c r="AS678" t="s">
        <v>1680</v>
      </c>
      <c r="AT678">
        <v>2025</v>
      </c>
      <c r="AU678">
        <v>3</v>
      </c>
      <c r="AV678" t="s">
        <v>78</v>
      </c>
      <c r="AX678" t="s">
        <v>2949</v>
      </c>
    </row>
    <row r="679" spans="1:50">
      <c r="A679">
        <v>52</v>
      </c>
      <c r="B679">
        <v>33</v>
      </c>
      <c r="C679" t="s">
        <v>74</v>
      </c>
      <c r="D679" t="s">
        <v>1555</v>
      </c>
      <c r="E679" t="s">
        <v>1556</v>
      </c>
      <c r="F679">
        <v>3899</v>
      </c>
      <c r="G679" s="23" t="s">
        <v>1460</v>
      </c>
      <c r="H679" s="2" t="s">
        <v>2883</v>
      </c>
      <c r="I679" s="2">
        <v>45720.696585648147</v>
      </c>
      <c r="K679" s="149">
        <v>0</v>
      </c>
      <c r="L679" s="149">
        <v>2268680</v>
      </c>
      <c r="M679" s="149">
        <v>431049</v>
      </c>
      <c r="N679" s="149">
        <v>2699729</v>
      </c>
      <c r="O679">
        <v>0</v>
      </c>
      <c r="P679">
        <v>0</v>
      </c>
      <c r="Q679">
        <v>0</v>
      </c>
      <c r="R679">
        <v>0</v>
      </c>
      <c r="S679">
        <v>0</v>
      </c>
      <c r="T679" t="s">
        <v>77</v>
      </c>
      <c r="U679">
        <v>0</v>
      </c>
      <c r="V679">
        <v>0</v>
      </c>
      <c r="W679">
        <v>0</v>
      </c>
      <c r="X679">
        <v>0</v>
      </c>
      <c r="AC679">
        <v>0</v>
      </c>
      <c r="AE679">
        <v>0</v>
      </c>
      <c r="AF679">
        <v>2</v>
      </c>
      <c r="AG679">
        <v>0</v>
      </c>
      <c r="AH679">
        <v>0</v>
      </c>
      <c r="AI679">
        <v>0</v>
      </c>
      <c r="AM679">
        <v>0</v>
      </c>
      <c r="AR679" t="s">
        <v>2898</v>
      </c>
      <c r="AS679" t="s">
        <v>1680</v>
      </c>
      <c r="AT679">
        <v>2025</v>
      </c>
      <c r="AU679">
        <v>3</v>
      </c>
      <c r="AV679" t="s">
        <v>78</v>
      </c>
      <c r="AX679" t="s">
        <v>2950</v>
      </c>
    </row>
    <row r="680" spans="1:50">
      <c r="A680">
        <v>53</v>
      </c>
      <c r="B680">
        <v>33</v>
      </c>
      <c r="C680" t="s">
        <v>74</v>
      </c>
      <c r="D680" t="s">
        <v>1571</v>
      </c>
      <c r="E680" t="s">
        <v>1572</v>
      </c>
      <c r="F680">
        <v>3900</v>
      </c>
      <c r="G680" s="23" t="s">
        <v>3811</v>
      </c>
      <c r="H680" s="2" t="s">
        <v>2884</v>
      </c>
      <c r="I680" s="2" t="s">
        <v>2885</v>
      </c>
      <c r="K680" s="149">
        <v>0</v>
      </c>
      <c r="L680" s="149">
        <v>8817759</v>
      </c>
      <c r="M680" s="149">
        <v>1675375</v>
      </c>
      <c r="N680" s="149">
        <v>10493134</v>
      </c>
      <c r="O680">
        <v>0</v>
      </c>
      <c r="P680">
        <v>0</v>
      </c>
      <c r="Q680">
        <v>0</v>
      </c>
      <c r="R680">
        <v>0</v>
      </c>
      <c r="S680">
        <v>0</v>
      </c>
      <c r="T680" t="s">
        <v>77</v>
      </c>
      <c r="U680">
        <v>0</v>
      </c>
      <c r="V680">
        <v>0</v>
      </c>
      <c r="W680">
        <v>0</v>
      </c>
      <c r="X680">
        <v>0</v>
      </c>
      <c r="AC680">
        <v>0</v>
      </c>
      <c r="AE680">
        <v>0</v>
      </c>
      <c r="AF680">
        <v>2</v>
      </c>
      <c r="AG680">
        <v>0</v>
      </c>
      <c r="AH680">
        <v>0</v>
      </c>
      <c r="AI680">
        <v>0</v>
      </c>
      <c r="AM680">
        <v>0</v>
      </c>
      <c r="AR680" t="s">
        <v>2898</v>
      </c>
      <c r="AS680" t="s">
        <v>1680</v>
      </c>
      <c r="AT680">
        <v>2025</v>
      </c>
      <c r="AU680">
        <v>3</v>
      </c>
      <c r="AV680" t="s">
        <v>78</v>
      </c>
      <c r="AX680" t="s">
        <v>2951</v>
      </c>
    </row>
    <row r="681" spans="1:50">
      <c r="A681">
        <v>54</v>
      </c>
      <c r="B681">
        <v>33</v>
      </c>
      <c r="C681" t="s">
        <v>74</v>
      </c>
      <c r="D681" t="s">
        <v>1561</v>
      </c>
      <c r="E681" t="s">
        <v>1562</v>
      </c>
      <c r="F681">
        <v>3901</v>
      </c>
      <c r="G681" s="23" t="s">
        <v>1461</v>
      </c>
      <c r="H681" s="2" t="s">
        <v>2886</v>
      </c>
      <c r="I681" s="2"/>
      <c r="J681" t="s">
        <v>2887</v>
      </c>
      <c r="K681" s="149">
        <v>0</v>
      </c>
      <c r="L681" s="149">
        <v>2190000</v>
      </c>
      <c r="M681" s="149">
        <v>416100</v>
      </c>
      <c r="N681" s="149">
        <v>2606100</v>
      </c>
      <c r="O681">
        <v>0</v>
      </c>
      <c r="P681">
        <v>0</v>
      </c>
      <c r="Q681">
        <v>0</v>
      </c>
      <c r="R681">
        <v>0</v>
      </c>
      <c r="S681">
        <v>0</v>
      </c>
      <c r="T681" t="s">
        <v>77</v>
      </c>
      <c r="U681">
        <v>0</v>
      </c>
      <c r="V681">
        <v>0</v>
      </c>
      <c r="W681">
        <v>0</v>
      </c>
      <c r="X681">
        <v>0</v>
      </c>
      <c r="Y681">
        <v>0</v>
      </c>
      <c r="AC681">
        <v>0</v>
      </c>
      <c r="AE681">
        <v>0</v>
      </c>
      <c r="AF681">
        <v>2</v>
      </c>
      <c r="AG681">
        <v>0</v>
      </c>
      <c r="AH681">
        <v>0</v>
      </c>
      <c r="AI681">
        <v>0</v>
      </c>
      <c r="AM681">
        <v>0</v>
      </c>
      <c r="AR681" t="s">
        <v>2898</v>
      </c>
      <c r="AS681" t="s">
        <v>1680</v>
      </c>
      <c r="AT681">
        <v>2025</v>
      </c>
      <c r="AU681">
        <v>3</v>
      </c>
      <c r="AV681" t="s">
        <v>78</v>
      </c>
      <c r="AX681" t="s">
        <v>2952</v>
      </c>
    </row>
    <row r="682" spans="1:50">
      <c r="A682">
        <v>55</v>
      </c>
      <c r="B682">
        <v>33</v>
      </c>
      <c r="C682" t="s">
        <v>74</v>
      </c>
      <c r="D682" t="s">
        <v>1561</v>
      </c>
      <c r="E682" t="s">
        <v>1562</v>
      </c>
      <c r="F682">
        <v>3902</v>
      </c>
      <c r="G682" s="23" t="s">
        <v>1460</v>
      </c>
      <c r="H682" s="2" t="s">
        <v>2888</v>
      </c>
      <c r="J682" s="2">
        <v>45661.537118055552</v>
      </c>
      <c r="K682" s="149">
        <v>0</v>
      </c>
      <c r="L682" s="149">
        <v>2190000</v>
      </c>
      <c r="M682" s="149">
        <v>416100</v>
      </c>
      <c r="N682" s="149">
        <v>2606100</v>
      </c>
      <c r="O682">
        <v>0</v>
      </c>
      <c r="P682">
        <v>0</v>
      </c>
      <c r="Q682">
        <v>0</v>
      </c>
      <c r="R682">
        <v>0</v>
      </c>
      <c r="S682">
        <v>0</v>
      </c>
      <c r="T682" t="s">
        <v>77</v>
      </c>
      <c r="U682">
        <v>0</v>
      </c>
      <c r="V682">
        <v>0</v>
      </c>
      <c r="W682">
        <v>0</v>
      </c>
      <c r="X682">
        <v>0</v>
      </c>
      <c r="AC682">
        <v>0</v>
      </c>
      <c r="AE682">
        <v>0</v>
      </c>
      <c r="AF682">
        <v>2</v>
      </c>
      <c r="AG682">
        <v>0</v>
      </c>
      <c r="AH682">
        <v>0</v>
      </c>
      <c r="AI682">
        <v>0</v>
      </c>
      <c r="AM682">
        <v>0</v>
      </c>
      <c r="AR682" t="s">
        <v>2898</v>
      </c>
      <c r="AS682" t="s">
        <v>1680</v>
      </c>
      <c r="AT682">
        <v>2025</v>
      </c>
      <c r="AU682">
        <v>3</v>
      </c>
      <c r="AV682" t="s">
        <v>78</v>
      </c>
      <c r="AX682" t="s">
        <v>2953</v>
      </c>
    </row>
    <row r="683" spans="1:50">
      <c r="A683">
        <v>56</v>
      </c>
      <c r="B683">
        <v>33</v>
      </c>
      <c r="C683" t="s">
        <v>74</v>
      </c>
      <c r="D683" t="s">
        <v>1561</v>
      </c>
      <c r="E683" t="s">
        <v>1562</v>
      </c>
      <c r="F683">
        <v>3903</v>
      </c>
      <c r="G683" s="23" t="s">
        <v>1460</v>
      </c>
      <c r="H683" t="s">
        <v>2889</v>
      </c>
      <c r="I683" t="s">
        <v>2890</v>
      </c>
      <c r="K683" s="149">
        <v>0</v>
      </c>
      <c r="L683" s="149">
        <v>2190000</v>
      </c>
      <c r="M683" s="149">
        <v>416100</v>
      </c>
      <c r="N683" s="149">
        <v>2606100</v>
      </c>
      <c r="O683">
        <v>0</v>
      </c>
      <c r="P683">
        <v>0</v>
      </c>
      <c r="Q683">
        <v>0</v>
      </c>
      <c r="R683">
        <v>0</v>
      </c>
      <c r="S683">
        <v>0</v>
      </c>
      <c r="T683" t="s">
        <v>77</v>
      </c>
      <c r="U683">
        <v>0</v>
      </c>
      <c r="V683">
        <v>0</v>
      </c>
      <c r="W683">
        <v>0</v>
      </c>
      <c r="X683">
        <v>0</v>
      </c>
      <c r="AC683">
        <v>0</v>
      </c>
      <c r="AE683">
        <v>0</v>
      </c>
      <c r="AF683">
        <v>2</v>
      </c>
      <c r="AG683">
        <v>0</v>
      </c>
      <c r="AH683">
        <v>0</v>
      </c>
      <c r="AI683">
        <v>0</v>
      </c>
      <c r="AM683">
        <v>0</v>
      </c>
      <c r="AR683" t="s">
        <v>2898</v>
      </c>
      <c r="AS683" t="s">
        <v>1680</v>
      </c>
      <c r="AT683">
        <v>2025</v>
      </c>
      <c r="AU683">
        <v>3</v>
      </c>
      <c r="AV683" t="s">
        <v>78</v>
      </c>
      <c r="AX683" t="s">
        <v>2954</v>
      </c>
    </row>
    <row r="684" spans="1:50">
      <c r="A684">
        <v>57</v>
      </c>
      <c r="B684">
        <v>33</v>
      </c>
      <c r="C684" t="s">
        <v>74</v>
      </c>
      <c r="D684" t="s">
        <v>1577</v>
      </c>
      <c r="E684" t="s">
        <v>1578</v>
      </c>
      <c r="F684">
        <v>3905</v>
      </c>
      <c r="G684" s="23">
        <v>45717</v>
      </c>
      <c r="H684" t="s">
        <v>2891</v>
      </c>
      <c r="K684" s="149">
        <v>0</v>
      </c>
      <c r="L684" s="149">
        <v>234724</v>
      </c>
      <c r="M684" s="149">
        <v>44598</v>
      </c>
      <c r="N684" s="149">
        <v>279322</v>
      </c>
      <c r="O684">
        <v>0</v>
      </c>
      <c r="P684">
        <v>0</v>
      </c>
      <c r="Q684">
        <v>0</v>
      </c>
      <c r="R684">
        <v>0</v>
      </c>
      <c r="S684">
        <v>0</v>
      </c>
      <c r="T684" t="s">
        <v>77</v>
      </c>
      <c r="U684">
        <v>0</v>
      </c>
      <c r="V684">
        <v>0</v>
      </c>
      <c r="W684">
        <v>0</v>
      </c>
      <c r="X684">
        <v>0</v>
      </c>
      <c r="Y684">
        <v>0</v>
      </c>
      <c r="AC684">
        <v>0</v>
      </c>
      <c r="AE684">
        <v>0</v>
      </c>
      <c r="AF684">
        <v>2</v>
      </c>
      <c r="AG684">
        <v>0</v>
      </c>
      <c r="AH684">
        <v>0</v>
      </c>
      <c r="AI684">
        <v>0</v>
      </c>
      <c r="AM684">
        <v>0</v>
      </c>
      <c r="AR684" t="s">
        <v>2898</v>
      </c>
      <c r="AS684" t="s">
        <v>1680</v>
      </c>
      <c r="AT684">
        <v>2025</v>
      </c>
      <c r="AU684">
        <v>3</v>
      </c>
      <c r="AV684" t="s">
        <v>78</v>
      </c>
      <c r="AX684" t="s">
        <v>2955</v>
      </c>
    </row>
    <row r="685" spans="1:50">
      <c r="A685">
        <v>58</v>
      </c>
      <c r="B685">
        <v>33</v>
      </c>
      <c r="C685" t="s">
        <v>74</v>
      </c>
      <c r="D685" t="s">
        <v>1222</v>
      </c>
      <c r="E685" t="s">
        <v>1223</v>
      </c>
      <c r="F685">
        <v>3907</v>
      </c>
      <c r="G685" s="23">
        <v>45719</v>
      </c>
      <c r="H685" t="s">
        <v>2892</v>
      </c>
      <c r="J685" s="2">
        <v>45751.984664351854</v>
      </c>
      <c r="K685" s="149">
        <v>0</v>
      </c>
      <c r="L685" s="149">
        <v>15697640</v>
      </c>
      <c r="M685" s="149">
        <v>2982551</v>
      </c>
      <c r="N685" s="149">
        <v>18680191</v>
      </c>
      <c r="O685">
        <v>0</v>
      </c>
      <c r="P685">
        <v>0</v>
      </c>
      <c r="Q685">
        <v>0</v>
      </c>
      <c r="R685">
        <v>0</v>
      </c>
      <c r="S685">
        <v>0</v>
      </c>
      <c r="T685" t="s">
        <v>77</v>
      </c>
      <c r="U685">
        <v>0</v>
      </c>
      <c r="V685">
        <v>0</v>
      </c>
      <c r="W685">
        <v>0</v>
      </c>
      <c r="X685">
        <v>0</v>
      </c>
      <c r="AC685">
        <v>0</v>
      </c>
      <c r="AE685">
        <v>0</v>
      </c>
      <c r="AF685">
        <v>2</v>
      </c>
      <c r="AG685">
        <v>0</v>
      </c>
      <c r="AH685">
        <v>0</v>
      </c>
      <c r="AI685">
        <v>0</v>
      </c>
      <c r="AM685">
        <v>0</v>
      </c>
      <c r="AR685" t="s">
        <v>2898</v>
      </c>
      <c r="AS685" t="s">
        <v>1680</v>
      </c>
      <c r="AT685">
        <v>2025</v>
      </c>
      <c r="AU685">
        <v>3</v>
      </c>
      <c r="AV685" t="s">
        <v>78</v>
      </c>
      <c r="AX685" t="s">
        <v>2956</v>
      </c>
    </row>
    <row r="686" spans="1:50">
      <c r="A686">
        <v>59</v>
      </c>
      <c r="B686">
        <v>61</v>
      </c>
      <c r="C686" t="s">
        <v>74</v>
      </c>
      <c r="D686" t="s">
        <v>1564</v>
      </c>
      <c r="E686" t="s">
        <v>1565</v>
      </c>
      <c r="F686">
        <v>793</v>
      </c>
      <c r="G686" s="23" t="s">
        <v>3810</v>
      </c>
      <c r="H686" s="2" t="s">
        <v>2893</v>
      </c>
      <c r="K686" s="149">
        <v>0</v>
      </c>
      <c r="L686" s="149">
        <v>-37640</v>
      </c>
      <c r="M686" s="149">
        <v>-7152</v>
      </c>
      <c r="N686" s="149">
        <v>-44792</v>
      </c>
      <c r="O686">
        <v>0</v>
      </c>
      <c r="P686">
        <v>0</v>
      </c>
      <c r="Q686">
        <v>0</v>
      </c>
      <c r="R686">
        <v>0</v>
      </c>
      <c r="S686">
        <v>0</v>
      </c>
      <c r="T686" t="s">
        <v>77</v>
      </c>
      <c r="U686">
        <v>0</v>
      </c>
      <c r="V686">
        <v>0</v>
      </c>
      <c r="W686">
        <v>0</v>
      </c>
      <c r="X686">
        <v>0</v>
      </c>
      <c r="Y686">
        <v>33</v>
      </c>
      <c r="Z686">
        <v>3849</v>
      </c>
      <c r="AC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M686">
        <v>0</v>
      </c>
      <c r="AR686" t="s">
        <v>2898</v>
      </c>
      <c r="AS686" t="s">
        <v>1680</v>
      </c>
      <c r="AT686">
        <v>2025</v>
      </c>
      <c r="AU686">
        <v>3</v>
      </c>
      <c r="AV686" t="s">
        <v>318</v>
      </c>
      <c r="AX686" t="s">
        <v>2957</v>
      </c>
    </row>
    <row r="687" spans="1:50">
      <c r="A687">
        <v>60</v>
      </c>
      <c r="B687">
        <v>61</v>
      </c>
      <c r="C687" t="s">
        <v>74</v>
      </c>
      <c r="D687" t="s">
        <v>1579</v>
      </c>
      <c r="E687" t="s">
        <v>1580</v>
      </c>
      <c r="F687">
        <v>794</v>
      </c>
      <c r="G687" s="23" t="s">
        <v>1462</v>
      </c>
      <c r="H687" s="2" t="s">
        <v>2894</v>
      </c>
      <c r="K687" s="149">
        <v>0</v>
      </c>
      <c r="L687" s="149">
        <v>-441000</v>
      </c>
      <c r="M687" s="149">
        <v>-83790</v>
      </c>
      <c r="N687" s="149">
        <v>-524790</v>
      </c>
      <c r="O687">
        <v>0</v>
      </c>
      <c r="P687">
        <v>0</v>
      </c>
      <c r="Q687">
        <v>0</v>
      </c>
      <c r="R687">
        <v>0</v>
      </c>
      <c r="S687">
        <v>0</v>
      </c>
      <c r="T687" t="s">
        <v>77</v>
      </c>
      <c r="U687">
        <v>0</v>
      </c>
      <c r="V687">
        <v>0</v>
      </c>
      <c r="W687">
        <v>0</v>
      </c>
      <c r="X687">
        <v>0</v>
      </c>
      <c r="Y687">
        <v>33</v>
      </c>
      <c r="Z687">
        <v>3816</v>
      </c>
      <c r="AC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M687">
        <v>0</v>
      </c>
      <c r="AR687" t="s">
        <v>2898</v>
      </c>
      <c r="AS687" t="s">
        <v>1680</v>
      </c>
      <c r="AT687">
        <v>2025</v>
      </c>
      <c r="AU687">
        <v>3</v>
      </c>
      <c r="AV687" t="s">
        <v>318</v>
      </c>
      <c r="AX687" t="s">
        <v>2958</v>
      </c>
    </row>
    <row r="688" spans="1:50">
      <c r="A688">
        <v>61</v>
      </c>
      <c r="B688">
        <v>61</v>
      </c>
      <c r="C688" t="s">
        <v>74</v>
      </c>
      <c r="D688" t="s">
        <v>1561</v>
      </c>
      <c r="E688" t="s">
        <v>1562</v>
      </c>
      <c r="F688">
        <v>795</v>
      </c>
      <c r="G688" s="23" t="s">
        <v>1461</v>
      </c>
      <c r="H688" s="2" t="s">
        <v>2895</v>
      </c>
      <c r="J688" t="s">
        <v>2887</v>
      </c>
      <c r="K688" s="149">
        <v>0</v>
      </c>
      <c r="L688" s="149">
        <v>-2190000</v>
      </c>
      <c r="M688" s="149">
        <v>-416100</v>
      </c>
      <c r="N688" s="149">
        <v>-2606100</v>
      </c>
      <c r="O688">
        <v>0</v>
      </c>
      <c r="P688">
        <v>0</v>
      </c>
      <c r="Q688">
        <v>0</v>
      </c>
      <c r="R688">
        <v>0</v>
      </c>
      <c r="S688">
        <v>0</v>
      </c>
      <c r="T688" t="s">
        <v>77</v>
      </c>
      <c r="U688">
        <v>0</v>
      </c>
      <c r="V688">
        <v>0</v>
      </c>
      <c r="W688">
        <v>0</v>
      </c>
      <c r="X688">
        <v>0</v>
      </c>
      <c r="Y688">
        <v>33</v>
      </c>
      <c r="Z688">
        <v>3901</v>
      </c>
      <c r="AC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M688">
        <v>0</v>
      </c>
      <c r="AR688" t="s">
        <v>2898</v>
      </c>
      <c r="AS688" t="s">
        <v>1680</v>
      </c>
      <c r="AT688">
        <v>2025</v>
      </c>
      <c r="AU688">
        <v>3</v>
      </c>
      <c r="AV688" t="s">
        <v>318</v>
      </c>
      <c r="AX688" t="s">
        <v>2959</v>
      </c>
    </row>
    <row r="689" spans="1:50">
      <c r="A689">
        <v>62</v>
      </c>
      <c r="B689">
        <v>61</v>
      </c>
      <c r="C689" t="s">
        <v>74</v>
      </c>
      <c r="D689" t="s">
        <v>1561</v>
      </c>
      <c r="E689" t="s">
        <v>1562</v>
      </c>
      <c r="F689">
        <v>796</v>
      </c>
      <c r="G689" s="23" t="s">
        <v>1460</v>
      </c>
      <c r="H689" t="s">
        <v>2896</v>
      </c>
      <c r="J689" s="2">
        <v>45661.537118055552</v>
      </c>
      <c r="K689" s="149">
        <v>0</v>
      </c>
      <c r="L689" s="149">
        <v>-2190000</v>
      </c>
      <c r="M689" s="149">
        <v>-416100</v>
      </c>
      <c r="N689" s="149">
        <v>-2606100</v>
      </c>
      <c r="O689">
        <v>0</v>
      </c>
      <c r="P689">
        <v>0</v>
      </c>
      <c r="Q689">
        <v>0</v>
      </c>
      <c r="R689">
        <v>0</v>
      </c>
      <c r="S689">
        <v>0</v>
      </c>
      <c r="T689" t="s">
        <v>77</v>
      </c>
      <c r="U689">
        <v>0</v>
      </c>
      <c r="V689">
        <v>0</v>
      </c>
      <c r="W689">
        <v>0</v>
      </c>
      <c r="X689">
        <v>0</v>
      </c>
      <c r="Y689">
        <v>33</v>
      </c>
      <c r="Z689">
        <v>3902</v>
      </c>
      <c r="AC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M689">
        <v>0</v>
      </c>
      <c r="AR689" t="s">
        <v>2898</v>
      </c>
      <c r="AS689" t="s">
        <v>1680</v>
      </c>
      <c r="AT689">
        <v>2025</v>
      </c>
      <c r="AU689">
        <v>3</v>
      </c>
      <c r="AV689" t="s">
        <v>318</v>
      </c>
      <c r="AX689" t="s">
        <v>2960</v>
      </c>
    </row>
    <row r="690" spans="1:50">
      <c r="A690">
        <v>63</v>
      </c>
      <c r="B690">
        <v>61</v>
      </c>
      <c r="C690" t="s">
        <v>74</v>
      </c>
      <c r="D690" t="s">
        <v>1222</v>
      </c>
      <c r="E690" t="s">
        <v>1223</v>
      </c>
      <c r="F690">
        <v>797</v>
      </c>
      <c r="G690" s="23" t="s">
        <v>1460</v>
      </c>
      <c r="H690" s="2" t="s">
        <v>2897</v>
      </c>
      <c r="J690" s="2">
        <v>45751.984664351854</v>
      </c>
      <c r="K690" s="149">
        <v>0</v>
      </c>
      <c r="L690" s="149">
        <v>-15697640</v>
      </c>
      <c r="M690" s="149">
        <v>-2982551</v>
      </c>
      <c r="N690" s="149">
        <v>-18680191</v>
      </c>
      <c r="O690">
        <v>0</v>
      </c>
      <c r="P690">
        <v>0</v>
      </c>
      <c r="Q690">
        <v>0</v>
      </c>
      <c r="R690">
        <v>0</v>
      </c>
      <c r="S690">
        <v>0</v>
      </c>
      <c r="T690" t="s">
        <v>77</v>
      </c>
      <c r="U690">
        <v>0</v>
      </c>
      <c r="V690">
        <v>0</v>
      </c>
      <c r="W690">
        <v>0</v>
      </c>
      <c r="X690">
        <v>0</v>
      </c>
      <c r="Y690">
        <v>33</v>
      </c>
      <c r="Z690">
        <v>3907</v>
      </c>
      <c r="AC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M690">
        <v>0</v>
      </c>
      <c r="AR690" t="s">
        <v>2898</v>
      </c>
      <c r="AS690" t="s">
        <v>1680</v>
      </c>
      <c r="AT690">
        <v>2025</v>
      </c>
      <c r="AU690">
        <v>3</v>
      </c>
      <c r="AV690" t="s">
        <v>318</v>
      </c>
      <c r="AX690" t="s">
        <v>2961</v>
      </c>
    </row>
    <row r="691" spans="1:50">
      <c r="A691">
        <v>1</v>
      </c>
      <c r="B691">
        <v>33</v>
      </c>
      <c r="C691" t="s">
        <v>74</v>
      </c>
      <c r="D691" t="s">
        <v>2329</v>
      </c>
      <c r="E691" t="s">
        <v>2330</v>
      </c>
      <c r="F691">
        <v>3904</v>
      </c>
      <c r="G691" s="23">
        <v>45748</v>
      </c>
      <c r="H691" s="2" t="s">
        <v>2962</v>
      </c>
      <c r="K691" s="149">
        <v>0</v>
      </c>
      <c r="L691" s="149">
        <v>280000</v>
      </c>
      <c r="M691" s="149">
        <v>53200</v>
      </c>
      <c r="N691" s="149">
        <v>333200</v>
      </c>
      <c r="O691">
        <v>0</v>
      </c>
      <c r="P691">
        <v>0</v>
      </c>
      <c r="Q691">
        <v>0</v>
      </c>
      <c r="R691">
        <v>0</v>
      </c>
      <c r="S691">
        <v>0</v>
      </c>
      <c r="T691" t="s">
        <v>77</v>
      </c>
      <c r="U691">
        <v>0</v>
      </c>
      <c r="V691">
        <v>0</v>
      </c>
      <c r="W691">
        <v>0</v>
      </c>
      <c r="X691">
        <v>0</v>
      </c>
      <c r="Y691">
        <v>0</v>
      </c>
      <c r="AC691">
        <v>0</v>
      </c>
      <c r="AE691">
        <v>0</v>
      </c>
      <c r="AF691">
        <v>2</v>
      </c>
      <c r="AG691">
        <v>0</v>
      </c>
      <c r="AH691">
        <v>0</v>
      </c>
      <c r="AI691">
        <v>0</v>
      </c>
      <c r="AM691">
        <v>0</v>
      </c>
      <c r="AR691" t="s">
        <v>3042</v>
      </c>
      <c r="AS691" t="s">
        <v>1680</v>
      </c>
      <c r="AT691">
        <v>2025</v>
      </c>
      <c r="AU691">
        <v>4</v>
      </c>
      <c r="AV691" t="s">
        <v>78</v>
      </c>
      <c r="AX691" t="s">
        <v>3043</v>
      </c>
    </row>
    <row r="692" spans="1:50">
      <c r="A692">
        <v>2</v>
      </c>
      <c r="B692">
        <v>33</v>
      </c>
      <c r="C692" t="s">
        <v>74</v>
      </c>
      <c r="D692" t="s">
        <v>1353</v>
      </c>
      <c r="E692" t="s">
        <v>1354</v>
      </c>
      <c r="F692">
        <v>3906</v>
      </c>
      <c r="G692" s="23">
        <v>45748</v>
      </c>
      <c r="H692" s="2" t="s">
        <v>2963</v>
      </c>
      <c r="I692" s="2">
        <v>45661.612546296295</v>
      </c>
      <c r="K692" s="149">
        <v>0</v>
      </c>
      <c r="L692" s="149">
        <v>5102320</v>
      </c>
      <c r="M692" s="149">
        <v>969441</v>
      </c>
      <c r="N692" s="149">
        <v>6071761</v>
      </c>
      <c r="O692">
        <v>0</v>
      </c>
      <c r="P692">
        <v>0</v>
      </c>
      <c r="Q692">
        <v>0</v>
      </c>
      <c r="R692">
        <v>0</v>
      </c>
      <c r="S692">
        <v>0</v>
      </c>
      <c r="T692" t="s">
        <v>77</v>
      </c>
      <c r="U692">
        <v>0</v>
      </c>
      <c r="V692">
        <v>0</v>
      </c>
      <c r="W692">
        <v>0</v>
      </c>
      <c r="X692">
        <v>0</v>
      </c>
      <c r="Y692">
        <v>0</v>
      </c>
      <c r="AC692">
        <v>0</v>
      </c>
      <c r="AE692">
        <v>0</v>
      </c>
      <c r="AF692">
        <v>2</v>
      </c>
      <c r="AG692">
        <v>0</v>
      </c>
      <c r="AH692">
        <v>0</v>
      </c>
      <c r="AI692">
        <v>0</v>
      </c>
      <c r="AM692">
        <v>0</v>
      </c>
      <c r="AR692" t="s">
        <v>3042</v>
      </c>
      <c r="AS692" t="s">
        <v>1680</v>
      </c>
      <c r="AT692">
        <v>2025</v>
      </c>
      <c r="AU692">
        <v>4</v>
      </c>
      <c r="AV692" t="s">
        <v>78</v>
      </c>
      <c r="AX692" t="s">
        <v>3044</v>
      </c>
    </row>
    <row r="693" spans="1:50">
      <c r="A693">
        <v>3</v>
      </c>
      <c r="B693">
        <v>33</v>
      </c>
      <c r="C693" t="s">
        <v>74</v>
      </c>
      <c r="D693" t="s">
        <v>1222</v>
      </c>
      <c r="E693" t="s">
        <v>1223</v>
      </c>
      <c r="F693">
        <v>3908</v>
      </c>
      <c r="G693" s="23">
        <v>45750</v>
      </c>
      <c r="H693" s="2" t="s">
        <v>2964</v>
      </c>
      <c r="I693" s="2">
        <v>45751.992685185185</v>
      </c>
      <c r="K693" s="149">
        <v>0</v>
      </c>
      <c r="L693" s="149">
        <v>7188580</v>
      </c>
      <c r="M693" s="149">
        <v>1365831</v>
      </c>
      <c r="N693" s="149">
        <v>8554411</v>
      </c>
      <c r="O693">
        <v>0</v>
      </c>
      <c r="P693">
        <v>0</v>
      </c>
      <c r="Q693">
        <v>0</v>
      </c>
      <c r="R693">
        <v>0</v>
      </c>
      <c r="S693">
        <v>0</v>
      </c>
      <c r="T693" t="s">
        <v>77</v>
      </c>
      <c r="U693">
        <v>0</v>
      </c>
      <c r="V693">
        <v>0</v>
      </c>
      <c r="W693">
        <v>0</v>
      </c>
      <c r="X693">
        <v>0</v>
      </c>
      <c r="AC693">
        <v>0</v>
      </c>
      <c r="AE693">
        <v>0</v>
      </c>
      <c r="AF693">
        <v>2</v>
      </c>
      <c r="AG693">
        <v>0</v>
      </c>
      <c r="AH693">
        <v>0</v>
      </c>
      <c r="AI693">
        <v>0</v>
      </c>
      <c r="AM693">
        <v>0</v>
      </c>
      <c r="AR693" t="s">
        <v>3042</v>
      </c>
      <c r="AS693" t="s">
        <v>1680</v>
      </c>
      <c r="AT693">
        <v>2025</v>
      </c>
      <c r="AU693">
        <v>4</v>
      </c>
      <c r="AV693" t="s">
        <v>78</v>
      </c>
      <c r="AX693" t="s">
        <v>3045</v>
      </c>
    </row>
    <row r="694" spans="1:50">
      <c r="A694">
        <v>4</v>
      </c>
      <c r="B694">
        <v>33</v>
      </c>
      <c r="C694" t="s">
        <v>74</v>
      </c>
      <c r="D694" t="s">
        <v>1222</v>
      </c>
      <c r="E694" t="s">
        <v>1223</v>
      </c>
      <c r="F694">
        <v>3909</v>
      </c>
      <c r="G694" s="23">
        <v>45750</v>
      </c>
      <c r="H694" s="2" t="s">
        <v>2965</v>
      </c>
      <c r="I694" s="2">
        <v>45751.992685185185</v>
      </c>
      <c r="K694" s="149">
        <v>0</v>
      </c>
      <c r="L694" s="149">
        <v>15697640</v>
      </c>
      <c r="M694" s="149">
        <v>2982551</v>
      </c>
      <c r="N694" s="149">
        <v>18680191</v>
      </c>
      <c r="O694">
        <v>0</v>
      </c>
      <c r="P694">
        <v>0</v>
      </c>
      <c r="Q694">
        <v>0</v>
      </c>
      <c r="R694">
        <v>0</v>
      </c>
      <c r="S694">
        <v>0</v>
      </c>
      <c r="T694" t="s">
        <v>77</v>
      </c>
      <c r="U694">
        <v>0</v>
      </c>
      <c r="V694">
        <v>0</v>
      </c>
      <c r="W694">
        <v>0</v>
      </c>
      <c r="X694">
        <v>0</v>
      </c>
      <c r="AC694">
        <v>0</v>
      </c>
      <c r="AE694">
        <v>0</v>
      </c>
      <c r="AF694">
        <v>2</v>
      </c>
      <c r="AG694">
        <v>0</v>
      </c>
      <c r="AH694">
        <v>0</v>
      </c>
      <c r="AI694">
        <v>0</v>
      </c>
      <c r="AM694">
        <v>0</v>
      </c>
      <c r="AR694" t="s">
        <v>3042</v>
      </c>
      <c r="AS694" t="s">
        <v>1680</v>
      </c>
      <c r="AT694">
        <v>2025</v>
      </c>
      <c r="AU694">
        <v>4</v>
      </c>
      <c r="AV694" t="s">
        <v>78</v>
      </c>
      <c r="AX694" t="s">
        <v>3046</v>
      </c>
    </row>
    <row r="695" spans="1:50">
      <c r="A695">
        <v>5</v>
      </c>
      <c r="B695">
        <v>33</v>
      </c>
      <c r="C695" t="s">
        <v>74</v>
      </c>
      <c r="D695" t="s">
        <v>1564</v>
      </c>
      <c r="E695" t="s">
        <v>1565</v>
      </c>
      <c r="F695">
        <v>3910</v>
      </c>
      <c r="G695" s="23">
        <v>45749</v>
      </c>
      <c r="H695" s="2">
        <v>45661.481249999997</v>
      </c>
      <c r="I695" s="2"/>
      <c r="K695" s="149">
        <v>0</v>
      </c>
      <c r="L695" s="149">
        <v>271723</v>
      </c>
      <c r="M695" s="149">
        <v>51628</v>
      </c>
      <c r="N695" s="149">
        <v>323351</v>
      </c>
      <c r="O695">
        <v>0</v>
      </c>
      <c r="P695">
        <v>0</v>
      </c>
      <c r="Q695">
        <v>0</v>
      </c>
      <c r="R695">
        <v>0</v>
      </c>
      <c r="S695">
        <v>0</v>
      </c>
      <c r="T695" t="s">
        <v>77</v>
      </c>
      <c r="U695">
        <v>0</v>
      </c>
      <c r="V695">
        <v>0</v>
      </c>
      <c r="W695">
        <v>0</v>
      </c>
      <c r="X695">
        <v>0</v>
      </c>
      <c r="Y695">
        <v>0</v>
      </c>
      <c r="AC695">
        <v>0</v>
      </c>
      <c r="AE695">
        <v>0</v>
      </c>
      <c r="AF695">
        <v>2</v>
      </c>
      <c r="AG695">
        <v>0</v>
      </c>
      <c r="AH695">
        <v>0</v>
      </c>
      <c r="AI695">
        <v>0</v>
      </c>
      <c r="AM695">
        <v>0</v>
      </c>
      <c r="AR695" t="s">
        <v>3042</v>
      </c>
      <c r="AS695" t="s">
        <v>1680</v>
      </c>
      <c r="AT695">
        <v>2025</v>
      </c>
      <c r="AU695">
        <v>4</v>
      </c>
      <c r="AV695" t="s">
        <v>78</v>
      </c>
      <c r="AX695" t="s">
        <v>3047</v>
      </c>
    </row>
    <row r="696" spans="1:50">
      <c r="A696">
        <v>6</v>
      </c>
      <c r="B696">
        <v>33</v>
      </c>
      <c r="C696" t="s">
        <v>74</v>
      </c>
      <c r="D696" t="s">
        <v>1581</v>
      </c>
      <c r="E696" t="s">
        <v>1582</v>
      </c>
      <c r="F696">
        <v>3911</v>
      </c>
      <c r="G696" s="23">
        <v>45750</v>
      </c>
      <c r="H696" s="2">
        <v>45661.491412037038</v>
      </c>
      <c r="I696" s="2">
        <v>45751.535763888889</v>
      </c>
      <c r="K696" s="149">
        <v>0</v>
      </c>
      <c r="L696" s="149">
        <v>1111000</v>
      </c>
      <c r="M696" s="149">
        <v>211090</v>
      </c>
      <c r="N696" s="149">
        <v>1322090</v>
      </c>
      <c r="O696">
        <v>0</v>
      </c>
      <c r="P696">
        <v>0</v>
      </c>
      <c r="Q696">
        <v>0</v>
      </c>
      <c r="R696">
        <v>0</v>
      </c>
      <c r="S696">
        <v>0</v>
      </c>
      <c r="T696" t="s">
        <v>77</v>
      </c>
      <c r="U696">
        <v>0</v>
      </c>
      <c r="V696">
        <v>0</v>
      </c>
      <c r="W696">
        <v>0</v>
      </c>
      <c r="X696">
        <v>0</v>
      </c>
      <c r="Y696">
        <v>0</v>
      </c>
      <c r="AC696">
        <v>0</v>
      </c>
      <c r="AE696">
        <v>0</v>
      </c>
      <c r="AF696">
        <v>2</v>
      </c>
      <c r="AG696">
        <v>0</v>
      </c>
      <c r="AH696">
        <v>0</v>
      </c>
      <c r="AI696">
        <v>0</v>
      </c>
      <c r="AM696">
        <v>0</v>
      </c>
      <c r="AR696" t="s">
        <v>3042</v>
      </c>
      <c r="AS696" t="s">
        <v>1680</v>
      </c>
      <c r="AT696">
        <v>2025</v>
      </c>
      <c r="AU696">
        <v>4</v>
      </c>
      <c r="AV696" t="s">
        <v>78</v>
      </c>
      <c r="AX696" t="s">
        <v>3048</v>
      </c>
    </row>
    <row r="697" spans="1:50">
      <c r="A697">
        <v>7</v>
      </c>
      <c r="B697">
        <v>33</v>
      </c>
      <c r="C697" t="s">
        <v>74</v>
      </c>
      <c r="D697" t="s">
        <v>1579</v>
      </c>
      <c r="E697" t="s">
        <v>1580</v>
      </c>
      <c r="F697">
        <v>3912</v>
      </c>
      <c r="G697" s="23">
        <v>45752</v>
      </c>
      <c r="H697" s="2">
        <v>45692.489270833335</v>
      </c>
      <c r="I697" s="2">
        <v>45873.751875000002</v>
      </c>
      <c r="K697" s="149">
        <v>0</v>
      </c>
      <c r="L697" s="149">
        <v>12532080</v>
      </c>
      <c r="M697" s="149">
        <v>2381095</v>
      </c>
      <c r="N697" s="149">
        <v>14913175</v>
      </c>
      <c r="O697">
        <v>0</v>
      </c>
      <c r="P697">
        <v>0</v>
      </c>
      <c r="Q697">
        <v>0</v>
      </c>
      <c r="R697">
        <v>0</v>
      </c>
      <c r="S697">
        <v>0</v>
      </c>
      <c r="T697" t="s">
        <v>77</v>
      </c>
      <c r="U697">
        <v>0</v>
      </c>
      <c r="V697">
        <v>0</v>
      </c>
      <c r="W697">
        <v>0</v>
      </c>
      <c r="X697">
        <v>0</v>
      </c>
      <c r="AC697">
        <v>0</v>
      </c>
      <c r="AE697">
        <v>0</v>
      </c>
      <c r="AF697">
        <v>2</v>
      </c>
      <c r="AG697">
        <v>0</v>
      </c>
      <c r="AH697">
        <v>0</v>
      </c>
      <c r="AI697">
        <v>0</v>
      </c>
      <c r="AM697">
        <v>0</v>
      </c>
      <c r="AR697" t="s">
        <v>3042</v>
      </c>
      <c r="AS697" t="s">
        <v>1680</v>
      </c>
      <c r="AT697">
        <v>2025</v>
      </c>
      <c r="AU697">
        <v>4</v>
      </c>
      <c r="AV697" t="s">
        <v>78</v>
      </c>
      <c r="AX697" t="s">
        <v>3049</v>
      </c>
    </row>
    <row r="698" spans="1:50">
      <c r="A698">
        <v>8</v>
      </c>
      <c r="B698">
        <v>33</v>
      </c>
      <c r="C698" t="s">
        <v>74</v>
      </c>
      <c r="D698" t="s">
        <v>1579</v>
      </c>
      <c r="E698" t="s">
        <v>1580</v>
      </c>
      <c r="F698">
        <v>3913</v>
      </c>
      <c r="G698" s="23">
        <v>45752</v>
      </c>
      <c r="H698" s="2">
        <v>45692.501886574071</v>
      </c>
      <c r="I698" s="2">
        <v>45873.751875000002</v>
      </c>
      <c r="K698" s="149">
        <v>0</v>
      </c>
      <c r="L698" s="149">
        <v>26796</v>
      </c>
      <c r="M698" s="149">
        <v>5091</v>
      </c>
      <c r="N698" s="149">
        <v>31887</v>
      </c>
      <c r="O698">
        <v>0</v>
      </c>
      <c r="P698">
        <v>0</v>
      </c>
      <c r="Q698">
        <v>0</v>
      </c>
      <c r="R698">
        <v>0</v>
      </c>
      <c r="S698">
        <v>0</v>
      </c>
      <c r="T698" t="s">
        <v>77</v>
      </c>
      <c r="U698">
        <v>0</v>
      </c>
      <c r="V698">
        <v>0</v>
      </c>
      <c r="W698">
        <v>0</v>
      </c>
      <c r="X698">
        <v>0</v>
      </c>
      <c r="Y698">
        <v>0</v>
      </c>
      <c r="AC698">
        <v>0</v>
      </c>
      <c r="AE698">
        <v>0</v>
      </c>
      <c r="AF698">
        <v>2</v>
      </c>
      <c r="AG698">
        <v>0</v>
      </c>
      <c r="AH698">
        <v>0</v>
      </c>
      <c r="AI698">
        <v>0</v>
      </c>
      <c r="AM698">
        <v>0</v>
      </c>
      <c r="AR698" t="s">
        <v>3042</v>
      </c>
      <c r="AS698" t="s">
        <v>1680</v>
      </c>
      <c r="AT698">
        <v>2025</v>
      </c>
      <c r="AU698">
        <v>4</v>
      </c>
      <c r="AV698" t="s">
        <v>78</v>
      </c>
      <c r="AX698" t="s">
        <v>3050</v>
      </c>
    </row>
    <row r="699" spans="1:50">
      <c r="A699">
        <v>9</v>
      </c>
      <c r="B699">
        <v>33</v>
      </c>
      <c r="C699" t="s">
        <v>74</v>
      </c>
      <c r="D699" t="s">
        <v>1564</v>
      </c>
      <c r="E699" t="s">
        <v>1565</v>
      </c>
      <c r="F699">
        <v>3914</v>
      </c>
      <c r="G699" s="23">
        <v>45755</v>
      </c>
      <c r="H699" s="2">
        <v>45720.431261574071</v>
      </c>
      <c r="I699" s="2"/>
      <c r="K699" s="149">
        <v>0</v>
      </c>
      <c r="L699" s="149">
        <v>599906</v>
      </c>
      <c r="M699" s="149">
        <v>113982</v>
      </c>
      <c r="N699" s="149">
        <v>713888</v>
      </c>
      <c r="O699">
        <v>0</v>
      </c>
      <c r="P699">
        <v>0</v>
      </c>
      <c r="Q699">
        <v>0</v>
      </c>
      <c r="R699">
        <v>0</v>
      </c>
      <c r="S699">
        <v>0</v>
      </c>
      <c r="T699" t="s">
        <v>77</v>
      </c>
      <c r="U699">
        <v>0</v>
      </c>
      <c r="V699">
        <v>0</v>
      </c>
      <c r="W699">
        <v>0</v>
      </c>
      <c r="X699">
        <v>0</v>
      </c>
      <c r="AC699">
        <v>0</v>
      </c>
      <c r="AE699">
        <v>0</v>
      </c>
      <c r="AF699">
        <v>2</v>
      </c>
      <c r="AG699">
        <v>0</v>
      </c>
      <c r="AH699">
        <v>0</v>
      </c>
      <c r="AI699">
        <v>0</v>
      </c>
      <c r="AM699">
        <v>0</v>
      </c>
      <c r="AR699" t="s">
        <v>3042</v>
      </c>
      <c r="AS699" t="s">
        <v>1680</v>
      </c>
      <c r="AT699">
        <v>2025</v>
      </c>
      <c r="AU699">
        <v>4</v>
      </c>
      <c r="AV699" t="s">
        <v>78</v>
      </c>
      <c r="AX699" t="s">
        <v>3051</v>
      </c>
    </row>
    <row r="700" spans="1:50">
      <c r="A700">
        <v>10</v>
      </c>
      <c r="B700">
        <v>33</v>
      </c>
      <c r="C700" t="s">
        <v>74</v>
      </c>
      <c r="D700" t="s">
        <v>1222</v>
      </c>
      <c r="E700" t="s">
        <v>1223</v>
      </c>
      <c r="F700">
        <v>3915</v>
      </c>
      <c r="G700" s="23">
        <v>45754</v>
      </c>
      <c r="H700" s="2">
        <v>45720.449988425928</v>
      </c>
      <c r="I700" s="2">
        <v>45904.769178240742</v>
      </c>
      <c r="K700" s="149">
        <v>0</v>
      </c>
      <c r="L700" s="149">
        <v>15598580</v>
      </c>
      <c r="M700" s="149">
        <v>2963730</v>
      </c>
      <c r="N700" s="149">
        <v>18562310</v>
      </c>
      <c r="O700">
        <v>0</v>
      </c>
      <c r="P700">
        <v>0</v>
      </c>
      <c r="Q700">
        <v>0</v>
      </c>
      <c r="R700">
        <v>0</v>
      </c>
      <c r="S700">
        <v>0</v>
      </c>
      <c r="T700" t="s">
        <v>77</v>
      </c>
      <c r="U700">
        <v>0</v>
      </c>
      <c r="V700">
        <v>0</v>
      </c>
      <c r="W700">
        <v>0</v>
      </c>
      <c r="X700">
        <v>0</v>
      </c>
      <c r="AC700">
        <v>0</v>
      </c>
      <c r="AE700">
        <v>0</v>
      </c>
      <c r="AF700">
        <v>2</v>
      </c>
      <c r="AG700">
        <v>0</v>
      </c>
      <c r="AH700">
        <v>0</v>
      </c>
      <c r="AI700">
        <v>0</v>
      </c>
      <c r="AM700">
        <v>0</v>
      </c>
      <c r="AR700" t="s">
        <v>3042</v>
      </c>
      <c r="AS700" t="s">
        <v>1680</v>
      </c>
      <c r="AT700">
        <v>2025</v>
      </c>
      <c r="AU700">
        <v>4</v>
      </c>
      <c r="AV700" t="s">
        <v>78</v>
      </c>
      <c r="AX700" t="s">
        <v>3052</v>
      </c>
    </row>
    <row r="701" spans="1:50">
      <c r="A701">
        <v>11</v>
      </c>
      <c r="B701">
        <v>33</v>
      </c>
      <c r="C701" t="s">
        <v>74</v>
      </c>
      <c r="D701" t="s">
        <v>1567</v>
      </c>
      <c r="E701" t="s">
        <v>1568</v>
      </c>
      <c r="F701">
        <v>3916</v>
      </c>
      <c r="G701" s="23">
        <v>45755</v>
      </c>
      <c r="H701" s="2">
        <v>45842.490439814814</v>
      </c>
      <c r="I701" s="2">
        <v>45842.579594907409</v>
      </c>
      <c r="K701" s="149">
        <v>0</v>
      </c>
      <c r="L701" s="149">
        <v>917660</v>
      </c>
      <c r="M701" s="149">
        <v>174355</v>
      </c>
      <c r="N701" s="149">
        <v>1092015</v>
      </c>
      <c r="O701">
        <v>0</v>
      </c>
      <c r="P701">
        <v>0</v>
      </c>
      <c r="Q701">
        <v>0</v>
      </c>
      <c r="R701">
        <v>0</v>
      </c>
      <c r="S701">
        <v>0</v>
      </c>
      <c r="T701" t="s">
        <v>77</v>
      </c>
      <c r="U701">
        <v>0</v>
      </c>
      <c r="V701">
        <v>0</v>
      </c>
      <c r="W701">
        <v>0</v>
      </c>
      <c r="X701">
        <v>0</v>
      </c>
      <c r="Y701">
        <v>0</v>
      </c>
      <c r="AC701">
        <v>0</v>
      </c>
      <c r="AE701">
        <v>0</v>
      </c>
      <c r="AF701">
        <v>2</v>
      </c>
      <c r="AG701">
        <v>0</v>
      </c>
      <c r="AH701">
        <v>0</v>
      </c>
      <c r="AI701">
        <v>0</v>
      </c>
      <c r="AM701">
        <v>0</v>
      </c>
      <c r="AR701" t="s">
        <v>3042</v>
      </c>
      <c r="AS701" t="s">
        <v>1680</v>
      </c>
      <c r="AT701">
        <v>2025</v>
      </c>
      <c r="AU701">
        <v>4</v>
      </c>
      <c r="AV701" t="s">
        <v>78</v>
      </c>
      <c r="AX701" t="s">
        <v>3053</v>
      </c>
    </row>
    <row r="702" spans="1:50">
      <c r="A702">
        <v>12</v>
      </c>
      <c r="B702">
        <v>33</v>
      </c>
      <c r="C702" t="s">
        <v>74</v>
      </c>
      <c r="D702" t="s">
        <v>1592</v>
      </c>
      <c r="E702" t="s">
        <v>1593</v>
      </c>
      <c r="F702">
        <v>3917</v>
      </c>
      <c r="G702" s="23">
        <v>45755</v>
      </c>
      <c r="H702" s="2">
        <v>45842.492407407408</v>
      </c>
      <c r="K702" s="149">
        <v>0</v>
      </c>
      <c r="L702" s="149">
        <v>200981</v>
      </c>
      <c r="M702" s="149">
        <v>38186</v>
      </c>
      <c r="N702" s="149">
        <v>239167</v>
      </c>
      <c r="O702">
        <v>0</v>
      </c>
      <c r="P702">
        <v>0</v>
      </c>
      <c r="Q702">
        <v>0</v>
      </c>
      <c r="R702">
        <v>0</v>
      </c>
      <c r="S702">
        <v>0</v>
      </c>
      <c r="T702" t="s">
        <v>77</v>
      </c>
      <c r="U702">
        <v>0</v>
      </c>
      <c r="V702">
        <v>0</v>
      </c>
      <c r="W702">
        <v>0</v>
      </c>
      <c r="X702">
        <v>0</v>
      </c>
      <c r="Y702">
        <v>0</v>
      </c>
      <c r="AC702">
        <v>0</v>
      </c>
      <c r="AE702">
        <v>0</v>
      </c>
      <c r="AF702">
        <v>2</v>
      </c>
      <c r="AG702">
        <v>0</v>
      </c>
      <c r="AH702">
        <v>0</v>
      </c>
      <c r="AI702">
        <v>0</v>
      </c>
      <c r="AM702">
        <v>0</v>
      </c>
      <c r="AR702" t="s">
        <v>3042</v>
      </c>
      <c r="AS702" t="s">
        <v>1680</v>
      </c>
      <c r="AT702">
        <v>2025</v>
      </c>
      <c r="AU702">
        <v>4</v>
      </c>
      <c r="AV702" t="s">
        <v>78</v>
      </c>
      <c r="AX702" t="s">
        <v>3054</v>
      </c>
    </row>
    <row r="703" spans="1:50">
      <c r="A703">
        <v>13</v>
      </c>
      <c r="B703">
        <v>33</v>
      </c>
      <c r="C703" t="s">
        <v>74</v>
      </c>
      <c r="D703" t="s">
        <v>1353</v>
      </c>
      <c r="E703" t="s">
        <v>1354</v>
      </c>
      <c r="F703">
        <v>3918</v>
      </c>
      <c r="G703" s="23">
        <v>45755</v>
      </c>
      <c r="H703" s="2">
        <v>45842.61681712963</v>
      </c>
      <c r="I703" s="2">
        <v>45873.58053240741</v>
      </c>
      <c r="K703" s="149">
        <v>0</v>
      </c>
      <c r="L703" s="149">
        <v>4734525</v>
      </c>
      <c r="M703" s="149">
        <v>899560</v>
      </c>
      <c r="N703" s="149">
        <v>5634085</v>
      </c>
      <c r="O703">
        <v>0</v>
      </c>
      <c r="P703">
        <v>0</v>
      </c>
      <c r="Q703">
        <v>0</v>
      </c>
      <c r="R703">
        <v>0</v>
      </c>
      <c r="S703">
        <v>0</v>
      </c>
      <c r="T703" t="s">
        <v>77</v>
      </c>
      <c r="U703">
        <v>0</v>
      </c>
      <c r="V703">
        <v>0</v>
      </c>
      <c r="W703">
        <v>0</v>
      </c>
      <c r="X703">
        <v>0</v>
      </c>
      <c r="Y703">
        <v>0</v>
      </c>
      <c r="AC703">
        <v>0</v>
      </c>
      <c r="AE703">
        <v>0</v>
      </c>
      <c r="AF703">
        <v>2</v>
      </c>
      <c r="AG703">
        <v>0</v>
      </c>
      <c r="AH703">
        <v>0</v>
      </c>
      <c r="AI703">
        <v>0</v>
      </c>
      <c r="AM703">
        <v>0</v>
      </c>
      <c r="AR703" t="s">
        <v>3042</v>
      </c>
      <c r="AS703" t="s">
        <v>1680</v>
      </c>
      <c r="AT703">
        <v>2025</v>
      </c>
      <c r="AU703">
        <v>4</v>
      </c>
      <c r="AV703" t="s">
        <v>78</v>
      </c>
      <c r="AX703" t="s">
        <v>3055</v>
      </c>
    </row>
    <row r="704" spans="1:50">
      <c r="A704">
        <v>14</v>
      </c>
      <c r="B704">
        <v>33</v>
      </c>
      <c r="C704" t="s">
        <v>74</v>
      </c>
      <c r="D704" t="s">
        <v>1785</v>
      </c>
      <c r="E704" t="s">
        <v>1786</v>
      </c>
      <c r="F704">
        <v>3919</v>
      </c>
      <c r="G704" s="23">
        <v>45757</v>
      </c>
      <c r="H704" s="2">
        <v>45842.628784722219</v>
      </c>
      <c r="I704" s="2"/>
      <c r="K704" s="149">
        <v>0</v>
      </c>
      <c r="L704" s="149">
        <v>232306</v>
      </c>
      <c r="M704" s="149">
        <v>44137</v>
      </c>
      <c r="N704" s="149">
        <v>276443</v>
      </c>
      <c r="O704">
        <v>0</v>
      </c>
      <c r="P704">
        <v>0</v>
      </c>
      <c r="Q704">
        <v>0</v>
      </c>
      <c r="R704">
        <v>0</v>
      </c>
      <c r="S704">
        <v>0</v>
      </c>
      <c r="T704" t="s">
        <v>77</v>
      </c>
      <c r="U704">
        <v>0</v>
      </c>
      <c r="V704">
        <v>0</v>
      </c>
      <c r="W704">
        <v>0</v>
      </c>
      <c r="X704">
        <v>0</v>
      </c>
      <c r="Y704">
        <v>0</v>
      </c>
      <c r="AC704">
        <v>0</v>
      </c>
      <c r="AE704">
        <v>0</v>
      </c>
      <c r="AF704">
        <v>2</v>
      </c>
      <c r="AG704">
        <v>0</v>
      </c>
      <c r="AH704">
        <v>0</v>
      </c>
      <c r="AI704">
        <v>0</v>
      </c>
      <c r="AM704">
        <v>0</v>
      </c>
      <c r="AR704" t="s">
        <v>3042</v>
      </c>
      <c r="AS704" t="s">
        <v>1680</v>
      </c>
      <c r="AT704">
        <v>2025</v>
      </c>
      <c r="AU704">
        <v>4</v>
      </c>
      <c r="AV704" t="s">
        <v>78</v>
      </c>
      <c r="AX704" t="s">
        <v>3056</v>
      </c>
    </row>
    <row r="705" spans="1:50">
      <c r="A705">
        <v>15</v>
      </c>
      <c r="B705">
        <v>33</v>
      </c>
      <c r="C705" t="s">
        <v>74</v>
      </c>
      <c r="D705" t="s">
        <v>2166</v>
      </c>
      <c r="E705" t="s">
        <v>2167</v>
      </c>
      <c r="F705">
        <v>3920</v>
      </c>
      <c r="G705" s="23">
        <v>45757</v>
      </c>
      <c r="H705" s="2">
        <v>45873.473541666666</v>
      </c>
      <c r="I705" s="2"/>
      <c r="K705" s="149">
        <v>0</v>
      </c>
      <c r="L705" s="149">
        <v>228500</v>
      </c>
      <c r="M705" s="149">
        <v>43415</v>
      </c>
      <c r="N705" s="149">
        <v>271915</v>
      </c>
      <c r="O705">
        <v>0</v>
      </c>
      <c r="P705">
        <v>0</v>
      </c>
      <c r="Q705">
        <v>0</v>
      </c>
      <c r="R705">
        <v>0</v>
      </c>
      <c r="S705">
        <v>0</v>
      </c>
      <c r="T705" t="s">
        <v>77</v>
      </c>
      <c r="U705">
        <v>0</v>
      </c>
      <c r="V705">
        <v>0</v>
      </c>
      <c r="W705">
        <v>0</v>
      </c>
      <c r="X705">
        <v>0</v>
      </c>
      <c r="Y705">
        <v>0</v>
      </c>
      <c r="AC705">
        <v>0</v>
      </c>
      <c r="AE705">
        <v>0</v>
      </c>
      <c r="AF705">
        <v>2</v>
      </c>
      <c r="AG705">
        <v>0</v>
      </c>
      <c r="AH705">
        <v>0</v>
      </c>
      <c r="AI705">
        <v>0</v>
      </c>
      <c r="AM705">
        <v>0</v>
      </c>
      <c r="AR705" t="s">
        <v>3042</v>
      </c>
      <c r="AS705" t="s">
        <v>1680</v>
      </c>
      <c r="AT705">
        <v>2025</v>
      </c>
      <c r="AU705">
        <v>4</v>
      </c>
      <c r="AV705" t="s">
        <v>78</v>
      </c>
      <c r="AX705" t="s">
        <v>3057</v>
      </c>
    </row>
    <row r="706" spans="1:50">
      <c r="A706">
        <v>16</v>
      </c>
      <c r="B706">
        <v>33</v>
      </c>
      <c r="C706" t="s">
        <v>74</v>
      </c>
      <c r="D706" t="s">
        <v>1564</v>
      </c>
      <c r="E706" t="s">
        <v>1565</v>
      </c>
      <c r="F706">
        <v>3921</v>
      </c>
      <c r="G706" s="23">
        <v>45757</v>
      </c>
      <c r="H706" s="2">
        <v>45873.653067129628</v>
      </c>
      <c r="K706" s="149">
        <v>0</v>
      </c>
      <c r="L706" s="149">
        <v>532869</v>
      </c>
      <c r="M706" s="149">
        <v>101244</v>
      </c>
      <c r="N706" s="149">
        <v>634113</v>
      </c>
      <c r="O706">
        <v>0</v>
      </c>
      <c r="P706">
        <v>0</v>
      </c>
      <c r="Q706">
        <v>0</v>
      </c>
      <c r="R706">
        <v>0</v>
      </c>
      <c r="S706">
        <v>0</v>
      </c>
      <c r="T706" t="s">
        <v>77</v>
      </c>
      <c r="U706">
        <v>0</v>
      </c>
      <c r="V706">
        <v>0</v>
      </c>
      <c r="W706">
        <v>0</v>
      </c>
      <c r="X706">
        <v>0</v>
      </c>
      <c r="Y706">
        <v>0</v>
      </c>
      <c r="AC706">
        <v>0</v>
      </c>
      <c r="AE706">
        <v>0</v>
      </c>
      <c r="AF706">
        <v>2</v>
      </c>
      <c r="AG706">
        <v>0</v>
      </c>
      <c r="AH706">
        <v>0</v>
      </c>
      <c r="AI706">
        <v>0</v>
      </c>
      <c r="AM706">
        <v>0</v>
      </c>
      <c r="AR706" t="s">
        <v>3042</v>
      </c>
      <c r="AS706" t="s">
        <v>1680</v>
      </c>
      <c r="AT706">
        <v>2025</v>
      </c>
      <c r="AU706">
        <v>4</v>
      </c>
      <c r="AV706" t="s">
        <v>78</v>
      </c>
      <c r="AX706" t="s">
        <v>3058</v>
      </c>
    </row>
    <row r="707" spans="1:50">
      <c r="A707">
        <v>17</v>
      </c>
      <c r="B707">
        <v>33</v>
      </c>
      <c r="C707" t="s">
        <v>74</v>
      </c>
      <c r="D707" t="s">
        <v>1573</v>
      </c>
      <c r="E707" t="s">
        <v>1574</v>
      </c>
      <c r="F707">
        <v>3922</v>
      </c>
      <c r="G707" s="23">
        <v>45757</v>
      </c>
      <c r="H707" s="2">
        <v>45873.686701388891</v>
      </c>
      <c r="I707" s="2"/>
      <c r="J707" s="2"/>
      <c r="K707" s="149">
        <v>0</v>
      </c>
      <c r="L707" s="149">
        <v>498932</v>
      </c>
      <c r="M707" s="149">
        <v>94797</v>
      </c>
      <c r="N707" s="149">
        <v>593729</v>
      </c>
      <c r="O707">
        <v>0</v>
      </c>
      <c r="P707">
        <v>0</v>
      </c>
      <c r="Q707">
        <v>0</v>
      </c>
      <c r="R707">
        <v>0</v>
      </c>
      <c r="S707">
        <v>0</v>
      </c>
      <c r="T707" t="s">
        <v>77</v>
      </c>
      <c r="U707">
        <v>0</v>
      </c>
      <c r="V707">
        <v>0</v>
      </c>
      <c r="W707">
        <v>0</v>
      </c>
      <c r="X707">
        <v>0</v>
      </c>
      <c r="Y707">
        <v>0</v>
      </c>
      <c r="AC707">
        <v>0</v>
      </c>
      <c r="AE707">
        <v>0</v>
      </c>
      <c r="AF707">
        <v>2</v>
      </c>
      <c r="AG707">
        <v>0</v>
      </c>
      <c r="AH707">
        <v>0</v>
      </c>
      <c r="AI707">
        <v>0</v>
      </c>
      <c r="AM707">
        <v>0</v>
      </c>
      <c r="AR707" t="s">
        <v>3042</v>
      </c>
      <c r="AS707" t="s">
        <v>1680</v>
      </c>
      <c r="AT707">
        <v>2025</v>
      </c>
      <c r="AU707">
        <v>4</v>
      </c>
      <c r="AV707" t="s">
        <v>78</v>
      </c>
      <c r="AX707" t="s">
        <v>3059</v>
      </c>
    </row>
    <row r="708" spans="1:50">
      <c r="A708">
        <v>18</v>
      </c>
      <c r="B708">
        <v>33</v>
      </c>
      <c r="C708" t="s">
        <v>74</v>
      </c>
      <c r="D708" t="s">
        <v>1222</v>
      </c>
      <c r="E708" t="s">
        <v>1223</v>
      </c>
      <c r="F708">
        <v>3923</v>
      </c>
      <c r="G708" s="23">
        <v>45757</v>
      </c>
      <c r="H708" s="2">
        <v>45873.705891203703</v>
      </c>
      <c r="I708" s="2" t="s">
        <v>2966</v>
      </c>
      <c r="J708" s="2"/>
      <c r="K708" s="149">
        <v>0</v>
      </c>
      <c r="L708" s="149">
        <v>11362260</v>
      </c>
      <c r="M708" s="149">
        <v>2158829</v>
      </c>
      <c r="N708" s="149">
        <v>13521089</v>
      </c>
      <c r="O708">
        <v>0</v>
      </c>
      <c r="P708">
        <v>0</v>
      </c>
      <c r="Q708">
        <v>0</v>
      </c>
      <c r="R708">
        <v>0</v>
      </c>
      <c r="S708">
        <v>0</v>
      </c>
      <c r="T708" t="s">
        <v>77</v>
      </c>
      <c r="U708">
        <v>0</v>
      </c>
      <c r="V708">
        <v>0</v>
      </c>
      <c r="W708">
        <v>0</v>
      </c>
      <c r="X708">
        <v>0</v>
      </c>
      <c r="AC708">
        <v>0</v>
      </c>
      <c r="AE708">
        <v>0</v>
      </c>
      <c r="AF708">
        <v>2</v>
      </c>
      <c r="AG708">
        <v>0</v>
      </c>
      <c r="AH708">
        <v>0</v>
      </c>
      <c r="AI708">
        <v>0</v>
      </c>
      <c r="AM708">
        <v>0</v>
      </c>
      <c r="AR708" t="s">
        <v>3042</v>
      </c>
      <c r="AS708" t="s">
        <v>1680</v>
      </c>
      <c r="AT708">
        <v>2025</v>
      </c>
      <c r="AU708">
        <v>4</v>
      </c>
      <c r="AV708" t="s">
        <v>78</v>
      </c>
      <c r="AX708" t="s">
        <v>3060</v>
      </c>
    </row>
    <row r="709" spans="1:50">
      <c r="A709">
        <v>19</v>
      </c>
      <c r="B709">
        <v>33</v>
      </c>
      <c r="C709" t="s">
        <v>74</v>
      </c>
      <c r="D709" t="s">
        <v>1222</v>
      </c>
      <c r="E709" t="s">
        <v>1223</v>
      </c>
      <c r="F709">
        <v>3924</v>
      </c>
      <c r="G709" s="23">
        <v>45757</v>
      </c>
      <c r="H709" s="2">
        <v>45873.718831018516</v>
      </c>
      <c r="I709" t="s">
        <v>2966</v>
      </c>
      <c r="K709" s="149">
        <v>0</v>
      </c>
      <c r="L709" s="149">
        <v>5492690</v>
      </c>
      <c r="M709" s="149">
        <v>1043610</v>
      </c>
      <c r="N709" s="149">
        <v>6536300</v>
      </c>
      <c r="O709">
        <v>0</v>
      </c>
      <c r="P709">
        <v>0</v>
      </c>
      <c r="Q709">
        <v>0</v>
      </c>
      <c r="R709">
        <v>0</v>
      </c>
      <c r="S709">
        <v>0</v>
      </c>
      <c r="T709" t="s">
        <v>77</v>
      </c>
      <c r="U709">
        <v>0</v>
      </c>
      <c r="V709">
        <v>0</v>
      </c>
      <c r="W709">
        <v>0</v>
      </c>
      <c r="X709">
        <v>0</v>
      </c>
      <c r="AC709">
        <v>0</v>
      </c>
      <c r="AE709">
        <v>0</v>
      </c>
      <c r="AF709">
        <v>2</v>
      </c>
      <c r="AG709">
        <v>0</v>
      </c>
      <c r="AH709">
        <v>0</v>
      </c>
      <c r="AI709">
        <v>0</v>
      </c>
      <c r="AM709">
        <v>0</v>
      </c>
      <c r="AR709" t="s">
        <v>3042</v>
      </c>
      <c r="AS709" t="s">
        <v>1680</v>
      </c>
      <c r="AT709">
        <v>2025</v>
      </c>
      <c r="AU709">
        <v>4</v>
      </c>
      <c r="AV709" t="s">
        <v>78</v>
      </c>
      <c r="AX709" t="s">
        <v>3061</v>
      </c>
    </row>
    <row r="710" spans="1:50">
      <c r="A710">
        <v>20</v>
      </c>
      <c r="B710">
        <v>33</v>
      </c>
      <c r="C710" t="s">
        <v>74</v>
      </c>
      <c r="D710" t="s">
        <v>2329</v>
      </c>
      <c r="E710" t="s">
        <v>2330</v>
      </c>
      <c r="F710">
        <v>3925</v>
      </c>
      <c r="G710" s="23">
        <v>45757</v>
      </c>
      <c r="H710" s="2">
        <v>45873.730069444442</v>
      </c>
      <c r="I710" s="2">
        <v>45965.674317129633</v>
      </c>
      <c r="K710" s="149">
        <v>0</v>
      </c>
      <c r="L710" s="149">
        <v>280000</v>
      </c>
      <c r="M710" s="149">
        <v>53200</v>
      </c>
      <c r="N710" s="149">
        <v>333200</v>
      </c>
      <c r="O710">
        <v>0</v>
      </c>
      <c r="P710">
        <v>0</v>
      </c>
      <c r="Q710">
        <v>0</v>
      </c>
      <c r="R710">
        <v>0</v>
      </c>
      <c r="S710">
        <v>0</v>
      </c>
      <c r="T710" t="s">
        <v>77</v>
      </c>
      <c r="U710">
        <v>0</v>
      </c>
      <c r="V710">
        <v>0</v>
      </c>
      <c r="W710">
        <v>0</v>
      </c>
      <c r="X710">
        <v>0</v>
      </c>
      <c r="Y710">
        <v>0</v>
      </c>
      <c r="AC710">
        <v>0</v>
      </c>
      <c r="AE710">
        <v>0</v>
      </c>
      <c r="AF710">
        <v>2</v>
      </c>
      <c r="AG710">
        <v>0</v>
      </c>
      <c r="AH710">
        <v>0</v>
      </c>
      <c r="AI710">
        <v>0</v>
      </c>
      <c r="AM710">
        <v>0</v>
      </c>
      <c r="AR710" t="s">
        <v>3042</v>
      </c>
      <c r="AS710" t="s">
        <v>1680</v>
      </c>
      <c r="AT710">
        <v>2025</v>
      </c>
      <c r="AU710">
        <v>4</v>
      </c>
      <c r="AV710" t="s">
        <v>78</v>
      </c>
      <c r="AX710" t="s">
        <v>3062</v>
      </c>
    </row>
    <row r="711" spans="1:50">
      <c r="A711">
        <v>21</v>
      </c>
      <c r="B711">
        <v>33</v>
      </c>
      <c r="C711" t="s">
        <v>74</v>
      </c>
      <c r="D711" t="s">
        <v>1569</v>
      </c>
      <c r="E711" t="s">
        <v>1570</v>
      </c>
      <c r="F711">
        <v>3928</v>
      </c>
      <c r="G711" s="23">
        <v>45757</v>
      </c>
      <c r="H711" s="2">
        <v>45904.549189814818</v>
      </c>
      <c r="I711" t="s">
        <v>2967</v>
      </c>
      <c r="K711" s="149">
        <v>0</v>
      </c>
      <c r="L711" s="149">
        <v>304555</v>
      </c>
      <c r="M711" s="149">
        <v>57865</v>
      </c>
      <c r="N711" s="149">
        <v>362420</v>
      </c>
      <c r="O711">
        <v>0</v>
      </c>
      <c r="P711">
        <v>0</v>
      </c>
      <c r="Q711">
        <v>0</v>
      </c>
      <c r="R711">
        <v>0</v>
      </c>
      <c r="S711">
        <v>0</v>
      </c>
      <c r="T711" t="s">
        <v>77</v>
      </c>
      <c r="U711">
        <v>0</v>
      </c>
      <c r="V711">
        <v>0</v>
      </c>
      <c r="W711">
        <v>0</v>
      </c>
      <c r="X711">
        <v>0</v>
      </c>
      <c r="Y711">
        <v>0</v>
      </c>
      <c r="AC711">
        <v>0</v>
      </c>
      <c r="AE711">
        <v>0</v>
      </c>
      <c r="AF711">
        <v>2</v>
      </c>
      <c r="AG711">
        <v>0</v>
      </c>
      <c r="AH711">
        <v>0</v>
      </c>
      <c r="AI711">
        <v>0</v>
      </c>
      <c r="AM711">
        <v>0</v>
      </c>
      <c r="AR711" t="s">
        <v>3042</v>
      </c>
      <c r="AS711" t="s">
        <v>1680</v>
      </c>
      <c r="AT711">
        <v>2025</v>
      </c>
      <c r="AU711">
        <v>4</v>
      </c>
      <c r="AV711" t="s">
        <v>78</v>
      </c>
      <c r="AX711" t="s">
        <v>3063</v>
      </c>
    </row>
    <row r="712" spans="1:50">
      <c r="A712">
        <v>22</v>
      </c>
      <c r="B712">
        <v>33</v>
      </c>
      <c r="C712" t="s">
        <v>74</v>
      </c>
      <c r="D712" t="s">
        <v>2509</v>
      </c>
      <c r="E712" t="s">
        <v>2510</v>
      </c>
      <c r="F712">
        <v>3927</v>
      </c>
      <c r="G712" s="23">
        <v>45757</v>
      </c>
      <c r="H712" s="2">
        <v>45904.561053240737</v>
      </c>
      <c r="I712" s="2" t="s">
        <v>2968</v>
      </c>
      <c r="K712" s="149">
        <v>0</v>
      </c>
      <c r="L712" s="149">
        <v>349110</v>
      </c>
      <c r="M712" s="149">
        <v>66331</v>
      </c>
      <c r="N712" s="149">
        <v>415441</v>
      </c>
      <c r="O712">
        <v>0</v>
      </c>
      <c r="P712">
        <v>0</v>
      </c>
      <c r="Q712">
        <v>0</v>
      </c>
      <c r="R712">
        <v>0</v>
      </c>
      <c r="S712">
        <v>0</v>
      </c>
      <c r="T712" t="s">
        <v>77</v>
      </c>
      <c r="U712">
        <v>0</v>
      </c>
      <c r="V712">
        <v>0</v>
      </c>
      <c r="W712">
        <v>0</v>
      </c>
      <c r="X712">
        <v>0</v>
      </c>
      <c r="Y712">
        <v>0</v>
      </c>
      <c r="AC712">
        <v>0</v>
      </c>
      <c r="AE712">
        <v>0</v>
      </c>
      <c r="AF712">
        <v>2</v>
      </c>
      <c r="AG712">
        <v>0</v>
      </c>
      <c r="AH712">
        <v>0</v>
      </c>
      <c r="AI712">
        <v>0</v>
      </c>
      <c r="AM712">
        <v>0</v>
      </c>
      <c r="AR712" t="s">
        <v>3042</v>
      </c>
      <c r="AS712" t="s">
        <v>1680</v>
      </c>
      <c r="AT712">
        <v>2025</v>
      </c>
      <c r="AU712">
        <v>4</v>
      </c>
      <c r="AV712" t="s">
        <v>78</v>
      </c>
      <c r="AX712" t="s">
        <v>3064</v>
      </c>
    </row>
    <row r="713" spans="1:50">
      <c r="A713">
        <v>23</v>
      </c>
      <c r="B713">
        <v>33</v>
      </c>
      <c r="C713" t="s">
        <v>74</v>
      </c>
      <c r="D713" t="s">
        <v>1988</v>
      </c>
      <c r="E713" t="s">
        <v>1989</v>
      </c>
      <c r="F713">
        <v>3926</v>
      </c>
      <c r="G713" s="23">
        <v>45756</v>
      </c>
      <c r="H713" s="2">
        <v>45904.561631944445</v>
      </c>
      <c r="I713" s="2" t="s">
        <v>2969</v>
      </c>
      <c r="K713" s="149">
        <v>0</v>
      </c>
      <c r="L713" s="149">
        <v>1926940</v>
      </c>
      <c r="M713" s="149">
        <v>366119</v>
      </c>
      <c r="N713" s="149">
        <v>2293059</v>
      </c>
      <c r="O713">
        <v>0</v>
      </c>
      <c r="P713">
        <v>0</v>
      </c>
      <c r="Q713">
        <v>0</v>
      </c>
      <c r="R713">
        <v>0</v>
      </c>
      <c r="S713">
        <v>0</v>
      </c>
      <c r="T713" t="s">
        <v>77</v>
      </c>
      <c r="U713">
        <v>0</v>
      </c>
      <c r="V713">
        <v>0</v>
      </c>
      <c r="W713">
        <v>0</v>
      </c>
      <c r="X713">
        <v>0</v>
      </c>
      <c r="AC713">
        <v>0</v>
      </c>
      <c r="AE713">
        <v>0</v>
      </c>
      <c r="AF713">
        <v>2</v>
      </c>
      <c r="AG713">
        <v>0</v>
      </c>
      <c r="AH713">
        <v>0</v>
      </c>
      <c r="AI713">
        <v>0</v>
      </c>
      <c r="AM713">
        <v>0</v>
      </c>
      <c r="AR713" t="s">
        <v>3042</v>
      </c>
      <c r="AS713" t="s">
        <v>1680</v>
      </c>
      <c r="AT713">
        <v>2025</v>
      </c>
      <c r="AU713">
        <v>4</v>
      </c>
      <c r="AV713" t="s">
        <v>78</v>
      </c>
      <c r="AX713" t="s">
        <v>3065</v>
      </c>
    </row>
    <row r="714" spans="1:50">
      <c r="A714">
        <v>24</v>
      </c>
      <c r="B714">
        <v>33</v>
      </c>
      <c r="C714" t="s">
        <v>74</v>
      </c>
      <c r="D714" t="s">
        <v>1612</v>
      </c>
      <c r="E714" t="s">
        <v>1613</v>
      </c>
      <c r="F714">
        <v>3929</v>
      </c>
      <c r="G714" s="23">
        <v>45757</v>
      </c>
      <c r="H714" s="2">
        <v>45904.572233796294</v>
      </c>
      <c r="K714" s="149">
        <v>1</v>
      </c>
      <c r="L714" s="149">
        <v>344384</v>
      </c>
      <c r="M714" s="149">
        <v>65435</v>
      </c>
      <c r="N714" s="149">
        <v>409820</v>
      </c>
      <c r="O714">
        <v>0</v>
      </c>
      <c r="P714">
        <v>0</v>
      </c>
      <c r="Q714">
        <v>0</v>
      </c>
      <c r="R714">
        <v>0</v>
      </c>
      <c r="S714">
        <v>0</v>
      </c>
      <c r="T714" t="s">
        <v>77</v>
      </c>
      <c r="U714">
        <v>0</v>
      </c>
      <c r="V714">
        <v>0</v>
      </c>
      <c r="W714">
        <v>0</v>
      </c>
      <c r="X714">
        <v>0</v>
      </c>
      <c r="Y714">
        <v>0</v>
      </c>
      <c r="AC714">
        <v>0</v>
      </c>
      <c r="AE714">
        <v>0</v>
      </c>
      <c r="AF714">
        <v>2</v>
      </c>
      <c r="AG714">
        <v>0</v>
      </c>
      <c r="AH714">
        <v>0</v>
      </c>
      <c r="AI714">
        <v>0</v>
      </c>
      <c r="AM714">
        <v>0</v>
      </c>
      <c r="AR714" t="s">
        <v>3042</v>
      </c>
      <c r="AS714" t="s">
        <v>1680</v>
      </c>
      <c r="AT714">
        <v>2025</v>
      </c>
      <c r="AU714">
        <v>4</v>
      </c>
      <c r="AV714" t="s">
        <v>78</v>
      </c>
      <c r="AX714" t="s">
        <v>3066</v>
      </c>
    </row>
    <row r="715" spans="1:50">
      <c r="A715">
        <v>25</v>
      </c>
      <c r="B715">
        <v>33</v>
      </c>
      <c r="C715" t="s">
        <v>74</v>
      </c>
      <c r="D715" t="s">
        <v>1353</v>
      </c>
      <c r="E715" t="s">
        <v>1354</v>
      </c>
      <c r="F715">
        <v>3930</v>
      </c>
      <c r="G715" s="23">
        <v>45757</v>
      </c>
      <c r="H715" s="2">
        <v>45904.574791666666</v>
      </c>
      <c r="I715" s="2">
        <v>45965.521134259259</v>
      </c>
      <c r="K715" s="149">
        <v>0</v>
      </c>
      <c r="L715" s="149">
        <v>1627560</v>
      </c>
      <c r="M715" s="149">
        <v>309237</v>
      </c>
      <c r="N715" s="149">
        <v>1936797</v>
      </c>
      <c r="O715">
        <v>0</v>
      </c>
      <c r="P715">
        <v>0</v>
      </c>
      <c r="Q715">
        <v>0</v>
      </c>
      <c r="R715">
        <v>0</v>
      </c>
      <c r="S715">
        <v>0</v>
      </c>
      <c r="T715" t="s">
        <v>77</v>
      </c>
      <c r="U715">
        <v>0</v>
      </c>
      <c r="V715">
        <v>0</v>
      </c>
      <c r="W715">
        <v>0</v>
      </c>
      <c r="X715">
        <v>0</v>
      </c>
      <c r="Y715">
        <v>0</v>
      </c>
      <c r="AC715">
        <v>0</v>
      </c>
      <c r="AE715">
        <v>0</v>
      </c>
      <c r="AF715">
        <v>2</v>
      </c>
      <c r="AG715">
        <v>0</v>
      </c>
      <c r="AH715">
        <v>0</v>
      </c>
      <c r="AI715">
        <v>0</v>
      </c>
      <c r="AM715">
        <v>0</v>
      </c>
      <c r="AR715" t="s">
        <v>3042</v>
      </c>
      <c r="AS715" t="s">
        <v>1680</v>
      </c>
      <c r="AT715">
        <v>2025</v>
      </c>
      <c r="AU715">
        <v>4</v>
      </c>
      <c r="AV715" t="s">
        <v>78</v>
      </c>
      <c r="AX715" t="s">
        <v>3067</v>
      </c>
    </row>
    <row r="716" spans="1:50">
      <c r="A716">
        <v>26</v>
      </c>
      <c r="B716">
        <v>33</v>
      </c>
      <c r="C716" t="s">
        <v>74</v>
      </c>
      <c r="D716" t="s">
        <v>1222</v>
      </c>
      <c r="E716" t="s">
        <v>1223</v>
      </c>
      <c r="F716">
        <v>3931</v>
      </c>
      <c r="G716" s="23">
        <v>45757</v>
      </c>
      <c r="H716" s="2">
        <v>45934.456574074073</v>
      </c>
      <c r="J716" t="s">
        <v>2970</v>
      </c>
      <c r="K716" s="149">
        <v>0</v>
      </c>
      <c r="L716" s="149">
        <v>16602500</v>
      </c>
      <c r="M716" s="149">
        <v>3154474</v>
      </c>
      <c r="N716" s="149">
        <v>19756974</v>
      </c>
      <c r="O716">
        <v>0</v>
      </c>
      <c r="P716">
        <v>0</v>
      </c>
      <c r="Q716">
        <v>0</v>
      </c>
      <c r="R716">
        <v>0</v>
      </c>
      <c r="S716">
        <v>0</v>
      </c>
      <c r="T716" t="s">
        <v>77</v>
      </c>
      <c r="U716">
        <v>0</v>
      </c>
      <c r="V716">
        <v>0</v>
      </c>
      <c r="W716">
        <v>0</v>
      </c>
      <c r="X716">
        <v>0</v>
      </c>
      <c r="Y716">
        <v>0</v>
      </c>
      <c r="AC716">
        <v>0</v>
      </c>
      <c r="AE716">
        <v>0</v>
      </c>
      <c r="AF716">
        <v>2</v>
      </c>
      <c r="AG716">
        <v>0</v>
      </c>
      <c r="AH716">
        <v>0</v>
      </c>
      <c r="AI716">
        <v>0</v>
      </c>
      <c r="AM716">
        <v>0</v>
      </c>
      <c r="AR716" t="s">
        <v>3042</v>
      </c>
      <c r="AS716" t="s">
        <v>1680</v>
      </c>
      <c r="AT716">
        <v>2025</v>
      </c>
      <c r="AU716">
        <v>4</v>
      </c>
      <c r="AV716" t="s">
        <v>78</v>
      </c>
      <c r="AX716" t="s">
        <v>3068</v>
      </c>
    </row>
    <row r="717" spans="1:50">
      <c r="A717">
        <v>27</v>
      </c>
      <c r="B717">
        <v>33</v>
      </c>
      <c r="C717" t="s">
        <v>74</v>
      </c>
      <c r="D717" t="s">
        <v>1222</v>
      </c>
      <c r="E717" t="s">
        <v>1223</v>
      </c>
      <c r="F717">
        <v>3932</v>
      </c>
      <c r="G717" s="23">
        <v>45757</v>
      </c>
      <c r="H717" s="2">
        <v>45934.475787037038</v>
      </c>
      <c r="I717" s="2">
        <v>45934.736724537041</v>
      </c>
      <c r="K717" s="149">
        <v>0</v>
      </c>
      <c r="L717" s="149">
        <v>6573440</v>
      </c>
      <c r="M717" s="149">
        <v>1248953</v>
      </c>
      <c r="N717" s="149">
        <v>7822393</v>
      </c>
      <c r="O717">
        <v>0</v>
      </c>
      <c r="P717">
        <v>0</v>
      </c>
      <c r="Q717">
        <v>0</v>
      </c>
      <c r="R717">
        <v>0</v>
      </c>
      <c r="S717">
        <v>0</v>
      </c>
      <c r="T717" t="s">
        <v>77</v>
      </c>
      <c r="U717">
        <v>0</v>
      </c>
      <c r="V717">
        <v>0</v>
      </c>
      <c r="W717">
        <v>0</v>
      </c>
      <c r="X717">
        <v>0</v>
      </c>
      <c r="AC717">
        <v>0</v>
      </c>
      <c r="AE717">
        <v>0</v>
      </c>
      <c r="AF717">
        <v>2</v>
      </c>
      <c r="AG717">
        <v>0</v>
      </c>
      <c r="AH717">
        <v>0</v>
      </c>
      <c r="AI717">
        <v>0</v>
      </c>
      <c r="AM717">
        <v>0</v>
      </c>
      <c r="AR717" t="s">
        <v>3042</v>
      </c>
      <c r="AS717" t="s">
        <v>1680</v>
      </c>
      <c r="AT717">
        <v>2025</v>
      </c>
      <c r="AU717">
        <v>4</v>
      </c>
      <c r="AV717" t="s">
        <v>78</v>
      </c>
      <c r="AX717" t="s">
        <v>3069</v>
      </c>
    </row>
    <row r="718" spans="1:50">
      <c r="A718">
        <v>28</v>
      </c>
      <c r="B718">
        <v>33</v>
      </c>
      <c r="C718" t="s">
        <v>74</v>
      </c>
      <c r="D718" t="s">
        <v>1222</v>
      </c>
      <c r="E718" t="s">
        <v>1223</v>
      </c>
      <c r="F718">
        <v>3933</v>
      </c>
      <c r="G718" s="23" t="s">
        <v>3812</v>
      </c>
      <c r="H718" s="2">
        <v>45934.484155092592</v>
      </c>
      <c r="I718" s="2" t="s">
        <v>2971</v>
      </c>
      <c r="K718" s="149">
        <v>0</v>
      </c>
      <c r="L718" s="149">
        <v>5568170</v>
      </c>
      <c r="M718" s="149">
        <v>1057952</v>
      </c>
      <c r="N718" s="149">
        <v>6626122</v>
      </c>
      <c r="O718">
        <v>0</v>
      </c>
      <c r="P718">
        <v>0</v>
      </c>
      <c r="Q718">
        <v>0</v>
      </c>
      <c r="R718">
        <v>0</v>
      </c>
      <c r="S718">
        <v>0</v>
      </c>
      <c r="T718" t="s">
        <v>77</v>
      </c>
      <c r="U718">
        <v>0</v>
      </c>
      <c r="V718">
        <v>0</v>
      </c>
      <c r="W718">
        <v>0</v>
      </c>
      <c r="X718">
        <v>0</v>
      </c>
      <c r="AC718">
        <v>0</v>
      </c>
      <c r="AE718">
        <v>0</v>
      </c>
      <c r="AF718">
        <v>2</v>
      </c>
      <c r="AG718">
        <v>0</v>
      </c>
      <c r="AH718">
        <v>0</v>
      </c>
      <c r="AI718">
        <v>0</v>
      </c>
      <c r="AM718">
        <v>0</v>
      </c>
      <c r="AR718" t="s">
        <v>3042</v>
      </c>
      <c r="AS718" t="s">
        <v>1680</v>
      </c>
      <c r="AT718">
        <v>2025</v>
      </c>
      <c r="AU718">
        <v>4</v>
      </c>
      <c r="AV718" t="s">
        <v>78</v>
      </c>
      <c r="AX718" t="s">
        <v>3070</v>
      </c>
    </row>
    <row r="719" spans="1:50">
      <c r="A719">
        <v>29</v>
      </c>
      <c r="B719">
        <v>33</v>
      </c>
      <c r="C719" t="s">
        <v>74</v>
      </c>
      <c r="D719" t="s">
        <v>1222</v>
      </c>
      <c r="E719" t="s">
        <v>1223</v>
      </c>
      <c r="F719">
        <v>3934</v>
      </c>
      <c r="G719" s="23">
        <v>45757</v>
      </c>
      <c r="H719" s="2">
        <v>45934.49722222222</v>
      </c>
      <c r="I719" s="2">
        <v>45934.736724537041</v>
      </c>
      <c r="K719" s="149">
        <v>0</v>
      </c>
      <c r="L719" s="149">
        <v>3127800</v>
      </c>
      <c r="M719" s="149">
        <v>594282</v>
      </c>
      <c r="N719" s="149">
        <v>3722082</v>
      </c>
      <c r="O719">
        <v>0</v>
      </c>
      <c r="P719">
        <v>0</v>
      </c>
      <c r="Q719">
        <v>0</v>
      </c>
      <c r="R719">
        <v>0</v>
      </c>
      <c r="S719">
        <v>0</v>
      </c>
      <c r="T719" t="s">
        <v>77</v>
      </c>
      <c r="U719">
        <v>0</v>
      </c>
      <c r="V719">
        <v>0</v>
      </c>
      <c r="W719">
        <v>0</v>
      </c>
      <c r="X719">
        <v>0</v>
      </c>
      <c r="AC719">
        <v>0</v>
      </c>
      <c r="AE719">
        <v>0</v>
      </c>
      <c r="AF719">
        <v>2</v>
      </c>
      <c r="AG719">
        <v>0</v>
      </c>
      <c r="AH719">
        <v>0</v>
      </c>
      <c r="AI719">
        <v>0</v>
      </c>
      <c r="AM719">
        <v>0</v>
      </c>
      <c r="AR719" t="s">
        <v>3042</v>
      </c>
      <c r="AS719" t="s">
        <v>1680</v>
      </c>
      <c r="AT719">
        <v>2025</v>
      </c>
      <c r="AU719">
        <v>4</v>
      </c>
      <c r="AV719" t="s">
        <v>78</v>
      </c>
      <c r="AX719" t="s">
        <v>3071</v>
      </c>
    </row>
    <row r="720" spans="1:50">
      <c r="A720">
        <v>30</v>
      </c>
      <c r="B720">
        <v>33</v>
      </c>
      <c r="C720" t="s">
        <v>74</v>
      </c>
      <c r="D720" t="s">
        <v>1222</v>
      </c>
      <c r="E720" t="s">
        <v>1223</v>
      </c>
      <c r="F720">
        <v>3935</v>
      </c>
      <c r="G720" s="23">
        <v>45757</v>
      </c>
      <c r="H720" s="2">
        <v>45934.513055555559</v>
      </c>
      <c r="I720" s="2">
        <v>45934.736712962964</v>
      </c>
      <c r="K720" s="149">
        <v>0</v>
      </c>
      <c r="L720" s="149">
        <v>8555700</v>
      </c>
      <c r="M720" s="149">
        <v>1625583</v>
      </c>
      <c r="N720" s="149">
        <v>10181283</v>
      </c>
      <c r="O720">
        <v>0</v>
      </c>
      <c r="P720">
        <v>0</v>
      </c>
      <c r="Q720">
        <v>0</v>
      </c>
      <c r="R720">
        <v>0</v>
      </c>
      <c r="S720">
        <v>0</v>
      </c>
      <c r="T720" t="s">
        <v>77</v>
      </c>
      <c r="U720">
        <v>0</v>
      </c>
      <c r="V720">
        <v>0</v>
      </c>
      <c r="W720">
        <v>0</v>
      </c>
      <c r="X720">
        <v>0</v>
      </c>
      <c r="AC720">
        <v>0</v>
      </c>
      <c r="AE720">
        <v>0</v>
      </c>
      <c r="AF720">
        <v>2</v>
      </c>
      <c r="AG720">
        <v>0</v>
      </c>
      <c r="AH720">
        <v>0</v>
      </c>
      <c r="AI720">
        <v>0</v>
      </c>
      <c r="AM720">
        <v>0</v>
      </c>
      <c r="AR720" t="s">
        <v>3042</v>
      </c>
      <c r="AS720" t="s">
        <v>1680</v>
      </c>
      <c r="AT720">
        <v>2025</v>
      </c>
      <c r="AU720">
        <v>4</v>
      </c>
      <c r="AV720" t="s">
        <v>78</v>
      </c>
      <c r="AX720" t="s">
        <v>3072</v>
      </c>
    </row>
    <row r="721" spans="1:50">
      <c r="A721">
        <v>31</v>
      </c>
      <c r="B721">
        <v>33</v>
      </c>
      <c r="C721" t="s">
        <v>74</v>
      </c>
      <c r="D721" t="s">
        <v>1222</v>
      </c>
      <c r="E721" t="s">
        <v>1223</v>
      </c>
      <c r="F721">
        <v>3936</v>
      </c>
      <c r="G721" s="23" t="s">
        <v>3812</v>
      </c>
      <c r="H721" s="2">
        <v>45934.531782407408</v>
      </c>
      <c r="I721" s="2" t="s">
        <v>2971</v>
      </c>
      <c r="K721" s="149">
        <v>0</v>
      </c>
      <c r="L721" s="149">
        <v>7625250</v>
      </c>
      <c r="M721" s="149">
        <v>1448798</v>
      </c>
      <c r="N721" s="149">
        <v>9074048</v>
      </c>
      <c r="O721">
        <v>0</v>
      </c>
      <c r="P721">
        <v>0</v>
      </c>
      <c r="Q721">
        <v>0</v>
      </c>
      <c r="R721">
        <v>0</v>
      </c>
      <c r="S721">
        <v>0</v>
      </c>
      <c r="T721" t="s">
        <v>77</v>
      </c>
      <c r="U721">
        <v>0</v>
      </c>
      <c r="V721">
        <v>0</v>
      </c>
      <c r="W721">
        <v>0</v>
      </c>
      <c r="X721">
        <v>0</v>
      </c>
      <c r="AC721">
        <v>0</v>
      </c>
      <c r="AE721">
        <v>0</v>
      </c>
      <c r="AF721">
        <v>2</v>
      </c>
      <c r="AG721">
        <v>0</v>
      </c>
      <c r="AH721">
        <v>0</v>
      </c>
      <c r="AI721">
        <v>0</v>
      </c>
      <c r="AM721">
        <v>0</v>
      </c>
      <c r="AR721" t="s">
        <v>3042</v>
      </c>
      <c r="AS721" t="s">
        <v>1680</v>
      </c>
      <c r="AT721">
        <v>2025</v>
      </c>
      <c r="AU721">
        <v>4</v>
      </c>
      <c r="AV721" t="s">
        <v>78</v>
      </c>
      <c r="AX721" t="s">
        <v>3073</v>
      </c>
    </row>
    <row r="722" spans="1:50">
      <c r="A722">
        <v>32</v>
      </c>
      <c r="B722">
        <v>33</v>
      </c>
      <c r="C722" t="s">
        <v>74</v>
      </c>
      <c r="D722" t="s">
        <v>1581</v>
      </c>
      <c r="E722" t="s">
        <v>1582</v>
      </c>
      <c r="F722">
        <v>3937</v>
      </c>
      <c r="G722" s="23">
        <v>45758</v>
      </c>
      <c r="H722" s="2">
        <v>45934.565578703703</v>
      </c>
      <c r="I722" t="s">
        <v>2972</v>
      </c>
      <c r="K722" s="149">
        <v>0</v>
      </c>
      <c r="L722" s="149">
        <v>1600805</v>
      </c>
      <c r="M722" s="149">
        <v>304153</v>
      </c>
      <c r="N722" s="149">
        <v>1904958</v>
      </c>
      <c r="O722">
        <v>0</v>
      </c>
      <c r="P722">
        <v>0</v>
      </c>
      <c r="Q722">
        <v>0</v>
      </c>
      <c r="R722">
        <v>0</v>
      </c>
      <c r="S722">
        <v>0</v>
      </c>
      <c r="T722" t="s">
        <v>77</v>
      </c>
      <c r="U722">
        <v>0</v>
      </c>
      <c r="V722">
        <v>0</v>
      </c>
      <c r="W722">
        <v>0</v>
      </c>
      <c r="X722">
        <v>0</v>
      </c>
      <c r="Y722">
        <v>0</v>
      </c>
      <c r="AC722">
        <v>0</v>
      </c>
      <c r="AE722">
        <v>0</v>
      </c>
      <c r="AF722">
        <v>2</v>
      </c>
      <c r="AG722">
        <v>0</v>
      </c>
      <c r="AH722">
        <v>0</v>
      </c>
      <c r="AI722">
        <v>0</v>
      </c>
      <c r="AM722">
        <v>0</v>
      </c>
      <c r="AR722" t="s">
        <v>3042</v>
      </c>
      <c r="AS722" t="s">
        <v>1680</v>
      </c>
      <c r="AT722">
        <v>2025</v>
      </c>
      <c r="AU722">
        <v>4</v>
      </c>
      <c r="AV722" t="s">
        <v>78</v>
      </c>
      <c r="AX722" t="s">
        <v>3074</v>
      </c>
    </row>
    <row r="723" spans="1:50">
      <c r="A723">
        <v>33</v>
      </c>
      <c r="B723">
        <v>33</v>
      </c>
      <c r="C723" t="s">
        <v>74</v>
      </c>
      <c r="D723" t="s">
        <v>1222</v>
      </c>
      <c r="E723" t="s">
        <v>1223</v>
      </c>
      <c r="F723">
        <v>3938</v>
      </c>
      <c r="G723" s="23">
        <v>45758</v>
      </c>
      <c r="H723" s="2">
        <v>45965.394560185188</v>
      </c>
      <c r="I723" s="2" t="s">
        <v>2971</v>
      </c>
      <c r="K723" s="149">
        <v>0</v>
      </c>
      <c r="L723" s="149">
        <v>16602500</v>
      </c>
      <c r="M723" s="149">
        <v>3154474</v>
      </c>
      <c r="N723" s="149">
        <v>19756974</v>
      </c>
      <c r="O723">
        <v>0</v>
      </c>
      <c r="P723">
        <v>0</v>
      </c>
      <c r="Q723">
        <v>0</v>
      </c>
      <c r="R723">
        <v>0</v>
      </c>
      <c r="S723">
        <v>0</v>
      </c>
      <c r="T723" t="s">
        <v>77</v>
      </c>
      <c r="U723">
        <v>0</v>
      </c>
      <c r="V723">
        <v>0</v>
      </c>
      <c r="W723">
        <v>0</v>
      </c>
      <c r="X723">
        <v>0</v>
      </c>
      <c r="AC723">
        <v>0</v>
      </c>
      <c r="AE723">
        <v>0</v>
      </c>
      <c r="AF723">
        <v>2</v>
      </c>
      <c r="AG723">
        <v>0</v>
      </c>
      <c r="AH723">
        <v>0</v>
      </c>
      <c r="AI723">
        <v>0</v>
      </c>
      <c r="AM723">
        <v>0</v>
      </c>
      <c r="AR723" t="s">
        <v>3042</v>
      </c>
      <c r="AS723" t="s">
        <v>1680</v>
      </c>
      <c r="AT723">
        <v>2025</v>
      </c>
      <c r="AU723">
        <v>4</v>
      </c>
      <c r="AV723" t="s">
        <v>78</v>
      </c>
      <c r="AX723" t="s">
        <v>3075</v>
      </c>
    </row>
    <row r="724" spans="1:50">
      <c r="A724">
        <v>34</v>
      </c>
      <c r="B724">
        <v>33</v>
      </c>
      <c r="C724" t="s">
        <v>74</v>
      </c>
      <c r="D724" t="s">
        <v>1597</v>
      </c>
      <c r="E724" t="s">
        <v>1598</v>
      </c>
      <c r="F724">
        <v>3939</v>
      </c>
      <c r="G724" s="23">
        <v>45759</v>
      </c>
      <c r="H724" s="2">
        <v>45965.565567129626</v>
      </c>
      <c r="K724" s="149">
        <v>0</v>
      </c>
      <c r="L724" s="149">
        <v>325360</v>
      </c>
      <c r="M724" s="149">
        <v>61818</v>
      </c>
      <c r="N724" s="149">
        <v>387178</v>
      </c>
      <c r="O724">
        <v>0</v>
      </c>
      <c r="P724">
        <v>0</v>
      </c>
      <c r="Q724">
        <v>0</v>
      </c>
      <c r="R724">
        <v>0</v>
      </c>
      <c r="S724">
        <v>0</v>
      </c>
      <c r="T724" t="s">
        <v>77</v>
      </c>
      <c r="U724">
        <v>0</v>
      </c>
      <c r="V724">
        <v>0</v>
      </c>
      <c r="W724">
        <v>0</v>
      </c>
      <c r="X724">
        <v>0</v>
      </c>
      <c r="Y724">
        <v>0</v>
      </c>
      <c r="AC724">
        <v>0</v>
      </c>
      <c r="AE724">
        <v>0</v>
      </c>
      <c r="AF724">
        <v>2</v>
      </c>
      <c r="AG724">
        <v>0</v>
      </c>
      <c r="AH724">
        <v>0</v>
      </c>
      <c r="AI724">
        <v>0</v>
      </c>
      <c r="AM724">
        <v>0</v>
      </c>
      <c r="AR724" t="s">
        <v>3042</v>
      </c>
      <c r="AS724" t="s">
        <v>1680</v>
      </c>
      <c r="AT724">
        <v>2025</v>
      </c>
      <c r="AU724">
        <v>4</v>
      </c>
      <c r="AV724" t="s">
        <v>78</v>
      </c>
      <c r="AX724" t="s">
        <v>3076</v>
      </c>
    </row>
    <row r="725" spans="1:50">
      <c r="A725">
        <v>35</v>
      </c>
      <c r="B725">
        <v>33</v>
      </c>
      <c r="C725" t="s">
        <v>74</v>
      </c>
      <c r="D725" t="s">
        <v>1353</v>
      </c>
      <c r="E725" t="s">
        <v>1354</v>
      </c>
      <c r="F725">
        <v>3940</v>
      </c>
      <c r="G725" s="23" t="s">
        <v>3812</v>
      </c>
      <c r="H725" s="2">
        <v>45965.603726851848</v>
      </c>
      <c r="I725" t="s">
        <v>2973</v>
      </c>
      <c r="K725" s="149">
        <v>0</v>
      </c>
      <c r="L725" s="149">
        <v>4795563</v>
      </c>
      <c r="M725" s="149">
        <v>911158</v>
      </c>
      <c r="N725" s="149">
        <v>5706721</v>
      </c>
      <c r="O725">
        <v>0</v>
      </c>
      <c r="P725">
        <v>0</v>
      </c>
      <c r="Q725">
        <v>0</v>
      </c>
      <c r="R725">
        <v>0</v>
      </c>
      <c r="S725">
        <v>0</v>
      </c>
      <c r="T725" t="s">
        <v>77</v>
      </c>
      <c r="U725">
        <v>0</v>
      </c>
      <c r="V725">
        <v>0</v>
      </c>
      <c r="W725">
        <v>0</v>
      </c>
      <c r="X725">
        <v>0</v>
      </c>
      <c r="Y725">
        <v>0</v>
      </c>
      <c r="AC725">
        <v>0</v>
      </c>
      <c r="AE725">
        <v>0</v>
      </c>
      <c r="AF725">
        <v>2</v>
      </c>
      <c r="AG725">
        <v>0</v>
      </c>
      <c r="AH725">
        <v>0</v>
      </c>
      <c r="AI725">
        <v>0</v>
      </c>
      <c r="AM725">
        <v>0</v>
      </c>
      <c r="AR725" t="s">
        <v>3042</v>
      </c>
      <c r="AS725" t="s">
        <v>1680</v>
      </c>
      <c r="AT725">
        <v>2025</v>
      </c>
      <c r="AU725">
        <v>4</v>
      </c>
      <c r="AV725" t="s">
        <v>78</v>
      </c>
      <c r="AX725" t="s">
        <v>3077</v>
      </c>
    </row>
    <row r="726" spans="1:50">
      <c r="A726">
        <v>36</v>
      </c>
      <c r="B726">
        <v>33</v>
      </c>
      <c r="C726" t="s">
        <v>74</v>
      </c>
      <c r="D726" t="s">
        <v>1558</v>
      </c>
      <c r="E726" t="s">
        <v>1559</v>
      </c>
      <c r="F726">
        <v>3941</v>
      </c>
      <c r="G726" s="23" t="s">
        <v>1486</v>
      </c>
      <c r="H726" s="2" t="s">
        <v>2974</v>
      </c>
      <c r="I726" s="2"/>
      <c r="K726" s="149">
        <v>0</v>
      </c>
      <c r="L726" s="149">
        <v>204480</v>
      </c>
      <c r="M726" s="149">
        <v>38852</v>
      </c>
      <c r="N726" s="149">
        <v>243332</v>
      </c>
      <c r="O726">
        <v>0</v>
      </c>
      <c r="P726">
        <v>0</v>
      </c>
      <c r="Q726">
        <v>0</v>
      </c>
      <c r="R726">
        <v>0</v>
      </c>
      <c r="S726">
        <v>0</v>
      </c>
      <c r="T726" t="s">
        <v>77</v>
      </c>
      <c r="U726">
        <v>0</v>
      </c>
      <c r="V726">
        <v>0</v>
      </c>
      <c r="W726">
        <v>0</v>
      </c>
      <c r="X726">
        <v>0</v>
      </c>
      <c r="Y726">
        <v>0</v>
      </c>
      <c r="AC726">
        <v>0</v>
      </c>
      <c r="AE726">
        <v>0</v>
      </c>
      <c r="AF726">
        <v>2</v>
      </c>
      <c r="AG726">
        <v>0</v>
      </c>
      <c r="AH726">
        <v>0</v>
      </c>
      <c r="AI726">
        <v>0</v>
      </c>
      <c r="AM726">
        <v>0</v>
      </c>
      <c r="AR726" t="s">
        <v>3042</v>
      </c>
      <c r="AS726" t="s">
        <v>1680</v>
      </c>
      <c r="AT726">
        <v>2025</v>
      </c>
      <c r="AU726">
        <v>4</v>
      </c>
      <c r="AV726" t="s">
        <v>78</v>
      </c>
      <c r="AX726" t="s">
        <v>3078</v>
      </c>
    </row>
    <row r="727" spans="1:50">
      <c r="A727">
        <v>37</v>
      </c>
      <c r="B727">
        <v>33</v>
      </c>
      <c r="C727" t="s">
        <v>74</v>
      </c>
      <c r="D727" t="s">
        <v>1588</v>
      </c>
      <c r="E727" t="s">
        <v>1589</v>
      </c>
      <c r="F727">
        <v>3942</v>
      </c>
      <c r="G727" s="23" t="s">
        <v>1486</v>
      </c>
      <c r="H727" s="2" t="s">
        <v>2975</v>
      </c>
      <c r="I727" s="2"/>
      <c r="K727" s="149">
        <v>0</v>
      </c>
      <c r="L727" s="149">
        <v>2985700</v>
      </c>
      <c r="M727" s="149">
        <v>567284</v>
      </c>
      <c r="N727" s="149">
        <v>3552984</v>
      </c>
      <c r="O727">
        <v>0</v>
      </c>
      <c r="P727">
        <v>0</v>
      </c>
      <c r="Q727">
        <v>0</v>
      </c>
      <c r="R727">
        <v>0</v>
      </c>
      <c r="S727">
        <v>0</v>
      </c>
      <c r="T727" t="s">
        <v>77</v>
      </c>
      <c r="U727">
        <v>0</v>
      </c>
      <c r="V727">
        <v>0</v>
      </c>
      <c r="W727">
        <v>0</v>
      </c>
      <c r="X727">
        <v>0</v>
      </c>
      <c r="Y727">
        <v>0</v>
      </c>
      <c r="AC727">
        <v>0</v>
      </c>
      <c r="AE727">
        <v>0</v>
      </c>
      <c r="AF727">
        <v>2</v>
      </c>
      <c r="AG727">
        <v>0</v>
      </c>
      <c r="AH727">
        <v>0</v>
      </c>
      <c r="AI727">
        <v>0</v>
      </c>
      <c r="AM727">
        <v>0</v>
      </c>
      <c r="AR727" t="s">
        <v>3042</v>
      </c>
      <c r="AS727" t="s">
        <v>1680</v>
      </c>
      <c r="AT727">
        <v>2025</v>
      </c>
      <c r="AU727">
        <v>4</v>
      </c>
      <c r="AV727" t="s">
        <v>78</v>
      </c>
      <c r="AX727" t="s">
        <v>3079</v>
      </c>
    </row>
    <row r="728" spans="1:50">
      <c r="A728">
        <v>38</v>
      </c>
      <c r="B728">
        <v>33</v>
      </c>
      <c r="C728" t="s">
        <v>74</v>
      </c>
      <c r="D728" t="s">
        <v>1222</v>
      </c>
      <c r="E728" t="s">
        <v>1223</v>
      </c>
      <c r="F728">
        <v>3943</v>
      </c>
      <c r="G728" s="23" t="s">
        <v>1487</v>
      </c>
      <c r="H728" s="2" t="s">
        <v>2976</v>
      </c>
      <c r="I728" s="2"/>
      <c r="J728" t="s">
        <v>2977</v>
      </c>
      <c r="K728" s="149">
        <v>0</v>
      </c>
      <c r="L728" s="149">
        <v>7417160</v>
      </c>
      <c r="M728" s="149">
        <v>1409260</v>
      </c>
      <c r="N728" s="149">
        <v>8826420</v>
      </c>
      <c r="O728">
        <v>0</v>
      </c>
      <c r="P728">
        <v>0</v>
      </c>
      <c r="Q728">
        <v>0</v>
      </c>
      <c r="R728">
        <v>0</v>
      </c>
      <c r="S728">
        <v>0</v>
      </c>
      <c r="T728" t="s">
        <v>77</v>
      </c>
      <c r="U728">
        <v>0</v>
      </c>
      <c r="V728">
        <v>0</v>
      </c>
      <c r="W728">
        <v>0</v>
      </c>
      <c r="X728">
        <v>0</v>
      </c>
      <c r="AC728">
        <v>0</v>
      </c>
      <c r="AE728">
        <v>0</v>
      </c>
      <c r="AF728">
        <v>2</v>
      </c>
      <c r="AG728">
        <v>0</v>
      </c>
      <c r="AH728">
        <v>0</v>
      </c>
      <c r="AI728">
        <v>0</v>
      </c>
      <c r="AM728">
        <v>0</v>
      </c>
      <c r="AR728" t="s">
        <v>3042</v>
      </c>
      <c r="AS728" t="s">
        <v>1680</v>
      </c>
      <c r="AT728">
        <v>2025</v>
      </c>
      <c r="AU728">
        <v>4</v>
      </c>
      <c r="AV728" t="s">
        <v>78</v>
      </c>
      <c r="AX728" t="s">
        <v>3080</v>
      </c>
    </row>
    <row r="729" spans="1:50">
      <c r="A729">
        <v>39</v>
      </c>
      <c r="B729">
        <v>33</v>
      </c>
      <c r="C729" t="s">
        <v>74</v>
      </c>
      <c r="D729" t="s">
        <v>1222</v>
      </c>
      <c r="E729" t="s">
        <v>1223</v>
      </c>
      <c r="F729">
        <v>3944</v>
      </c>
      <c r="G729" s="23" t="s">
        <v>1487</v>
      </c>
      <c r="H729" s="2" t="s">
        <v>2978</v>
      </c>
      <c r="I729" s="2" t="s">
        <v>2979</v>
      </c>
      <c r="K729" s="149">
        <v>0</v>
      </c>
      <c r="L729" s="149">
        <v>16664600</v>
      </c>
      <c r="M729" s="149">
        <v>3166274</v>
      </c>
      <c r="N729" s="149">
        <v>19830874</v>
      </c>
      <c r="O729">
        <v>0</v>
      </c>
      <c r="P729">
        <v>0</v>
      </c>
      <c r="Q729">
        <v>0</v>
      </c>
      <c r="R729">
        <v>0</v>
      </c>
      <c r="S729">
        <v>0</v>
      </c>
      <c r="T729" t="s">
        <v>77</v>
      </c>
      <c r="U729">
        <v>0</v>
      </c>
      <c r="V729">
        <v>0</v>
      </c>
      <c r="W729">
        <v>0</v>
      </c>
      <c r="X729">
        <v>0</v>
      </c>
      <c r="AC729">
        <v>0</v>
      </c>
      <c r="AE729">
        <v>0</v>
      </c>
      <c r="AF729">
        <v>2</v>
      </c>
      <c r="AG729">
        <v>0</v>
      </c>
      <c r="AH729">
        <v>0</v>
      </c>
      <c r="AI729">
        <v>0</v>
      </c>
      <c r="AM729">
        <v>0</v>
      </c>
      <c r="AR729" t="s">
        <v>3042</v>
      </c>
      <c r="AS729" t="s">
        <v>1680</v>
      </c>
      <c r="AT729">
        <v>2025</v>
      </c>
      <c r="AU729">
        <v>4</v>
      </c>
      <c r="AV729" t="s">
        <v>78</v>
      </c>
      <c r="AX729" t="s">
        <v>3081</v>
      </c>
    </row>
    <row r="730" spans="1:50">
      <c r="A730">
        <v>40</v>
      </c>
      <c r="B730">
        <v>33</v>
      </c>
      <c r="C730" t="s">
        <v>74</v>
      </c>
      <c r="D730" t="s">
        <v>1564</v>
      </c>
      <c r="E730" t="s">
        <v>1565</v>
      </c>
      <c r="F730">
        <v>3945</v>
      </c>
      <c r="G730" s="23" t="s">
        <v>1487</v>
      </c>
      <c r="H730" s="2" t="s">
        <v>2980</v>
      </c>
      <c r="I730" s="2"/>
      <c r="K730" s="149">
        <v>0</v>
      </c>
      <c r="L730" s="149">
        <v>462413</v>
      </c>
      <c r="M730" s="149">
        <v>87859</v>
      </c>
      <c r="N730" s="149">
        <v>550272</v>
      </c>
      <c r="O730">
        <v>0</v>
      </c>
      <c r="P730">
        <v>0</v>
      </c>
      <c r="Q730">
        <v>0</v>
      </c>
      <c r="R730">
        <v>0</v>
      </c>
      <c r="S730">
        <v>0</v>
      </c>
      <c r="T730" t="s">
        <v>77</v>
      </c>
      <c r="U730">
        <v>0</v>
      </c>
      <c r="V730">
        <v>0</v>
      </c>
      <c r="W730">
        <v>0</v>
      </c>
      <c r="X730">
        <v>0</v>
      </c>
      <c r="Y730">
        <v>0</v>
      </c>
      <c r="AC730">
        <v>0</v>
      </c>
      <c r="AE730">
        <v>0</v>
      </c>
      <c r="AF730">
        <v>2</v>
      </c>
      <c r="AG730">
        <v>0</v>
      </c>
      <c r="AH730">
        <v>0</v>
      </c>
      <c r="AI730">
        <v>0</v>
      </c>
      <c r="AM730">
        <v>0</v>
      </c>
      <c r="AR730" t="s">
        <v>3042</v>
      </c>
      <c r="AS730" t="s">
        <v>1680</v>
      </c>
      <c r="AT730">
        <v>2025</v>
      </c>
      <c r="AU730">
        <v>4</v>
      </c>
      <c r="AV730" t="s">
        <v>78</v>
      </c>
      <c r="AX730" t="s">
        <v>3082</v>
      </c>
    </row>
    <row r="731" spans="1:50">
      <c r="A731">
        <v>41</v>
      </c>
      <c r="B731">
        <v>33</v>
      </c>
      <c r="C731" t="s">
        <v>74</v>
      </c>
      <c r="D731" t="s">
        <v>1571</v>
      </c>
      <c r="E731" t="s">
        <v>1572</v>
      </c>
      <c r="F731">
        <v>3946</v>
      </c>
      <c r="G731" s="23" t="s">
        <v>1487</v>
      </c>
      <c r="H731" s="2" t="s">
        <v>2981</v>
      </c>
      <c r="J731" t="s">
        <v>2982</v>
      </c>
      <c r="K731" s="149">
        <v>0</v>
      </c>
      <c r="L731" s="149">
        <v>5764649</v>
      </c>
      <c r="M731" s="149">
        <v>1095284</v>
      </c>
      <c r="N731" s="149">
        <v>6859933</v>
      </c>
      <c r="O731">
        <v>0</v>
      </c>
      <c r="P731">
        <v>0</v>
      </c>
      <c r="Q731">
        <v>0</v>
      </c>
      <c r="R731">
        <v>0</v>
      </c>
      <c r="S731">
        <v>0</v>
      </c>
      <c r="T731" t="s">
        <v>77</v>
      </c>
      <c r="U731">
        <v>0</v>
      </c>
      <c r="V731">
        <v>0</v>
      </c>
      <c r="W731">
        <v>0</v>
      </c>
      <c r="X731">
        <v>0</v>
      </c>
      <c r="AC731">
        <v>0</v>
      </c>
      <c r="AE731">
        <v>0</v>
      </c>
      <c r="AF731">
        <v>2</v>
      </c>
      <c r="AG731">
        <v>0</v>
      </c>
      <c r="AH731">
        <v>0</v>
      </c>
      <c r="AI731">
        <v>0</v>
      </c>
      <c r="AM731">
        <v>0</v>
      </c>
      <c r="AR731" t="s">
        <v>3042</v>
      </c>
      <c r="AS731" t="s">
        <v>1680</v>
      </c>
      <c r="AT731">
        <v>2025</v>
      </c>
      <c r="AU731">
        <v>4</v>
      </c>
      <c r="AV731" t="s">
        <v>78</v>
      </c>
      <c r="AX731" t="s">
        <v>3083</v>
      </c>
    </row>
    <row r="732" spans="1:50">
      <c r="A732">
        <v>42</v>
      </c>
      <c r="B732">
        <v>33</v>
      </c>
      <c r="C732" t="s">
        <v>74</v>
      </c>
      <c r="D732" t="s">
        <v>1581</v>
      </c>
      <c r="E732" t="s">
        <v>1582</v>
      </c>
      <c r="F732">
        <v>3947</v>
      </c>
      <c r="G732" s="23" t="s">
        <v>1487</v>
      </c>
      <c r="H732" s="2" t="s">
        <v>2983</v>
      </c>
      <c r="K732" s="149">
        <v>0</v>
      </c>
      <c r="L732" s="149">
        <v>729080</v>
      </c>
      <c r="M732" s="149">
        <v>138525</v>
      </c>
      <c r="N732" s="149">
        <v>867605</v>
      </c>
      <c r="O732">
        <v>0</v>
      </c>
      <c r="P732">
        <v>0</v>
      </c>
      <c r="Q732">
        <v>0</v>
      </c>
      <c r="R732">
        <v>0</v>
      </c>
      <c r="S732">
        <v>0</v>
      </c>
      <c r="T732" t="s">
        <v>77</v>
      </c>
      <c r="U732">
        <v>0</v>
      </c>
      <c r="V732">
        <v>0</v>
      </c>
      <c r="W732">
        <v>0</v>
      </c>
      <c r="X732">
        <v>0</v>
      </c>
      <c r="Y732">
        <v>0</v>
      </c>
      <c r="AC732">
        <v>0</v>
      </c>
      <c r="AE732">
        <v>0</v>
      </c>
      <c r="AF732">
        <v>2</v>
      </c>
      <c r="AG732">
        <v>0</v>
      </c>
      <c r="AH732">
        <v>0</v>
      </c>
      <c r="AI732">
        <v>0</v>
      </c>
      <c r="AM732">
        <v>0</v>
      </c>
      <c r="AR732" t="s">
        <v>3042</v>
      </c>
      <c r="AS732" t="s">
        <v>1680</v>
      </c>
      <c r="AT732">
        <v>2025</v>
      </c>
      <c r="AU732">
        <v>4</v>
      </c>
      <c r="AV732" t="s">
        <v>78</v>
      </c>
      <c r="AX732" t="s">
        <v>3084</v>
      </c>
    </row>
    <row r="733" spans="1:50">
      <c r="A733">
        <v>43</v>
      </c>
      <c r="B733">
        <v>33</v>
      </c>
      <c r="C733" t="s">
        <v>74</v>
      </c>
      <c r="D733" t="s">
        <v>1222</v>
      </c>
      <c r="E733" t="s">
        <v>1223</v>
      </c>
      <c r="F733">
        <v>3948</v>
      </c>
      <c r="G733" s="23" t="s">
        <v>1488</v>
      </c>
      <c r="H733" s="2" t="s">
        <v>2984</v>
      </c>
      <c r="J733" t="s">
        <v>2985</v>
      </c>
      <c r="K733" s="149">
        <v>0</v>
      </c>
      <c r="L733" s="149">
        <v>10940880</v>
      </c>
      <c r="M733" s="149">
        <v>2078767</v>
      </c>
      <c r="N733" s="149">
        <v>13019647</v>
      </c>
      <c r="O733">
        <v>0</v>
      </c>
      <c r="P733">
        <v>0</v>
      </c>
      <c r="Q733">
        <v>0</v>
      </c>
      <c r="R733">
        <v>0</v>
      </c>
      <c r="S733">
        <v>0</v>
      </c>
      <c r="T733" t="s">
        <v>77</v>
      </c>
      <c r="U733">
        <v>0</v>
      </c>
      <c r="V733">
        <v>0</v>
      </c>
      <c r="W733">
        <v>0</v>
      </c>
      <c r="X733">
        <v>0</v>
      </c>
      <c r="AC733">
        <v>0</v>
      </c>
      <c r="AE733">
        <v>0</v>
      </c>
      <c r="AF733">
        <v>2</v>
      </c>
      <c r="AG733">
        <v>0</v>
      </c>
      <c r="AH733">
        <v>0</v>
      </c>
      <c r="AI733">
        <v>0</v>
      </c>
      <c r="AM733">
        <v>0</v>
      </c>
      <c r="AR733" t="s">
        <v>3042</v>
      </c>
      <c r="AS733" t="s">
        <v>1680</v>
      </c>
      <c r="AT733">
        <v>2025</v>
      </c>
      <c r="AU733">
        <v>4</v>
      </c>
      <c r="AV733" t="s">
        <v>78</v>
      </c>
      <c r="AX733" t="s">
        <v>3085</v>
      </c>
    </row>
    <row r="734" spans="1:50">
      <c r="A734">
        <v>44</v>
      </c>
      <c r="B734">
        <v>33</v>
      </c>
      <c r="C734" t="s">
        <v>74</v>
      </c>
      <c r="D734" t="s">
        <v>1353</v>
      </c>
      <c r="E734" t="s">
        <v>1354</v>
      </c>
      <c r="F734">
        <v>3949</v>
      </c>
      <c r="G734" s="23" t="s">
        <v>1489</v>
      </c>
      <c r="H734" s="2" t="s">
        <v>2986</v>
      </c>
      <c r="I734" s="2" t="s">
        <v>2987</v>
      </c>
      <c r="K734" s="149">
        <v>0</v>
      </c>
      <c r="L734" s="149">
        <v>2556335</v>
      </c>
      <c r="M734" s="149">
        <v>485704</v>
      </c>
      <c r="N734" s="149">
        <v>3042039</v>
      </c>
      <c r="O734">
        <v>0</v>
      </c>
      <c r="P734">
        <v>0</v>
      </c>
      <c r="Q734">
        <v>0</v>
      </c>
      <c r="R734">
        <v>0</v>
      </c>
      <c r="S734">
        <v>0</v>
      </c>
      <c r="T734" t="s">
        <v>77</v>
      </c>
      <c r="U734">
        <v>0</v>
      </c>
      <c r="V734">
        <v>0</v>
      </c>
      <c r="W734">
        <v>0</v>
      </c>
      <c r="X734">
        <v>0</v>
      </c>
      <c r="Y734">
        <v>0</v>
      </c>
      <c r="AC734">
        <v>0</v>
      </c>
      <c r="AE734">
        <v>0</v>
      </c>
      <c r="AF734">
        <v>2</v>
      </c>
      <c r="AG734">
        <v>0</v>
      </c>
      <c r="AH734">
        <v>0</v>
      </c>
      <c r="AI734">
        <v>0</v>
      </c>
      <c r="AM734">
        <v>0</v>
      </c>
      <c r="AR734" t="s">
        <v>3042</v>
      </c>
      <c r="AS734" t="s">
        <v>1680</v>
      </c>
      <c r="AT734">
        <v>2025</v>
      </c>
      <c r="AU734">
        <v>4</v>
      </c>
      <c r="AV734" t="s">
        <v>78</v>
      </c>
      <c r="AX734" t="s">
        <v>3086</v>
      </c>
    </row>
    <row r="735" spans="1:50">
      <c r="A735">
        <v>45</v>
      </c>
      <c r="B735">
        <v>33</v>
      </c>
      <c r="C735" t="s">
        <v>74</v>
      </c>
      <c r="D735" t="s">
        <v>2329</v>
      </c>
      <c r="E735" t="s">
        <v>2330</v>
      </c>
      <c r="F735">
        <v>3950</v>
      </c>
      <c r="G735" s="23" t="s">
        <v>1487</v>
      </c>
      <c r="H735" s="2" t="s">
        <v>2988</v>
      </c>
      <c r="I735" s="2" t="s">
        <v>2989</v>
      </c>
      <c r="K735" s="149">
        <v>0</v>
      </c>
      <c r="L735" s="149">
        <v>280000</v>
      </c>
      <c r="M735" s="149">
        <v>53200</v>
      </c>
      <c r="N735" s="149">
        <v>333200</v>
      </c>
      <c r="O735">
        <v>0</v>
      </c>
      <c r="P735">
        <v>0</v>
      </c>
      <c r="Q735">
        <v>0</v>
      </c>
      <c r="R735">
        <v>0</v>
      </c>
      <c r="S735">
        <v>0</v>
      </c>
      <c r="T735" t="s">
        <v>77</v>
      </c>
      <c r="U735">
        <v>0</v>
      </c>
      <c r="V735">
        <v>0</v>
      </c>
      <c r="W735">
        <v>0</v>
      </c>
      <c r="X735">
        <v>0</v>
      </c>
      <c r="Y735">
        <v>0</v>
      </c>
      <c r="AC735">
        <v>0</v>
      </c>
      <c r="AE735">
        <v>0</v>
      </c>
      <c r="AF735">
        <v>2</v>
      </c>
      <c r="AG735">
        <v>0</v>
      </c>
      <c r="AH735">
        <v>0</v>
      </c>
      <c r="AI735">
        <v>0</v>
      </c>
      <c r="AM735">
        <v>0</v>
      </c>
      <c r="AR735" t="s">
        <v>3042</v>
      </c>
      <c r="AS735" t="s">
        <v>1680</v>
      </c>
      <c r="AT735">
        <v>2025</v>
      </c>
      <c r="AU735">
        <v>4</v>
      </c>
      <c r="AV735" t="s">
        <v>78</v>
      </c>
      <c r="AX735" t="s">
        <v>3087</v>
      </c>
    </row>
    <row r="736" spans="1:50">
      <c r="A736">
        <v>46</v>
      </c>
      <c r="B736">
        <v>33</v>
      </c>
      <c r="C736" t="s">
        <v>74</v>
      </c>
      <c r="D736" t="s">
        <v>1222</v>
      </c>
      <c r="E736" t="s">
        <v>1223</v>
      </c>
      <c r="F736">
        <v>3951</v>
      </c>
      <c r="G736" s="23" t="s">
        <v>3813</v>
      </c>
      <c r="H736" s="2" t="s">
        <v>2990</v>
      </c>
      <c r="I736" s="2"/>
      <c r="J736" t="s">
        <v>2991</v>
      </c>
      <c r="K736" s="149">
        <v>0</v>
      </c>
      <c r="L736" s="149">
        <v>17543510</v>
      </c>
      <c r="M736" s="149">
        <v>3333267</v>
      </c>
      <c r="N736" s="149">
        <v>20876777</v>
      </c>
      <c r="O736">
        <v>0</v>
      </c>
      <c r="P736">
        <v>0</v>
      </c>
      <c r="Q736">
        <v>0</v>
      </c>
      <c r="R736">
        <v>0</v>
      </c>
      <c r="S736">
        <v>0</v>
      </c>
      <c r="T736" t="s">
        <v>77</v>
      </c>
      <c r="U736">
        <v>0</v>
      </c>
      <c r="V736">
        <v>0</v>
      </c>
      <c r="W736">
        <v>0</v>
      </c>
      <c r="X736">
        <v>0</v>
      </c>
      <c r="AC736">
        <v>0</v>
      </c>
      <c r="AE736">
        <v>0</v>
      </c>
      <c r="AF736">
        <v>2</v>
      </c>
      <c r="AG736">
        <v>0</v>
      </c>
      <c r="AH736">
        <v>0</v>
      </c>
      <c r="AI736">
        <v>0</v>
      </c>
      <c r="AM736">
        <v>0</v>
      </c>
      <c r="AR736" t="s">
        <v>3042</v>
      </c>
      <c r="AS736" t="s">
        <v>1680</v>
      </c>
      <c r="AT736">
        <v>2025</v>
      </c>
      <c r="AU736">
        <v>4</v>
      </c>
      <c r="AV736" t="s">
        <v>78</v>
      </c>
      <c r="AX736" t="s">
        <v>3088</v>
      </c>
    </row>
    <row r="737" spans="1:50">
      <c r="A737">
        <v>47</v>
      </c>
      <c r="B737">
        <v>33</v>
      </c>
      <c r="C737" t="s">
        <v>74</v>
      </c>
      <c r="D737" t="s">
        <v>1631</v>
      </c>
      <c r="E737" t="s">
        <v>1632</v>
      </c>
      <c r="F737">
        <v>3952</v>
      </c>
      <c r="G737" s="23" t="s">
        <v>1489</v>
      </c>
      <c r="H737" s="2" t="s">
        <v>2992</v>
      </c>
      <c r="K737" s="149">
        <v>0</v>
      </c>
      <c r="L737" s="149">
        <v>270760</v>
      </c>
      <c r="M737" s="149">
        <v>51444</v>
      </c>
      <c r="N737" s="149">
        <v>322204</v>
      </c>
      <c r="O737">
        <v>0</v>
      </c>
      <c r="P737">
        <v>0</v>
      </c>
      <c r="Q737">
        <v>0</v>
      </c>
      <c r="R737">
        <v>0</v>
      </c>
      <c r="S737">
        <v>0</v>
      </c>
      <c r="T737" t="s">
        <v>77</v>
      </c>
      <c r="U737">
        <v>0</v>
      </c>
      <c r="V737">
        <v>0</v>
      </c>
      <c r="W737">
        <v>0</v>
      </c>
      <c r="X737">
        <v>0</v>
      </c>
      <c r="Y737">
        <v>0</v>
      </c>
      <c r="AC737">
        <v>0</v>
      </c>
      <c r="AE737">
        <v>0</v>
      </c>
      <c r="AF737">
        <v>2</v>
      </c>
      <c r="AG737">
        <v>0</v>
      </c>
      <c r="AH737">
        <v>0</v>
      </c>
      <c r="AI737">
        <v>0</v>
      </c>
      <c r="AM737">
        <v>0</v>
      </c>
      <c r="AR737" t="s">
        <v>3042</v>
      </c>
      <c r="AS737" t="s">
        <v>1680</v>
      </c>
      <c r="AT737">
        <v>2025</v>
      </c>
      <c r="AU737">
        <v>4</v>
      </c>
      <c r="AV737" t="s">
        <v>78</v>
      </c>
      <c r="AX737" t="s">
        <v>3089</v>
      </c>
    </row>
    <row r="738" spans="1:50">
      <c r="A738">
        <v>48</v>
      </c>
      <c r="B738">
        <v>33</v>
      </c>
      <c r="C738" t="s">
        <v>74</v>
      </c>
      <c r="D738" t="s">
        <v>1600</v>
      </c>
      <c r="E738" t="s">
        <v>1601</v>
      </c>
      <c r="F738">
        <v>3953</v>
      </c>
      <c r="G738" s="23" t="s">
        <v>1489</v>
      </c>
      <c r="H738" s="2" t="s">
        <v>2993</v>
      </c>
      <c r="I738" s="2"/>
      <c r="K738" s="149">
        <v>0</v>
      </c>
      <c r="L738" s="149">
        <v>18739</v>
      </c>
      <c r="M738" s="149">
        <v>3560</v>
      </c>
      <c r="N738" s="149">
        <v>22299</v>
      </c>
      <c r="O738">
        <v>0</v>
      </c>
      <c r="P738">
        <v>0</v>
      </c>
      <c r="Q738">
        <v>0</v>
      </c>
      <c r="R738">
        <v>0</v>
      </c>
      <c r="S738">
        <v>0</v>
      </c>
      <c r="T738" t="s">
        <v>77</v>
      </c>
      <c r="U738">
        <v>0</v>
      </c>
      <c r="V738">
        <v>0</v>
      </c>
      <c r="W738">
        <v>0</v>
      </c>
      <c r="X738">
        <v>0</v>
      </c>
      <c r="Y738">
        <v>0</v>
      </c>
      <c r="AC738">
        <v>0</v>
      </c>
      <c r="AE738">
        <v>0</v>
      </c>
      <c r="AF738">
        <v>2</v>
      </c>
      <c r="AG738">
        <v>0</v>
      </c>
      <c r="AH738">
        <v>0</v>
      </c>
      <c r="AI738">
        <v>0</v>
      </c>
      <c r="AM738">
        <v>0</v>
      </c>
      <c r="AR738" t="s">
        <v>3042</v>
      </c>
      <c r="AS738" t="s">
        <v>1680</v>
      </c>
      <c r="AT738">
        <v>2025</v>
      </c>
      <c r="AU738">
        <v>4</v>
      </c>
      <c r="AV738" t="s">
        <v>78</v>
      </c>
      <c r="AX738" t="s">
        <v>3090</v>
      </c>
    </row>
    <row r="739" spans="1:50">
      <c r="A739">
        <v>49</v>
      </c>
      <c r="B739">
        <v>33</v>
      </c>
      <c r="C739" t="s">
        <v>74</v>
      </c>
      <c r="D739" t="s">
        <v>1569</v>
      </c>
      <c r="E739" t="s">
        <v>1570</v>
      </c>
      <c r="F739">
        <v>3954</v>
      </c>
      <c r="G739" s="23" t="s">
        <v>1489</v>
      </c>
      <c r="H739" s="2" t="s">
        <v>2994</v>
      </c>
      <c r="I739" t="s">
        <v>2995</v>
      </c>
      <c r="K739" s="149">
        <v>0</v>
      </c>
      <c r="L739" s="149">
        <v>213137</v>
      </c>
      <c r="M739" s="149">
        <v>40496</v>
      </c>
      <c r="N739" s="149">
        <v>253633</v>
      </c>
      <c r="O739">
        <v>0</v>
      </c>
      <c r="P739">
        <v>0</v>
      </c>
      <c r="Q739">
        <v>0</v>
      </c>
      <c r="R739">
        <v>0</v>
      </c>
      <c r="S739">
        <v>0</v>
      </c>
      <c r="T739" t="s">
        <v>77</v>
      </c>
      <c r="U739">
        <v>0</v>
      </c>
      <c r="V739">
        <v>0</v>
      </c>
      <c r="W739">
        <v>0</v>
      </c>
      <c r="X739">
        <v>0</v>
      </c>
      <c r="Y739">
        <v>0</v>
      </c>
      <c r="AC739">
        <v>0</v>
      </c>
      <c r="AE739">
        <v>0</v>
      </c>
      <c r="AF739">
        <v>2</v>
      </c>
      <c r="AG739">
        <v>0</v>
      </c>
      <c r="AH739">
        <v>0</v>
      </c>
      <c r="AI739">
        <v>0</v>
      </c>
      <c r="AM739">
        <v>0</v>
      </c>
      <c r="AR739" t="s">
        <v>3042</v>
      </c>
      <c r="AS739" t="s">
        <v>1680</v>
      </c>
      <c r="AT739">
        <v>2025</v>
      </c>
      <c r="AU739">
        <v>4</v>
      </c>
      <c r="AV739" t="s">
        <v>78</v>
      </c>
      <c r="AX739" t="s">
        <v>3091</v>
      </c>
    </row>
    <row r="740" spans="1:50">
      <c r="A740">
        <v>50</v>
      </c>
      <c r="B740">
        <v>33</v>
      </c>
      <c r="C740" t="s">
        <v>74</v>
      </c>
      <c r="D740" t="s">
        <v>1222</v>
      </c>
      <c r="E740" t="s">
        <v>1223</v>
      </c>
      <c r="F740">
        <v>3955</v>
      </c>
      <c r="G740" s="23" t="s">
        <v>3813</v>
      </c>
      <c r="H740" s="2" t="s">
        <v>2996</v>
      </c>
      <c r="J740" t="s">
        <v>2997</v>
      </c>
      <c r="K740" s="149">
        <v>0</v>
      </c>
      <c r="L740" s="149">
        <v>11373800</v>
      </c>
      <c r="M740" s="149">
        <v>2161021</v>
      </c>
      <c r="N740" s="149">
        <v>13534821</v>
      </c>
      <c r="O740">
        <v>0</v>
      </c>
      <c r="P740">
        <v>0</v>
      </c>
      <c r="Q740">
        <v>0</v>
      </c>
      <c r="R740">
        <v>0</v>
      </c>
      <c r="S740">
        <v>0</v>
      </c>
      <c r="T740" t="s">
        <v>77</v>
      </c>
      <c r="U740">
        <v>0</v>
      </c>
      <c r="V740">
        <v>0</v>
      </c>
      <c r="W740">
        <v>0</v>
      </c>
      <c r="X740">
        <v>0</v>
      </c>
      <c r="AC740">
        <v>0</v>
      </c>
      <c r="AE740">
        <v>0</v>
      </c>
      <c r="AF740">
        <v>2</v>
      </c>
      <c r="AG740">
        <v>0</v>
      </c>
      <c r="AH740">
        <v>0</v>
      </c>
      <c r="AI740">
        <v>0</v>
      </c>
      <c r="AM740">
        <v>0</v>
      </c>
      <c r="AR740" t="s">
        <v>3042</v>
      </c>
      <c r="AS740" t="s">
        <v>1680</v>
      </c>
      <c r="AT740">
        <v>2025</v>
      </c>
      <c r="AU740">
        <v>4</v>
      </c>
      <c r="AV740" t="s">
        <v>78</v>
      </c>
      <c r="AX740" t="s">
        <v>3092</v>
      </c>
    </row>
    <row r="741" spans="1:50">
      <c r="A741">
        <v>51</v>
      </c>
      <c r="B741">
        <v>33</v>
      </c>
      <c r="C741" t="s">
        <v>74</v>
      </c>
      <c r="D741" t="s">
        <v>1555</v>
      </c>
      <c r="E741" t="s">
        <v>1556</v>
      </c>
      <c r="F741">
        <v>3956</v>
      </c>
      <c r="G741" s="23" t="s">
        <v>3813</v>
      </c>
      <c r="H741" s="2" t="s">
        <v>2998</v>
      </c>
      <c r="I741" t="s">
        <v>2999</v>
      </c>
      <c r="K741" s="149">
        <v>0</v>
      </c>
      <c r="L741" s="149">
        <v>1256700</v>
      </c>
      <c r="M741" s="149">
        <v>238773</v>
      </c>
      <c r="N741" s="149">
        <v>1495473</v>
      </c>
      <c r="O741">
        <v>0</v>
      </c>
      <c r="P741">
        <v>0</v>
      </c>
      <c r="Q741">
        <v>0</v>
      </c>
      <c r="R741">
        <v>0</v>
      </c>
      <c r="S741">
        <v>0</v>
      </c>
      <c r="T741" t="s">
        <v>77</v>
      </c>
      <c r="U741">
        <v>0</v>
      </c>
      <c r="V741">
        <v>0</v>
      </c>
      <c r="W741">
        <v>0</v>
      </c>
      <c r="X741">
        <v>0</v>
      </c>
      <c r="AC741">
        <v>0</v>
      </c>
      <c r="AE741">
        <v>0</v>
      </c>
      <c r="AF741">
        <v>2</v>
      </c>
      <c r="AG741">
        <v>0</v>
      </c>
      <c r="AH741">
        <v>0</v>
      </c>
      <c r="AI741">
        <v>0</v>
      </c>
      <c r="AM741">
        <v>0</v>
      </c>
      <c r="AR741" t="s">
        <v>3042</v>
      </c>
      <c r="AS741" t="s">
        <v>1680</v>
      </c>
      <c r="AT741">
        <v>2025</v>
      </c>
      <c r="AU741">
        <v>4</v>
      </c>
      <c r="AV741" t="s">
        <v>78</v>
      </c>
      <c r="AX741" t="s">
        <v>3093</v>
      </c>
    </row>
    <row r="742" spans="1:50">
      <c r="A742">
        <v>52</v>
      </c>
      <c r="B742">
        <v>33</v>
      </c>
      <c r="C742" t="s">
        <v>74</v>
      </c>
      <c r="D742" t="s">
        <v>1577</v>
      </c>
      <c r="E742" t="s">
        <v>1578</v>
      </c>
      <c r="F742">
        <v>3957</v>
      </c>
      <c r="G742" s="23" t="s">
        <v>3813</v>
      </c>
      <c r="H742" s="2" t="s">
        <v>3000</v>
      </c>
      <c r="K742" s="149">
        <v>0</v>
      </c>
      <c r="L742" s="149">
        <v>239518</v>
      </c>
      <c r="M742" s="149">
        <v>45509</v>
      </c>
      <c r="N742" s="149">
        <v>285027</v>
      </c>
      <c r="O742">
        <v>0</v>
      </c>
      <c r="P742">
        <v>0</v>
      </c>
      <c r="Q742">
        <v>0</v>
      </c>
      <c r="R742">
        <v>0</v>
      </c>
      <c r="S742">
        <v>0</v>
      </c>
      <c r="T742" t="s">
        <v>77</v>
      </c>
      <c r="U742">
        <v>0</v>
      </c>
      <c r="V742">
        <v>0</v>
      </c>
      <c r="W742">
        <v>0</v>
      </c>
      <c r="X742">
        <v>0</v>
      </c>
      <c r="Y742">
        <v>0</v>
      </c>
      <c r="AC742">
        <v>0</v>
      </c>
      <c r="AE742">
        <v>0</v>
      </c>
      <c r="AF742">
        <v>2</v>
      </c>
      <c r="AG742">
        <v>0</v>
      </c>
      <c r="AH742">
        <v>0</v>
      </c>
      <c r="AI742">
        <v>0</v>
      </c>
      <c r="AM742">
        <v>0</v>
      </c>
      <c r="AR742" t="s">
        <v>3042</v>
      </c>
      <c r="AS742" t="s">
        <v>1680</v>
      </c>
      <c r="AT742">
        <v>2025</v>
      </c>
      <c r="AU742">
        <v>4</v>
      </c>
      <c r="AV742" t="s">
        <v>78</v>
      </c>
      <c r="AX742" t="s">
        <v>3094</v>
      </c>
    </row>
    <row r="743" spans="1:50">
      <c r="A743">
        <v>53</v>
      </c>
      <c r="B743">
        <v>33</v>
      </c>
      <c r="C743" t="s">
        <v>74</v>
      </c>
      <c r="D743" t="s">
        <v>1579</v>
      </c>
      <c r="E743" t="s">
        <v>1580</v>
      </c>
      <c r="F743">
        <v>3958</v>
      </c>
      <c r="G743" s="23" t="s">
        <v>3813</v>
      </c>
      <c r="H743" s="2" t="s">
        <v>3001</v>
      </c>
      <c r="I743" t="s">
        <v>3002</v>
      </c>
      <c r="K743" s="149">
        <v>0</v>
      </c>
      <c r="L743" s="149">
        <v>26571660</v>
      </c>
      <c r="M743" s="149">
        <v>5048616</v>
      </c>
      <c r="N743" s="149">
        <v>31620276</v>
      </c>
      <c r="O743">
        <v>0</v>
      </c>
      <c r="P743">
        <v>0</v>
      </c>
      <c r="Q743">
        <v>0</v>
      </c>
      <c r="R743">
        <v>0</v>
      </c>
      <c r="S743">
        <v>0</v>
      </c>
      <c r="T743" t="s">
        <v>77</v>
      </c>
      <c r="U743">
        <v>0</v>
      </c>
      <c r="V743">
        <v>0</v>
      </c>
      <c r="W743">
        <v>0</v>
      </c>
      <c r="X743">
        <v>0</v>
      </c>
      <c r="AC743">
        <v>0</v>
      </c>
      <c r="AE743">
        <v>0</v>
      </c>
      <c r="AF743">
        <v>2</v>
      </c>
      <c r="AG743">
        <v>0</v>
      </c>
      <c r="AH743">
        <v>0</v>
      </c>
      <c r="AI743">
        <v>0</v>
      </c>
      <c r="AM743">
        <v>0</v>
      </c>
      <c r="AR743" t="s">
        <v>3042</v>
      </c>
      <c r="AS743" t="s">
        <v>1680</v>
      </c>
      <c r="AT743">
        <v>2025</v>
      </c>
      <c r="AU743">
        <v>4</v>
      </c>
      <c r="AV743" t="s">
        <v>78</v>
      </c>
      <c r="AX743" t="s">
        <v>3095</v>
      </c>
    </row>
    <row r="744" spans="1:50">
      <c r="A744">
        <v>54</v>
      </c>
      <c r="B744">
        <v>33</v>
      </c>
      <c r="C744" t="s">
        <v>74</v>
      </c>
      <c r="D744" t="s">
        <v>1222</v>
      </c>
      <c r="E744" t="s">
        <v>1223</v>
      </c>
      <c r="F744">
        <v>3959</v>
      </c>
      <c r="G744" s="23" t="s">
        <v>1490</v>
      </c>
      <c r="H744" s="2" t="s">
        <v>3003</v>
      </c>
      <c r="I744" t="s">
        <v>3004</v>
      </c>
      <c r="K744" s="149">
        <v>0</v>
      </c>
      <c r="L744" s="149">
        <v>11116380</v>
      </c>
      <c r="M744" s="149">
        <v>2112112</v>
      </c>
      <c r="N744" s="149">
        <v>13228492</v>
      </c>
      <c r="O744">
        <v>0</v>
      </c>
      <c r="P744">
        <v>0</v>
      </c>
      <c r="Q744">
        <v>0</v>
      </c>
      <c r="R744">
        <v>0</v>
      </c>
      <c r="S744">
        <v>0</v>
      </c>
      <c r="T744" t="s">
        <v>77</v>
      </c>
      <c r="U744">
        <v>0</v>
      </c>
      <c r="V744">
        <v>0</v>
      </c>
      <c r="W744">
        <v>0</v>
      </c>
      <c r="X744">
        <v>0</v>
      </c>
      <c r="AC744">
        <v>0</v>
      </c>
      <c r="AE744">
        <v>0</v>
      </c>
      <c r="AF744">
        <v>2</v>
      </c>
      <c r="AG744">
        <v>0</v>
      </c>
      <c r="AH744">
        <v>0</v>
      </c>
      <c r="AI744">
        <v>0</v>
      </c>
      <c r="AM744">
        <v>0</v>
      </c>
      <c r="AR744" t="s">
        <v>3042</v>
      </c>
      <c r="AS744" t="s">
        <v>1680</v>
      </c>
      <c r="AT744">
        <v>2025</v>
      </c>
      <c r="AU744">
        <v>4</v>
      </c>
      <c r="AV744" t="s">
        <v>78</v>
      </c>
      <c r="AX744" t="s">
        <v>3096</v>
      </c>
    </row>
    <row r="745" spans="1:50">
      <c r="A745">
        <v>55</v>
      </c>
      <c r="B745">
        <v>33</v>
      </c>
      <c r="C745" t="s">
        <v>74</v>
      </c>
      <c r="D745" t="s">
        <v>2509</v>
      </c>
      <c r="E745" t="s">
        <v>2510</v>
      </c>
      <c r="F745">
        <v>3960</v>
      </c>
      <c r="G745" s="23" t="s">
        <v>3813</v>
      </c>
      <c r="H745" s="2" t="s">
        <v>3005</v>
      </c>
      <c r="I745" t="s">
        <v>3006</v>
      </c>
      <c r="K745" s="149">
        <v>0</v>
      </c>
      <c r="L745" s="149">
        <v>313190</v>
      </c>
      <c r="M745" s="149">
        <v>59506</v>
      </c>
      <c r="N745" s="149">
        <v>372696</v>
      </c>
      <c r="O745">
        <v>0</v>
      </c>
      <c r="P745">
        <v>0</v>
      </c>
      <c r="Q745">
        <v>0</v>
      </c>
      <c r="R745">
        <v>0</v>
      </c>
      <c r="S745">
        <v>0</v>
      </c>
      <c r="T745" t="s">
        <v>77</v>
      </c>
      <c r="U745">
        <v>0</v>
      </c>
      <c r="V745">
        <v>0</v>
      </c>
      <c r="W745">
        <v>0</v>
      </c>
      <c r="X745">
        <v>0</v>
      </c>
      <c r="Y745">
        <v>0</v>
      </c>
      <c r="AC745">
        <v>0</v>
      </c>
      <c r="AE745">
        <v>0</v>
      </c>
      <c r="AF745">
        <v>2</v>
      </c>
      <c r="AG745">
        <v>0</v>
      </c>
      <c r="AH745">
        <v>0</v>
      </c>
      <c r="AI745">
        <v>0</v>
      </c>
      <c r="AM745">
        <v>0</v>
      </c>
      <c r="AR745" t="s">
        <v>3042</v>
      </c>
      <c r="AS745" t="s">
        <v>1680</v>
      </c>
      <c r="AT745">
        <v>2025</v>
      </c>
      <c r="AU745">
        <v>4</v>
      </c>
      <c r="AV745" t="s">
        <v>78</v>
      </c>
      <c r="AX745" t="s">
        <v>3097</v>
      </c>
    </row>
    <row r="746" spans="1:50">
      <c r="A746">
        <v>56</v>
      </c>
      <c r="B746">
        <v>33</v>
      </c>
      <c r="C746" t="s">
        <v>74</v>
      </c>
      <c r="D746" t="s">
        <v>1571</v>
      </c>
      <c r="E746" t="s">
        <v>1572</v>
      </c>
      <c r="F746">
        <v>3961</v>
      </c>
      <c r="G746" s="23" t="s">
        <v>1487</v>
      </c>
      <c r="H746" s="2" t="s">
        <v>3007</v>
      </c>
      <c r="I746" t="s">
        <v>3008</v>
      </c>
      <c r="K746" s="149">
        <v>0</v>
      </c>
      <c r="L746" s="149">
        <v>4862949</v>
      </c>
      <c r="M746" s="149">
        <v>923961</v>
      </c>
      <c r="N746" s="149">
        <v>5786910</v>
      </c>
      <c r="O746">
        <v>0</v>
      </c>
      <c r="P746">
        <v>0</v>
      </c>
      <c r="Q746">
        <v>0</v>
      </c>
      <c r="R746">
        <v>0</v>
      </c>
      <c r="S746">
        <v>0</v>
      </c>
      <c r="T746" t="s">
        <v>77</v>
      </c>
      <c r="U746">
        <v>0</v>
      </c>
      <c r="V746">
        <v>0</v>
      </c>
      <c r="W746">
        <v>0</v>
      </c>
      <c r="X746">
        <v>0</v>
      </c>
      <c r="AC746">
        <v>0</v>
      </c>
      <c r="AE746">
        <v>0</v>
      </c>
      <c r="AF746">
        <v>2</v>
      </c>
      <c r="AG746">
        <v>0</v>
      </c>
      <c r="AH746">
        <v>0</v>
      </c>
      <c r="AI746">
        <v>0</v>
      </c>
      <c r="AM746">
        <v>0</v>
      </c>
      <c r="AR746" t="s">
        <v>3042</v>
      </c>
      <c r="AS746" t="s">
        <v>1680</v>
      </c>
      <c r="AT746">
        <v>2025</v>
      </c>
      <c r="AU746">
        <v>4</v>
      </c>
      <c r="AV746" t="s">
        <v>78</v>
      </c>
      <c r="AX746" t="s">
        <v>3098</v>
      </c>
    </row>
    <row r="747" spans="1:50">
      <c r="A747">
        <v>57</v>
      </c>
      <c r="B747">
        <v>33</v>
      </c>
      <c r="C747" t="s">
        <v>74</v>
      </c>
      <c r="D747" t="s">
        <v>1579</v>
      </c>
      <c r="E747" t="s">
        <v>1580</v>
      </c>
      <c r="F747">
        <v>3962</v>
      </c>
      <c r="G747" s="23" t="s">
        <v>3814</v>
      </c>
      <c r="H747" s="2" t="s">
        <v>3009</v>
      </c>
      <c r="I747" t="s">
        <v>3010</v>
      </c>
      <c r="K747" s="149">
        <v>0</v>
      </c>
      <c r="L747" s="149">
        <v>30000</v>
      </c>
      <c r="M747" s="149">
        <v>5700</v>
      </c>
      <c r="N747" s="149">
        <v>35700</v>
      </c>
      <c r="O747">
        <v>0</v>
      </c>
      <c r="P747">
        <v>0</v>
      </c>
      <c r="Q747">
        <v>0</v>
      </c>
      <c r="R747">
        <v>0</v>
      </c>
      <c r="S747">
        <v>0</v>
      </c>
      <c r="T747" t="s">
        <v>77</v>
      </c>
      <c r="U747">
        <v>0</v>
      </c>
      <c r="V747">
        <v>0</v>
      </c>
      <c r="W747">
        <v>0</v>
      </c>
      <c r="X747">
        <v>0</v>
      </c>
      <c r="Y747">
        <v>0</v>
      </c>
      <c r="AC747">
        <v>0</v>
      </c>
      <c r="AE747">
        <v>0</v>
      </c>
      <c r="AF747">
        <v>2</v>
      </c>
      <c r="AG747">
        <v>0</v>
      </c>
      <c r="AH747">
        <v>0</v>
      </c>
      <c r="AI747">
        <v>0</v>
      </c>
      <c r="AM747">
        <v>0</v>
      </c>
      <c r="AR747" t="s">
        <v>3042</v>
      </c>
      <c r="AS747" t="s">
        <v>1680</v>
      </c>
      <c r="AT747">
        <v>2025</v>
      </c>
      <c r="AU747">
        <v>4</v>
      </c>
      <c r="AV747" t="s">
        <v>78</v>
      </c>
      <c r="AX747" t="s">
        <v>3099</v>
      </c>
    </row>
    <row r="748" spans="1:50">
      <c r="A748">
        <v>58</v>
      </c>
      <c r="B748">
        <v>33</v>
      </c>
      <c r="C748" t="s">
        <v>74</v>
      </c>
      <c r="D748" t="s">
        <v>1222</v>
      </c>
      <c r="E748" t="s">
        <v>1223</v>
      </c>
      <c r="F748">
        <v>3963</v>
      </c>
      <c r="G748" s="23" t="s">
        <v>1487</v>
      </c>
      <c r="H748" s="2" t="s">
        <v>3011</v>
      </c>
      <c r="I748" s="2" t="s">
        <v>3012</v>
      </c>
      <c r="K748" s="149">
        <v>0</v>
      </c>
      <c r="L748" s="149">
        <v>7417160</v>
      </c>
      <c r="M748" s="149">
        <v>1409260</v>
      </c>
      <c r="N748" s="149">
        <v>8826420</v>
      </c>
      <c r="O748">
        <v>0</v>
      </c>
      <c r="P748">
        <v>0</v>
      </c>
      <c r="Q748">
        <v>0</v>
      </c>
      <c r="R748">
        <v>0</v>
      </c>
      <c r="S748">
        <v>0</v>
      </c>
      <c r="T748" t="s">
        <v>77</v>
      </c>
      <c r="U748">
        <v>0</v>
      </c>
      <c r="V748">
        <v>0</v>
      </c>
      <c r="W748">
        <v>0</v>
      </c>
      <c r="X748">
        <v>0</v>
      </c>
      <c r="AC748">
        <v>0</v>
      </c>
      <c r="AE748">
        <v>0</v>
      </c>
      <c r="AF748">
        <v>2</v>
      </c>
      <c r="AG748">
        <v>0</v>
      </c>
      <c r="AH748">
        <v>0</v>
      </c>
      <c r="AI748">
        <v>0</v>
      </c>
      <c r="AM748">
        <v>0</v>
      </c>
      <c r="AR748" t="s">
        <v>3042</v>
      </c>
      <c r="AS748" t="s">
        <v>1680</v>
      </c>
      <c r="AT748">
        <v>2025</v>
      </c>
      <c r="AU748">
        <v>4</v>
      </c>
      <c r="AV748" t="s">
        <v>78</v>
      </c>
      <c r="AX748" t="s">
        <v>3100</v>
      </c>
    </row>
    <row r="749" spans="1:50">
      <c r="A749">
        <v>59</v>
      </c>
      <c r="B749">
        <v>33</v>
      </c>
      <c r="C749" t="s">
        <v>74</v>
      </c>
      <c r="D749" t="s">
        <v>1222</v>
      </c>
      <c r="E749" t="s">
        <v>1223</v>
      </c>
      <c r="F749">
        <v>3964</v>
      </c>
      <c r="G749" s="23" t="s">
        <v>1488</v>
      </c>
      <c r="H749" s="2" t="s">
        <v>3013</v>
      </c>
      <c r="I749" s="2" t="s">
        <v>3012</v>
      </c>
      <c r="K749" s="149">
        <v>0</v>
      </c>
      <c r="L749" s="149">
        <v>10940880</v>
      </c>
      <c r="M749" s="149">
        <v>2078767</v>
      </c>
      <c r="N749" s="149">
        <v>13019647</v>
      </c>
      <c r="O749">
        <v>0</v>
      </c>
      <c r="P749">
        <v>0</v>
      </c>
      <c r="Q749">
        <v>0</v>
      </c>
      <c r="R749">
        <v>0</v>
      </c>
      <c r="S749">
        <v>0</v>
      </c>
      <c r="T749" t="s">
        <v>77</v>
      </c>
      <c r="U749">
        <v>0</v>
      </c>
      <c r="V749">
        <v>0</v>
      </c>
      <c r="W749">
        <v>0</v>
      </c>
      <c r="X749">
        <v>0</v>
      </c>
      <c r="AC749">
        <v>0</v>
      </c>
      <c r="AE749">
        <v>0</v>
      </c>
      <c r="AF749">
        <v>2</v>
      </c>
      <c r="AG749">
        <v>0</v>
      </c>
      <c r="AH749">
        <v>0</v>
      </c>
      <c r="AI749">
        <v>0</v>
      </c>
      <c r="AM749">
        <v>0</v>
      </c>
      <c r="AR749" t="s">
        <v>3042</v>
      </c>
      <c r="AS749" t="s">
        <v>1680</v>
      </c>
      <c r="AT749">
        <v>2025</v>
      </c>
      <c r="AU749">
        <v>4</v>
      </c>
      <c r="AV749" t="s">
        <v>78</v>
      </c>
      <c r="AX749" t="s">
        <v>3101</v>
      </c>
    </row>
    <row r="750" spans="1:50">
      <c r="A750">
        <v>60</v>
      </c>
      <c r="B750">
        <v>33</v>
      </c>
      <c r="C750" t="s">
        <v>74</v>
      </c>
      <c r="D750" t="s">
        <v>1581</v>
      </c>
      <c r="E750" t="s">
        <v>1582</v>
      </c>
      <c r="F750">
        <v>3965</v>
      </c>
      <c r="G750" s="23" t="s">
        <v>3815</v>
      </c>
      <c r="H750" s="2" t="s">
        <v>3014</v>
      </c>
      <c r="I750" t="s">
        <v>3015</v>
      </c>
      <c r="K750" s="149">
        <v>0</v>
      </c>
      <c r="L750" s="149">
        <v>754180</v>
      </c>
      <c r="M750" s="149">
        <v>143294</v>
      </c>
      <c r="N750" s="149">
        <v>897474</v>
      </c>
      <c r="O750">
        <v>0</v>
      </c>
      <c r="P750">
        <v>0</v>
      </c>
      <c r="Q750">
        <v>0</v>
      </c>
      <c r="R750">
        <v>0</v>
      </c>
      <c r="S750">
        <v>0</v>
      </c>
      <c r="T750" t="s">
        <v>77</v>
      </c>
      <c r="U750">
        <v>0</v>
      </c>
      <c r="V750">
        <v>0</v>
      </c>
      <c r="W750">
        <v>0</v>
      </c>
      <c r="X750">
        <v>0</v>
      </c>
      <c r="Y750">
        <v>0</v>
      </c>
      <c r="AC750">
        <v>0</v>
      </c>
      <c r="AE750">
        <v>0</v>
      </c>
      <c r="AF750">
        <v>2</v>
      </c>
      <c r="AG750">
        <v>0</v>
      </c>
      <c r="AH750">
        <v>0</v>
      </c>
      <c r="AI750">
        <v>0</v>
      </c>
      <c r="AM750">
        <v>0</v>
      </c>
      <c r="AR750" t="s">
        <v>3042</v>
      </c>
      <c r="AS750" t="s">
        <v>1680</v>
      </c>
      <c r="AT750">
        <v>2025</v>
      </c>
      <c r="AU750">
        <v>4</v>
      </c>
      <c r="AV750" t="s">
        <v>78</v>
      </c>
      <c r="AX750" t="s">
        <v>3102</v>
      </c>
    </row>
    <row r="751" spans="1:50">
      <c r="A751">
        <v>61</v>
      </c>
      <c r="B751">
        <v>33</v>
      </c>
      <c r="C751" t="s">
        <v>74</v>
      </c>
      <c r="D751" t="s">
        <v>1988</v>
      </c>
      <c r="E751" t="s">
        <v>1989</v>
      </c>
      <c r="F751">
        <v>3966</v>
      </c>
      <c r="G751" s="23" t="s">
        <v>3815</v>
      </c>
      <c r="H751" s="2" t="s">
        <v>3016</v>
      </c>
      <c r="I751" s="2" t="s">
        <v>3017</v>
      </c>
      <c r="K751" s="149">
        <v>0</v>
      </c>
      <c r="L751" s="149">
        <v>837800</v>
      </c>
      <c r="M751" s="149">
        <v>159182</v>
      </c>
      <c r="N751" s="149">
        <v>996982</v>
      </c>
      <c r="O751">
        <v>0</v>
      </c>
      <c r="P751">
        <v>0</v>
      </c>
      <c r="Q751">
        <v>0</v>
      </c>
      <c r="R751">
        <v>0</v>
      </c>
      <c r="S751">
        <v>0</v>
      </c>
      <c r="T751" t="s">
        <v>77</v>
      </c>
      <c r="U751">
        <v>0</v>
      </c>
      <c r="V751">
        <v>0</v>
      </c>
      <c r="W751">
        <v>0</v>
      </c>
      <c r="X751">
        <v>0</v>
      </c>
      <c r="AC751">
        <v>0</v>
      </c>
      <c r="AE751">
        <v>0</v>
      </c>
      <c r="AF751">
        <v>2</v>
      </c>
      <c r="AG751">
        <v>0</v>
      </c>
      <c r="AH751">
        <v>0</v>
      </c>
      <c r="AI751">
        <v>0</v>
      </c>
      <c r="AM751">
        <v>0</v>
      </c>
      <c r="AR751" t="s">
        <v>3042</v>
      </c>
      <c r="AS751" t="s">
        <v>1680</v>
      </c>
      <c r="AT751">
        <v>2025</v>
      </c>
      <c r="AU751">
        <v>4</v>
      </c>
      <c r="AV751" t="s">
        <v>78</v>
      </c>
      <c r="AX751" t="s">
        <v>3103</v>
      </c>
    </row>
    <row r="752" spans="1:50">
      <c r="A752">
        <v>62</v>
      </c>
      <c r="B752">
        <v>33</v>
      </c>
      <c r="C752" t="s">
        <v>74</v>
      </c>
      <c r="D752" t="s">
        <v>1222</v>
      </c>
      <c r="E752" t="s">
        <v>1223</v>
      </c>
      <c r="F752">
        <v>3967</v>
      </c>
      <c r="G752" s="23" t="s">
        <v>1490</v>
      </c>
      <c r="H752" s="2" t="s">
        <v>3018</v>
      </c>
      <c r="I752" s="2"/>
      <c r="J752" t="s">
        <v>3019</v>
      </c>
      <c r="K752" s="149">
        <v>0</v>
      </c>
      <c r="L752" s="149">
        <v>1266690</v>
      </c>
      <c r="M752" s="149">
        <v>240671</v>
      </c>
      <c r="N752" s="149">
        <v>1507361</v>
      </c>
      <c r="O752">
        <v>0</v>
      </c>
      <c r="P752">
        <v>0</v>
      </c>
      <c r="Q752">
        <v>0</v>
      </c>
      <c r="R752">
        <v>0</v>
      </c>
      <c r="S752">
        <v>0</v>
      </c>
      <c r="T752" t="s">
        <v>77</v>
      </c>
      <c r="U752">
        <v>0</v>
      </c>
      <c r="V752">
        <v>0</v>
      </c>
      <c r="W752">
        <v>0</v>
      </c>
      <c r="X752">
        <v>0</v>
      </c>
      <c r="AC752">
        <v>0</v>
      </c>
      <c r="AE752">
        <v>0</v>
      </c>
      <c r="AF752">
        <v>2</v>
      </c>
      <c r="AG752">
        <v>0</v>
      </c>
      <c r="AH752">
        <v>0</v>
      </c>
      <c r="AI752">
        <v>0</v>
      </c>
      <c r="AM752">
        <v>0</v>
      </c>
      <c r="AR752" t="s">
        <v>3042</v>
      </c>
      <c r="AS752" t="s">
        <v>1680</v>
      </c>
      <c r="AT752">
        <v>2025</v>
      </c>
      <c r="AU752">
        <v>4</v>
      </c>
      <c r="AV752" t="s">
        <v>78</v>
      </c>
      <c r="AX752" t="s">
        <v>3104</v>
      </c>
    </row>
    <row r="753" spans="1:50">
      <c r="A753">
        <v>63</v>
      </c>
      <c r="B753">
        <v>33</v>
      </c>
      <c r="C753" t="s">
        <v>74</v>
      </c>
      <c r="D753" t="s">
        <v>1222</v>
      </c>
      <c r="E753" t="s">
        <v>1223</v>
      </c>
      <c r="F753">
        <v>3968</v>
      </c>
      <c r="G753" s="23" t="s">
        <v>1490</v>
      </c>
      <c r="H753" s="2" t="s">
        <v>3020</v>
      </c>
      <c r="I753" s="2" t="s">
        <v>3021</v>
      </c>
      <c r="K753" s="149">
        <v>0</v>
      </c>
      <c r="L753" s="149">
        <v>15580240</v>
      </c>
      <c r="M753" s="149">
        <v>2960245</v>
      </c>
      <c r="N753" s="149">
        <v>18540485</v>
      </c>
      <c r="O753">
        <v>0</v>
      </c>
      <c r="P753">
        <v>0</v>
      </c>
      <c r="Q753">
        <v>0</v>
      </c>
      <c r="R753">
        <v>0</v>
      </c>
      <c r="S753">
        <v>0</v>
      </c>
      <c r="T753" t="s">
        <v>77</v>
      </c>
      <c r="U753">
        <v>0</v>
      </c>
      <c r="V753">
        <v>0</v>
      </c>
      <c r="W753">
        <v>0</v>
      </c>
      <c r="X753">
        <v>0</v>
      </c>
      <c r="AC753">
        <v>0</v>
      </c>
      <c r="AE753">
        <v>0</v>
      </c>
      <c r="AF753">
        <v>2</v>
      </c>
      <c r="AG753">
        <v>0</v>
      </c>
      <c r="AH753">
        <v>0</v>
      </c>
      <c r="AI753">
        <v>0</v>
      </c>
      <c r="AM753">
        <v>0</v>
      </c>
      <c r="AR753" t="s">
        <v>3042</v>
      </c>
      <c r="AS753" t="s">
        <v>1680</v>
      </c>
      <c r="AT753">
        <v>2025</v>
      </c>
      <c r="AU753">
        <v>4</v>
      </c>
      <c r="AV753" t="s">
        <v>78</v>
      </c>
      <c r="AX753" t="s">
        <v>3105</v>
      </c>
    </row>
    <row r="754" spans="1:50">
      <c r="A754">
        <v>64</v>
      </c>
      <c r="B754">
        <v>33</v>
      </c>
      <c r="C754" t="s">
        <v>74</v>
      </c>
      <c r="D754" t="s">
        <v>1561</v>
      </c>
      <c r="E754" t="s">
        <v>1562</v>
      </c>
      <c r="F754">
        <v>3969</v>
      </c>
      <c r="G754" s="23" t="s">
        <v>1491</v>
      </c>
      <c r="H754" s="2" t="s">
        <v>3022</v>
      </c>
      <c r="K754" s="149">
        <v>0</v>
      </c>
      <c r="L754" s="149">
        <v>31978500</v>
      </c>
      <c r="M754" s="149">
        <v>6075915</v>
      </c>
      <c r="N754" s="149">
        <v>38054415</v>
      </c>
      <c r="O754">
        <v>0</v>
      </c>
      <c r="P754">
        <v>0</v>
      </c>
      <c r="Q754">
        <v>0</v>
      </c>
      <c r="R754">
        <v>0</v>
      </c>
      <c r="S754">
        <v>0</v>
      </c>
      <c r="T754" t="s">
        <v>77</v>
      </c>
      <c r="U754">
        <v>0</v>
      </c>
      <c r="V754">
        <v>0</v>
      </c>
      <c r="W754">
        <v>0</v>
      </c>
      <c r="X754">
        <v>0</v>
      </c>
      <c r="AC754">
        <v>0</v>
      </c>
      <c r="AE754">
        <v>0</v>
      </c>
      <c r="AF754">
        <v>2</v>
      </c>
      <c r="AG754">
        <v>0</v>
      </c>
      <c r="AH754">
        <v>0</v>
      </c>
      <c r="AI754">
        <v>0</v>
      </c>
      <c r="AM754">
        <v>0</v>
      </c>
      <c r="AR754" t="s">
        <v>3042</v>
      </c>
      <c r="AS754" t="s">
        <v>1680</v>
      </c>
      <c r="AT754">
        <v>2025</v>
      </c>
      <c r="AU754">
        <v>4</v>
      </c>
      <c r="AV754" t="s">
        <v>78</v>
      </c>
      <c r="AX754" t="s">
        <v>3106</v>
      </c>
    </row>
    <row r="755" spans="1:50">
      <c r="A755">
        <v>65</v>
      </c>
      <c r="B755">
        <v>33</v>
      </c>
      <c r="C755" t="s">
        <v>74</v>
      </c>
      <c r="D755" t="s">
        <v>1353</v>
      </c>
      <c r="E755" t="s">
        <v>1354</v>
      </c>
      <c r="F755">
        <v>3970</v>
      </c>
      <c r="G755" s="23" t="s">
        <v>3816</v>
      </c>
      <c r="H755" s="2" t="s">
        <v>3023</v>
      </c>
      <c r="I755" s="2" t="s">
        <v>3024</v>
      </c>
      <c r="K755" s="149">
        <v>0</v>
      </c>
      <c r="L755" s="149">
        <v>2250775</v>
      </c>
      <c r="M755" s="149">
        <v>427648</v>
      </c>
      <c r="N755" s="149">
        <v>2678423</v>
      </c>
      <c r="O755">
        <v>0</v>
      </c>
      <c r="P755">
        <v>0</v>
      </c>
      <c r="Q755">
        <v>0</v>
      </c>
      <c r="R755">
        <v>0</v>
      </c>
      <c r="S755">
        <v>0</v>
      </c>
      <c r="T755" t="s">
        <v>77</v>
      </c>
      <c r="U755">
        <v>0</v>
      </c>
      <c r="V755">
        <v>0</v>
      </c>
      <c r="W755">
        <v>0</v>
      </c>
      <c r="X755">
        <v>0</v>
      </c>
      <c r="Y755">
        <v>0</v>
      </c>
      <c r="AC755">
        <v>0</v>
      </c>
      <c r="AE755">
        <v>0</v>
      </c>
      <c r="AF755">
        <v>2</v>
      </c>
      <c r="AG755">
        <v>0</v>
      </c>
      <c r="AH755">
        <v>0</v>
      </c>
      <c r="AI755">
        <v>0</v>
      </c>
      <c r="AM755">
        <v>0</v>
      </c>
      <c r="AR755" t="s">
        <v>3042</v>
      </c>
      <c r="AS755" t="s">
        <v>1680</v>
      </c>
      <c r="AT755">
        <v>2025</v>
      </c>
      <c r="AU755">
        <v>4</v>
      </c>
      <c r="AV755" t="s">
        <v>78</v>
      </c>
      <c r="AX755" t="s">
        <v>3107</v>
      </c>
    </row>
    <row r="756" spans="1:50">
      <c r="A756">
        <v>66</v>
      </c>
      <c r="B756">
        <v>33</v>
      </c>
      <c r="C756" t="s">
        <v>74</v>
      </c>
      <c r="D756" t="s">
        <v>2509</v>
      </c>
      <c r="E756" t="s">
        <v>2510</v>
      </c>
      <c r="F756">
        <v>3971</v>
      </c>
      <c r="G756" s="23" t="s">
        <v>3816</v>
      </c>
      <c r="H756" s="2" t="s">
        <v>3025</v>
      </c>
      <c r="I756" t="s">
        <v>3026</v>
      </c>
      <c r="K756" s="149">
        <v>0</v>
      </c>
      <c r="L756" s="149">
        <v>235160</v>
      </c>
      <c r="M756" s="149">
        <v>44680</v>
      </c>
      <c r="N756" s="149">
        <v>279840</v>
      </c>
      <c r="O756">
        <v>0</v>
      </c>
      <c r="P756">
        <v>0</v>
      </c>
      <c r="Q756">
        <v>0</v>
      </c>
      <c r="R756">
        <v>0</v>
      </c>
      <c r="S756">
        <v>0</v>
      </c>
      <c r="T756" t="s">
        <v>77</v>
      </c>
      <c r="U756">
        <v>0</v>
      </c>
      <c r="V756">
        <v>0</v>
      </c>
      <c r="W756">
        <v>0</v>
      </c>
      <c r="X756">
        <v>0</v>
      </c>
      <c r="Y756">
        <v>0</v>
      </c>
      <c r="AC756">
        <v>0</v>
      </c>
      <c r="AE756">
        <v>0</v>
      </c>
      <c r="AF756">
        <v>2</v>
      </c>
      <c r="AG756">
        <v>0</v>
      </c>
      <c r="AH756">
        <v>0</v>
      </c>
      <c r="AI756">
        <v>0</v>
      </c>
      <c r="AM756">
        <v>0</v>
      </c>
      <c r="AR756" t="s">
        <v>3042</v>
      </c>
      <c r="AS756" t="s">
        <v>1680</v>
      </c>
      <c r="AT756">
        <v>2025</v>
      </c>
      <c r="AU756">
        <v>4</v>
      </c>
      <c r="AV756" t="s">
        <v>78</v>
      </c>
      <c r="AX756" t="s">
        <v>3108</v>
      </c>
    </row>
    <row r="757" spans="1:50">
      <c r="A757">
        <v>67</v>
      </c>
      <c r="B757">
        <v>33</v>
      </c>
      <c r="C757" t="s">
        <v>74</v>
      </c>
      <c r="D757" t="s">
        <v>1573</v>
      </c>
      <c r="E757" t="s">
        <v>1574</v>
      </c>
      <c r="F757">
        <v>3972</v>
      </c>
      <c r="G757" s="23" t="s">
        <v>3816</v>
      </c>
      <c r="H757" s="2" t="s">
        <v>3027</v>
      </c>
      <c r="I757" t="s">
        <v>3028</v>
      </c>
      <c r="K757" s="149">
        <v>0</v>
      </c>
      <c r="L757" s="149">
        <v>221634</v>
      </c>
      <c r="M757" s="149">
        <v>42111</v>
      </c>
      <c r="N757" s="149">
        <v>263745</v>
      </c>
      <c r="O757">
        <v>0</v>
      </c>
      <c r="P757">
        <v>0</v>
      </c>
      <c r="Q757">
        <v>0</v>
      </c>
      <c r="R757">
        <v>0</v>
      </c>
      <c r="S757">
        <v>0</v>
      </c>
      <c r="T757" t="s">
        <v>77</v>
      </c>
      <c r="U757">
        <v>0</v>
      </c>
      <c r="V757">
        <v>0</v>
      </c>
      <c r="W757">
        <v>0</v>
      </c>
      <c r="X757">
        <v>0</v>
      </c>
      <c r="Y757">
        <v>0</v>
      </c>
      <c r="AC757">
        <v>0</v>
      </c>
      <c r="AE757">
        <v>0</v>
      </c>
      <c r="AF757">
        <v>2</v>
      </c>
      <c r="AG757">
        <v>0</v>
      </c>
      <c r="AH757">
        <v>0</v>
      </c>
      <c r="AI757">
        <v>0</v>
      </c>
      <c r="AM757">
        <v>0</v>
      </c>
      <c r="AR757" t="s">
        <v>3042</v>
      </c>
      <c r="AS757" t="s">
        <v>1680</v>
      </c>
      <c r="AT757">
        <v>2025</v>
      </c>
      <c r="AU757">
        <v>4</v>
      </c>
      <c r="AV757" t="s">
        <v>78</v>
      </c>
      <c r="AX757" t="s">
        <v>3109</v>
      </c>
    </row>
    <row r="758" spans="1:50">
      <c r="A758">
        <v>68</v>
      </c>
      <c r="B758">
        <v>33</v>
      </c>
      <c r="C758" t="s">
        <v>74</v>
      </c>
      <c r="D758" t="s">
        <v>1592</v>
      </c>
      <c r="E758" t="s">
        <v>1593</v>
      </c>
      <c r="F758">
        <v>3973</v>
      </c>
      <c r="G758" s="23" t="s">
        <v>3816</v>
      </c>
      <c r="H758" s="2" t="s">
        <v>3029</v>
      </c>
      <c r="K758" s="149">
        <v>0</v>
      </c>
      <c r="L758" s="149">
        <v>200981</v>
      </c>
      <c r="M758" s="149">
        <v>38186</v>
      </c>
      <c r="N758" s="149">
        <v>239167</v>
      </c>
      <c r="O758">
        <v>0</v>
      </c>
      <c r="P758">
        <v>0</v>
      </c>
      <c r="Q758">
        <v>0</v>
      </c>
      <c r="R758">
        <v>0</v>
      </c>
      <c r="S758">
        <v>0</v>
      </c>
      <c r="T758" t="s">
        <v>77</v>
      </c>
      <c r="U758">
        <v>0</v>
      </c>
      <c r="V758">
        <v>0</v>
      </c>
      <c r="W758">
        <v>0</v>
      </c>
      <c r="X758">
        <v>0</v>
      </c>
      <c r="Y758">
        <v>0</v>
      </c>
      <c r="AC758">
        <v>0</v>
      </c>
      <c r="AE758">
        <v>0</v>
      </c>
      <c r="AF758">
        <v>2</v>
      </c>
      <c r="AG758">
        <v>0</v>
      </c>
      <c r="AH758">
        <v>0</v>
      </c>
      <c r="AI758">
        <v>0</v>
      </c>
      <c r="AM758">
        <v>0</v>
      </c>
      <c r="AR758" t="s">
        <v>3042</v>
      </c>
      <c r="AS758" t="s">
        <v>1680</v>
      </c>
      <c r="AT758">
        <v>2025</v>
      </c>
      <c r="AU758">
        <v>4</v>
      </c>
      <c r="AV758" t="s">
        <v>78</v>
      </c>
      <c r="AX758" t="s">
        <v>3110</v>
      </c>
    </row>
    <row r="759" spans="1:50">
      <c r="A759">
        <v>69</v>
      </c>
      <c r="B759">
        <v>33</v>
      </c>
      <c r="C759" t="s">
        <v>74</v>
      </c>
      <c r="D759" t="s">
        <v>1222</v>
      </c>
      <c r="E759" t="s">
        <v>1223</v>
      </c>
      <c r="F759">
        <v>3974</v>
      </c>
      <c r="G759" s="23" t="s">
        <v>3813</v>
      </c>
      <c r="H759" s="2" t="s">
        <v>3030</v>
      </c>
      <c r="I759" s="2" t="s">
        <v>3031</v>
      </c>
      <c r="K759" s="149">
        <v>0</v>
      </c>
      <c r="L759" s="149">
        <v>17543510</v>
      </c>
      <c r="M759" s="149">
        <v>3333267</v>
      </c>
      <c r="N759" s="149">
        <v>20876777</v>
      </c>
      <c r="O759">
        <v>0</v>
      </c>
      <c r="P759">
        <v>0</v>
      </c>
      <c r="Q759">
        <v>0</v>
      </c>
      <c r="R759">
        <v>0</v>
      </c>
      <c r="S759">
        <v>0</v>
      </c>
      <c r="T759" t="s">
        <v>77</v>
      </c>
      <c r="U759">
        <v>0</v>
      </c>
      <c r="V759">
        <v>0</v>
      </c>
      <c r="W759">
        <v>0</v>
      </c>
      <c r="X759">
        <v>0</v>
      </c>
      <c r="AC759">
        <v>0</v>
      </c>
      <c r="AE759">
        <v>0</v>
      </c>
      <c r="AF759">
        <v>2</v>
      </c>
      <c r="AG759">
        <v>0</v>
      </c>
      <c r="AH759">
        <v>0</v>
      </c>
      <c r="AI759">
        <v>0</v>
      </c>
      <c r="AM759">
        <v>0</v>
      </c>
      <c r="AR759" t="s">
        <v>3042</v>
      </c>
      <c r="AS759" t="s">
        <v>1680</v>
      </c>
      <c r="AT759">
        <v>2025</v>
      </c>
      <c r="AU759">
        <v>4</v>
      </c>
      <c r="AV759" t="s">
        <v>78</v>
      </c>
      <c r="AX759" t="s">
        <v>3111</v>
      </c>
    </row>
    <row r="760" spans="1:50">
      <c r="A760">
        <v>70</v>
      </c>
      <c r="B760">
        <v>33</v>
      </c>
      <c r="C760" t="s">
        <v>74</v>
      </c>
      <c r="D760" t="s">
        <v>1222</v>
      </c>
      <c r="E760" t="s">
        <v>1223</v>
      </c>
      <c r="F760">
        <v>3975</v>
      </c>
      <c r="G760" s="23" t="s">
        <v>3813</v>
      </c>
      <c r="H760" s="2" t="s">
        <v>3032</v>
      </c>
      <c r="I760" s="2" t="s">
        <v>3033</v>
      </c>
      <c r="K760" s="149">
        <v>0</v>
      </c>
      <c r="L760" s="149">
        <v>11373800</v>
      </c>
      <c r="M760" s="149">
        <v>2161021</v>
      </c>
      <c r="N760" s="149">
        <v>13534821</v>
      </c>
      <c r="O760">
        <v>0</v>
      </c>
      <c r="P760">
        <v>0</v>
      </c>
      <c r="Q760">
        <v>0</v>
      </c>
      <c r="R760">
        <v>0</v>
      </c>
      <c r="S760">
        <v>0</v>
      </c>
      <c r="T760" t="s">
        <v>77</v>
      </c>
      <c r="U760">
        <v>0</v>
      </c>
      <c r="V760">
        <v>0</v>
      </c>
      <c r="W760">
        <v>0</v>
      </c>
      <c r="X760">
        <v>0</v>
      </c>
      <c r="AC760">
        <v>0</v>
      </c>
      <c r="AE760">
        <v>0</v>
      </c>
      <c r="AF760">
        <v>2</v>
      </c>
      <c r="AG760">
        <v>0</v>
      </c>
      <c r="AH760">
        <v>0</v>
      </c>
      <c r="AI760">
        <v>0</v>
      </c>
      <c r="AM760">
        <v>0</v>
      </c>
      <c r="AR760" t="s">
        <v>3042</v>
      </c>
      <c r="AS760" t="s">
        <v>1680</v>
      </c>
      <c r="AT760">
        <v>2025</v>
      </c>
      <c r="AU760">
        <v>4</v>
      </c>
      <c r="AV760" t="s">
        <v>78</v>
      </c>
      <c r="AX760" t="s">
        <v>3112</v>
      </c>
    </row>
    <row r="761" spans="1:50">
      <c r="A761">
        <v>71</v>
      </c>
      <c r="B761">
        <v>33</v>
      </c>
      <c r="C761" t="s">
        <v>74</v>
      </c>
      <c r="D761" t="s">
        <v>1561</v>
      </c>
      <c r="E761" t="s">
        <v>1562</v>
      </c>
      <c r="F761">
        <v>3976</v>
      </c>
      <c r="G761" s="23" t="s">
        <v>1491</v>
      </c>
      <c r="H761" s="2" t="s">
        <v>3034</v>
      </c>
      <c r="I761" t="s">
        <v>3035</v>
      </c>
      <c r="K761" s="149">
        <v>0</v>
      </c>
      <c r="L761" s="149">
        <v>3285000</v>
      </c>
      <c r="M761" s="149">
        <v>624150</v>
      </c>
      <c r="N761" s="149">
        <v>3909150</v>
      </c>
      <c r="O761">
        <v>0</v>
      </c>
      <c r="P761">
        <v>0</v>
      </c>
      <c r="Q761">
        <v>0</v>
      </c>
      <c r="R761">
        <v>0</v>
      </c>
      <c r="S761">
        <v>0</v>
      </c>
      <c r="T761" t="s">
        <v>77</v>
      </c>
      <c r="U761">
        <v>0</v>
      </c>
      <c r="V761">
        <v>0</v>
      </c>
      <c r="W761">
        <v>0</v>
      </c>
      <c r="X761">
        <v>0</v>
      </c>
      <c r="AC761">
        <v>0</v>
      </c>
      <c r="AE761">
        <v>0</v>
      </c>
      <c r="AF761">
        <v>2</v>
      </c>
      <c r="AG761">
        <v>0</v>
      </c>
      <c r="AH761">
        <v>0</v>
      </c>
      <c r="AI761">
        <v>0</v>
      </c>
      <c r="AM761">
        <v>0</v>
      </c>
      <c r="AR761" t="s">
        <v>3042</v>
      </c>
      <c r="AS761" t="s">
        <v>1680</v>
      </c>
      <c r="AT761">
        <v>2025</v>
      </c>
      <c r="AU761">
        <v>4</v>
      </c>
      <c r="AV761" t="s">
        <v>78</v>
      </c>
      <c r="AX761" t="s">
        <v>3113</v>
      </c>
    </row>
    <row r="762" spans="1:50">
      <c r="A762">
        <v>72</v>
      </c>
      <c r="B762">
        <v>33</v>
      </c>
      <c r="C762" t="s">
        <v>74</v>
      </c>
      <c r="D762" t="s">
        <v>1222</v>
      </c>
      <c r="E762" t="s">
        <v>1223</v>
      </c>
      <c r="F762">
        <v>4010</v>
      </c>
      <c r="G762" s="23" t="s">
        <v>1490</v>
      </c>
      <c r="H762" s="2">
        <v>45996.771053240744</v>
      </c>
      <c r="I762" s="2" t="s">
        <v>3036</v>
      </c>
      <c r="K762" s="149">
        <v>0</v>
      </c>
      <c r="L762" s="149">
        <v>540400</v>
      </c>
      <c r="M762" s="149">
        <v>102676</v>
      </c>
      <c r="N762" s="149">
        <v>643076</v>
      </c>
      <c r="O762">
        <v>0</v>
      </c>
      <c r="P762">
        <v>0</v>
      </c>
      <c r="Q762">
        <v>0</v>
      </c>
      <c r="R762">
        <v>0</v>
      </c>
      <c r="S762">
        <v>0</v>
      </c>
      <c r="T762" t="s">
        <v>77</v>
      </c>
      <c r="U762">
        <v>0</v>
      </c>
      <c r="V762">
        <v>0</v>
      </c>
      <c r="W762">
        <v>0</v>
      </c>
      <c r="X762">
        <v>0</v>
      </c>
      <c r="AC762">
        <v>0</v>
      </c>
      <c r="AE762">
        <v>0</v>
      </c>
      <c r="AF762">
        <v>2</v>
      </c>
      <c r="AG762">
        <v>0</v>
      </c>
      <c r="AH762">
        <v>0</v>
      </c>
      <c r="AI762">
        <v>0</v>
      </c>
      <c r="AM762">
        <v>0</v>
      </c>
      <c r="AR762" t="s">
        <v>3042</v>
      </c>
      <c r="AS762" t="s">
        <v>1680</v>
      </c>
      <c r="AT762">
        <v>2025</v>
      </c>
      <c r="AU762">
        <v>4</v>
      </c>
      <c r="AV762" t="s">
        <v>78</v>
      </c>
      <c r="AX762" t="s">
        <v>3114</v>
      </c>
    </row>
    <row r="763" spans="1:50">
      <c r="A763">
        <v>73</v>
      </c>
      <c r="B763">
        <v>61</v>
      </c>
      <c r="C763" t="s">
        <v>74</v>
      </c>
      <c r="D763" t="s">
        <v>1579</v>
      </c>
      <c r="E763" t="s">
        <v>1580</v>
      </c>
      <c r="F763">
        <v>798</v>
      </c>
      <c r="G763" s="23">
        <v>45751</v>
      </c>
      <c r="H763" s="2">
        <v>45751.514062499999</v>
      </c>
      <c r="K763" s="149">
        <v>0</v>
      </c>
      <c r="L763" s="149">
        <v>-312400</v>
      </c>
      <c r="M763" s="149">
        <v>-59356</v>
      </c>
      <c r="N763" s="149">
        <v>-371756</v>
      </c>
      <c r="O763">
        <v>0</v>
      </c>
      <c r="P763">
        <v>0</v>
      </c>
      <c r="Q763">
        <v>0</v>
      </c>
      <c r="R763">
        <v>0</v>
      </c>
      <c r="S763">
        <v>0</v>
      </c>
      <c r="T763" t="s">
        <v>77</v>
      </c>
      <c r="U763">
        <v>0</v>
      </c>
      <c r="V763">
        <v>0</v>
      </c>
      <c r="W763">
        <v>0</v>
      </c>
      <c r="X763">
        <v>0</v>
      </c>
      <c r="Y763">
        <v>33</v>
      </c>
      <c r="Z763">
        <v>3877</v>
      </c>
      <c r="AC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M763">
        <v>0</v>
      </c>
      <c r="AR763" t="s">
        <v>3042</v>
      </c>
      <c r="AS763" t="s">
        <v>1680</v>
      </c>
      <c r="AT763">
        <v>2025</v>
      </c>
      <c r="AU763">
        <v>4</v>
      </c>
      <c r="AV763" t="s">
        <v>318</v>
      </c>
      <c r="AX763" t="s">
        <v>3115</v>
      </c>
    </row>
    <row r="764" spans="1:50">
      <c r="A764">
        <v>74</v>
      </c>
      <c r="B764">
        <v>61</v>
      </c>
      <c r="C764" t="s">
        <v>74</v>
      </c>
      <c r="D764" t="s">
        <v>1222</v>
      </c>
      <c r="E764" t="s">
        <v>1223</v>
      </c>
      <c r="F764">
        <v>799</v>
      </c>
      <c r="G764" s="23">
        <v>45754</v>
      </c>
      <c r="H764" s="2">
        <v>45842.913703703707</v>
      </c>
      <c r="K764" s="149">
        <v>0</v>
      </c>
      <c r="L764" s="149">
        <v>-2935500</v>
      </c>
      <c r="M764" s="149">
        <v>-557745</v>
      </c>
      <c r="N764" s="149">
        <v>-3493245</v>
      </c>
      <c r="O764">
        <v>0</v>
      </c>
      <c r="P764">
        <v>0</v>
      </c>
      <c r="Q764">
        <v>0</v>
      </c>
      <c r="R764">
        <v>0</v>
      </c>
      <c r="S764">
        <v>0</v>
      </c>
      <c r="T764" t="s">
        <v>77</v>
      </c>
      <c r="U764">
        <v>0</v>
      </c>
      <c r="V764">
        <v>0</v>
      </c>
      <c r="W764">
        <v>0</v>
      </c>
      <c r="X764">
        <v>0</v>
      </c>
      <c r="Y764">
        <v>33</v>
      </c>
      <c r="Z764">
        <v>3897</v>
      </c>
      <c r="AC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M764">
        <v>0</v>
      </c>
      <c r="AR764" t="s">
        <v>3042</v>
      </c>
      <c r="AS764" t="s">
        <v>1680</v>
      </c>
      <c r="AT764">
        <v>2025</v>
      </c>
      <c r="AU764">
        <v>4</v>
      </c>
      <c r="AV764" t="s">
        <v>318</v>
      </c>
      <c r="AX764" t="s">
        <v>3116</v>
      </c>
    </row>
    <row r="765" spans="1:50">
      <c r="A765">
        <v>75</v>
      </c>
      <c r="B765">
        <v>61</v>
      </c>
      <c r="C765" t="s">
        <v>74</v>
      </c>
      <c r="D765" t="s">
        <v>1222</v>
      </c>
      <c r="E765" t="s">
        <v>1223</v>
      </c>
      <c r="F765">
        <v>800</v>
      </c>
      <c r="G765" s="23">
        <v>45754</v>
      </c>
      <c r="H765" s="2">
        <v>45842.927581018521</v>
      </c>
      <c r="K765" s="149">
        <v>0</v>
      </c>
      <c r="L765" s="149">
        <v>-1957000</v>
      </c>
      <c r="M765" s="149">
        <v>-371830</v>
      </c>
      <c r="N765" s="149">
        <v>-2328830</v>
      </c>
      <c r="O765">
        <v>0</v>
      </c>
      <c r="P765">
        <v>0</v>
      </c>
      <c r="Q765">
        <v>0</v>
      </c>
      <c r="R765">
        <v>0</v>
      </c>
      <c r="S765">
        <v>0</v>
      </c>
      <c r="T765" t="s">
        <v>77</v>
      </c>
      <c r="U765">
        <v>0</v>
      </c>
      <c r="V765">
        <v>0</v>
      </c>
      <c r="W765">
        <v>0</v>
      </c>
      <c r="X765">
        <v>0</v>
      </c>
      <c r="Y765">
        <v>33</v>
      </c>
      <c r="Z765">
        <v>3888</v>
      </c>
      <c r="AC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M765">
        <v>0</v>
      </c>
      <c r="AR765" t="s">
        <v>3042</v>
      </c>
      <c r="AS765" t="s">
        <v>1680</v>
      </c>
      <c r="AT765">
        <v>2025</v>
      </c>
      <c r="AU765">
        <v>4</v>
      </c>
      <c r="AV765" t="s">
        <v>318</v>
      </c>
      <c r="AX765" t="s">
        <v>3117</v>
      </c>
    </row>
    <row r="766" spans="1:50">
      <c r="A766">
        <v>76</v>
      </c>
      <c r="B766">
        <v>61</v>
      </c>
      <c r="C766" t="s">
        <v>74</v>
      </c>
      <c r="D766" t="s">
        <v>1222</v>
      </c>
      <c r="E766" t="s">
        <v>1223</v>
      </c>
      <c r="F766">
        <v>801</v>
      </c>
      <c r="G766" s="23">
        <v>45754</v>
      </c>
      <c r="H766" s="2">
        <v>45842.949201388888</v>
      </c>
      <c r="K766" s="149">
        <v>0</v>
      </c>
      <c r="L766" s="149">
        <v>-704520</v>
      </c>
      <c r="M766" s="149">
        <v>-133859</v>
      </c>
      <c r="N766" s="149">
        <v>-838379</v>
      </c>
      <c r="O766">
        <v>0</v>
      </c>
      <c r="P766">
        <v>0</v>
      </c>
      <c r="Q766">
        <v>0</v>
      </c>
      <c r="R766">
        <v>0</v>
      </c>
      <c r="S766">
        <v>0</v>
      </c>
      <c r="T766" t="s">
        <v>77</v>
      </c>
      <c r="U766">
        <v>0</v>
      </c>
      <c r="V766">
        <v>0</v>
      </c>
      <c r="W766">
        <v>0</v>
      </c>
      <c r="X766">
        <v>0</v>
      </c>
      <c r="Y766">
        <v>33</v>
      </c>
      <c r="Z766">
        <v>3878</v>
      </c>
      <c r="AC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M766">
        <v>0</v>
      </c>
      <c r="AR766" t="s">
        <v>3042</v>
      </c>
      <c r="AS766" t="s">
        <v>1680</v>
      </c>
      <c r="AT766">
        <v>2025</v>
      </c>
      <c r="AU766">
        <v>4</v>
      </c>
      <c r="AV766" t="s">
        <v>318</v>
      </c>
      <c r="AX766" t="s">
        <v>3118</v>
      </c>
    </row>
    <row r="767" spans="1:50">
      <c r="A767">
        <v>77</v>
      </c>
      <c r="B767">
        <v>61</v>
      </c>
      <c r="C767" t="s">
        <v>74</v>
      </c>
      <c r="D767" t="s">
        <v>1222</v>
      </c>
      <c r="E767" t="s">
        <v>1223</v>
      </c>
      <c r="F767">
        <v>802</v>
      </c>
      <c r="G767" s="23">
        <v>45754</v>
      </c>
      <c r="H767" s="2">
        <v>45873.415509259263</v>
      </c>
      <c r="K767" s="149">
        <v>0</v>
      </c>
      <c r="L767" s="149">
        <v>-230300</v>
      </c>
      <c r="M767" s="149">
        <v>-43757</v>
      </c>
      <c r="N767" s="149">
        <v>-274057</v>
      </c>
      <c r="O767">
        <v>0</v>
      </c>
      <c r="P767">
        <v>0</v>
      </c>
      <c r="Q767">
        <v>0</v>
      </c>
      <c r="R767">
        <v>0</v>
      </c>
      <c r="S767">
        <v>0</v>
      </c>
      <c r="T767" t="s">
        <v>77</v>
      </c>
      <c r="U767">
        <v>0</v>
      </c>
      <c r="V767">
        <v>0</v>
      </c>
      <c r="W767">
        <v>0</v>
      </c>
      <c r="X767">
        <v>0</v>
      </c>
      <c r="Y767">
        <v>33</v>
      </c>
      <c r="Z767">
        <v>3879</v>
      </c>
      <c r="AC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M767">
        <v>0</v>
      </c>
      <c r="AR767" t="s">
        <v>3042</v>
      </c>
      <c r="AS767" t="s">
        <v>1680</v>
      </c>
      <c r="AT767">
        <v>2025</v>
      </c>
      <c r="AU767">
        <v>4</v>
      </c>
      <c r="AV767" t="s">
        <v>318</v>
      </c>
      <c r="AX767" t="s">
        <v>3119</v>
      </c>
    </row>
    <row r="768" spans="1:50">
      <c r="A768">
        <v>78</v>
      </c>
      <c r="B768">
        <v>61</v>
      </c>
      <c r="C768" t="s">
        <v>74</v>
      </c>
      <c r="D768" t="s">
        <v>1988</v>
      </c>
      <c r="E768" t="s">
        <v>1989</v>
      </c>
      <c r="F768">
        <v>803</v>
      </c>
      <c r="G768" s="23">
        <v>45756</v>
      </c>
      <c r="H768" s="2">
        <v>45904.393611111111</v>
      </c>
      <c r="K768" s="149">
        <v>0</v>
      </c>
      <c r="L768" s="149">
        <v>-418900</v>
      </c>
      <c r="M768" s="149">
        <v>-79591</v>
      </c>
      <c r="N768" s="149">
        <v>-498491</v>
      </c>
      <c r="O768">
        <v>0</v>
      </c>
      <c r="P768">
        <v>0</v>
      </c>
      <c r="Q768">
        <v>0</v>
      </c>
      <c r="R768">
        <v>0</v>
      </c>
      <c r="S768">
        <v>0</v>
      </c>
      <c r="T768" t="s">
        <v>77</v>
      </c>
      <c r="U768">
        <v>0</v>
      </c>
      <c r="V768">
        <v>0</v>
      </c>
      <c r="W768">
        <v>0</v>
      </c>
      <c r="X768">
        <v>0</v>
      </c>
      <c r="Y768">
        <v>33</v>
      </c>
      <c r="Z768">
        <v>3843</v>
      </c>
      <c r="AC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M768">
        <v>0</v>
      </c>
      <c r="AR768" t="s">
        <v>3042</v>
      </c>
      <c r="AS768" t="s">
        <v>1680</v>
      </c>
      <c r="AT768">
        <v>2025</v>
      </c>
      <c r="AU768">
        <v>4</v>
      </c>
      <c r="AV768" t="s">
        <v>318</v>
      </c>
      <c r="AX768" t="s">
        <v>3120</v>
      </c>
    </row>
    <row r="769" spans="1:50">
      <c r="A769">
        <v>79</v>
      </c>
      <c r="B769">
        <v>61</v>
      </c>
      <c r="C769" t="s">
        <v>74</v>
      </c>
      <c r="D769" t="s">
        <v>1222</v>
      </c>
      <c r="E769" t="s">
        <v>1223</v>
      </c>
      <c r="F769">
        <v>804</v>
      </c>
      <c r="G769" s="23">
        <v>45757</v>
      </c>
      <c r="H769" s="2">
        <v>45934.454456018517</v>
      </c>
      <c r="K769" s="149">
        <v>0</v>
      </c>
      <c r="L769" s="149">
        <v>-16839500</v>
      </c>
      <c r="M769" s="149">
        <v>-3199504</v>
      </c>
      <c r="N769" s="149">
        <v>-20039004</v>
      </c>
      <c r="O769">
        <v>0</v>
      </c>
      <c r="P769">
        <v>0</v>
      </c>
      <c r="Q769">
        <v>0</v>
      </c>
      <c r="R769">
        <v>0</v>
      </c>
      <c r="S769">
        <v>0</v>
      </c>
      <c r="T769" t="s">
        <v>77</v>
      </c>
      <c r="U769">
        <v>0</v>
      </c>
      <c r="V769">
        <v>0</v>
      </c>
      <c r="W769">
        <v>0</v>
      </c>
      <c r="X769">
        <v>0</v>
      </c>
      <c r="Y769">
        <v>33</v>
      </c>
      <c r="Z769">
        <v>3567</v>
      </c>
      <c r="AC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M769">
        <v>0</v>
      </c>
      <c r="AR769" t="s">
        <v>3042</v>
      </c>
      <c r="AS769" t="s">
        <v>1680</v>
      </c>
      <c r="AT769">
        <v>2025</v>
      </c>
      <c r="AU769">
        <v>4</v>
      </c>
      <c r="AV769" t="s">
        <v>318</v>
      </c>
      <c r="AX769" t="s">
        <v>3121</v>
      </c>
    </row>
    <row r="770" spans="1:50">
      <c r="A770">
        <v>80</v>
      </c>
      <c r="B770">
        <v>61</v>
      </c>
      <c r="C770" t="s">
        <v>74</v>
      </c>
      <c r="D770" t="s">
        <v>1222</v>
      </c>
      <c r="E770" t="s">
        <v>1223</v>
      </c>
      <c r="F770">
        <v>805</v>
      </c>
      <c r="G770" s="23">
        <v>45757</v>
      </c>
      <c r="H770" s="2">
        <v>45934.474004629628</v>
      </c>
      <c r="K770" s="149">
        <v>0</v>
      </c>
      <c r="L770" s="149">
        <v>-6573440</v>
      </c>
      <c r="M770" s="149">
        <v>-1248953</v>
      </c>
      <c r="N770" s="149">
        <v>-7822393</v>
      </c>
      <c r="O770">
        <v>0</v>
      </c>
      <c r="P770">
        <v>0</v>
      </c>
      <c r="Q770">
        <v>0</v>
      </c>
      <c r="R770">
        <v>0</v>
      </c>
      <c r="S770">
        <v>0</v>
      </c>
      <c r="T770" t="s">
        <v>77</v>
      </c>
      <c r="U770">
        <v>0</v>
      </c>
      <c r="V770">
        <v>0</v>
      </c>
      <c r="W770">
        <v>0</v>
      </c>
      <c r="X770">
        <v>0</v>
      </c>
      <c r="Y770">
        <v>33</v>
      </c>
      <c r="Z770">
        <v>3878</v>
      </c>
      <c r="AC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M770">
        <v>0</v>
      </c>
      <c r="AR770" t="s">
        <v>3042</v>
      </c>
      <c r="AS770" t="s">
        <v>1680</v>
      </c>
      <c r="AT770">
        <v>2025</v>
      </c>
      <c r="AU770">
        <v>4</v>
      </c>
      <c r="AV770" t="s">
        <v>318</v>
      </c>
      <c r="AX770" t="s">
        <v>3122</v>
      </c>
    </row>
    <row r="771" spans="1:50">
      <c r="A771">
        <v>81</v>
      </c>
      <c r="B771">
        <v>61</v>
      </c>
      <c r="C771" t="s">
        <v>74</v>
      </c>
      <c r="D771" t="s">
        <v>1222</v>
      </c>
      <c r="E771" t="s">
        <v>1223</v>
      </c>
      <c r="F771">
        <v>806</v>
      </c>
      <c r="G771" s="23">
        <v>45757</v>
      </c>
      <c r="H771" s="2">
        <v>45934.488993055558</v>
      </c>
      <c r="K771" s="149">
        <v>0</v>
      </c>
      <c r="L771" s="149">
        <v>-3127800</v>
      </c>
      <c r="M771" s="149">
        <v>-594282</v>
      </c>
      <c r="N771" s="149">
        <v>-3722082</v>
      </c>
      <c r="O771">
        <v>0</v>
      </c>
      <c r="P771">
        <v>0</v>
      </c>
      <c r="Q771">
        <v>0</v>
      </c>
      <c r="R771">
        <v>0</v>
      </c>
      <c r="S771">
        <v>0</v>
      </c>
      <c r="T771" t="s">
        <v>77</v>
      </c>
      <c r="U771">
        <v>0</v>
      </c>
      <c r="V771">
        <v>0</v>
      </c>
      <c r="W771">
        <v>0</v>
      </c>
      <c r="X771">
        <v>0</v>
      </c>
      <c r="Y771">
        <v>33</v>
      </c>
      <c r="Z771">
        <v>3879</v>
      </c>
      <c r="AC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M771">
        <v>0</v>
      </c>
      <c r="AR771" t="s">
        <v>3042</v>
      </c>
      <c r="AS771" t="s">
        <v>1680</v>
      </c>
      <c r="AT771">
        <v>2025</v>
      </c>
      <c r="AU771">
        <v>4</v>
      </c>
      <c r="AV771" t="s">
        <v>318</v>
      </c>
      <c r="AX771" t="s">
        <v>3123</v>
      </c>
    </row>
    <row r="772" spans="1:50">
      <c r="A772">
        <v>82</v>
      </c>
      <c r="B772">
        <v>61</v>
      </c>
      <c r="C772" t="s">
        <v>74</v>
      </c>
      <c r="D772" t="s">
        <v>1222</v>
      </c>
      <c r="E772" t="s">
        <v>1223</v>
      </c>
      <c r="F772">
        <v>807</v>
      </c>
      <c r="G772" s="23">
        <v>45757</v>
      </c>
      <c r="H772" s="2">
        <v>45934.510393518518</v>
      </c>
      <c r="K772" s="149">
        <v>0</v>
      </c>
      <c r="L772" s="149">
        <v>-8555700</v>
      </c>
      <c r="M772" s="149">
        <v>-1625583</v>
      </c>
      <c r="N772" s="149">
        <v>-10181283</v>
      </c>
      <c r="O772">
        <v>0</v>
      </c>
      <c r="P772">
        <v>0</v>
      </c>
      <c r="Q772">
        <v>0</v>
      </c>
      <c r="R772">
        <v>0</v>
      </c>
      <c r="S772">
        <v>0</v>
      </c>
      <c r="T772" t="s">
        <v>77</v>
      </c>
      <c r="U772">
        <v>0</v>
      </c>
      <c r="V772">
        <v>0</v>
      </c>
      <c r="W772">
        <v>0</v>
      </c>
      <c r="X772">
        <v>0</v>
      </c>
      <c r="Y772">
        <v>33</v>
      </c>
      <c r="Z772">
        <v>3888</v>
      </c>
      <c r="AC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M772">
        <v>0</v>
      </c>
      <c r="AR772" t="s">
        <v>3042</v>
      </c>
      <c r="AS772" t="s">
        <v>1680</v>
      </c>
      <c r="AT772">
        <v>2025</v>
      </c>
      <c r="AU772">
        <v>4</v>
      </c>
      <c r="AV772" t="s">
        <v>318</v>
      </c>
      <c r="AX772" t="s">
        <v>3124</v>
      </c>
    </row>
    <row r="773" spans="1:50">
      <c r="A773">
        <v>83</v>
      </c>
      <c r="B773">
        <v>61</v>
      </c>
      <c r="C773" t="s">
        <v>74</v>
      </c>
      <c r="D773" t="s">
        <v>1222</v>
      </c>
      <c r="E773" t="s">
        <v>1223</v>
      </c>
      <c r="F773">
        <v>808</v>
      </c>
      <c r="G773" s="23">
        <v>45758</v>
      </c>
      <c r="H773" s="2">
        <v>45965.394861111112</v>
      </c>
      <c r="J773" t="s">
        <v>2970</v>
      </c>
      <c r="K773" s="149">
        <v>0</v>
      </c>
      <c r="L773" s="149">
        <v>-16602500</v>
      </c>
      <c r="M773" s="149">
        <v>-3154474</v>
      </c>
      <c r="N773" s="149">
        <v>-19756974</v>
      </c>
      <c r="O773">
        <v>0</v>
      </c>
      <c r="P773">
        <v>0</v>
      </c>
      <c r="Q773">
        <v>0</v>
      </c>
      <c r="R773">
        <v>0</v>
      </c>
      <c r="S773">
        <v>0</v>
      </c>
      <c r="T773" t="s">
        <v>77</v>
      </c>
      <c r="U773">
        <v>0</v>
      </c>
      <c r="V773">
        <v>0</v>
      </c>
      <c r="W773">
        <v>0</v>
      </c>
      <c r="X773">
        <v>0</v>
      </c>
      <c r="Y773">
        <v>33</v>
      </c>
      <c r="Z773">
        <v>3931</v>
      </c>
      <c r="AC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M773">
        <v>0</v>
      </c>
      <c r="AR773" t="s">
        <v>3042</v>
      </c>
      <c r="AS773" t="s">
        <v>1680</v>
      </c>
      <c r="AT773">
        <v>2025</v>
      </c>
      <c r="AU773">
        <v>4</v>
      </c>
      <c r="AV773" t="s">
        <v>318</v>
      </c>
      <c r="AX773" t="s">
        <v>3125</v>
      </c>
    </row>
    <row r="774" spans="1:50">
      <c r="A774">
        <v>84</v>
      </c>
      <c r="B774">
        <v>61</v>
      </c>
      <c r="C774" t="s">
        <v>74</v>
      </c>
      <c r="D774" t="s">
        <v>1597</v>
      </c>
      <c r="E774" t="s">
        <v>1598</v>
      </c>
      <c r="F774">
        <v>809</v>
      </c>
      <c r="G774" s="23">
        <v>45759</v>
      </c>
      <c r="H774" s="2">
        <v>45965.584050925929</v>
      </c>
      <c r="K774" s="149">
        <v>0</v>
      </c>
      <c r="L774" s="149">
        <v>-325360</v>
      </c>
      <c r="M774" s="149">
        <v>-61818</v>
      </c>
      <c r="N774" s="149">
        <v>-387178</v>
      </c>
      <c r="O774">
        <v>0</v>
      </c>
      <c r="P774">
        <v>0</v>
      </c>
      <c r="Q774">
        <v>0</v>
      </c>
      <c r="R774">
        <v>0</v>
      </c>
      <c r="S774">
        <v>0</v>
      </c>
      <c r="T774" t="s">
        <v>77</v>
      </c>
      <c r="U774">
        <v>0</v>
      </c>
      <c r="V774">
        <v>0</v>
      </c>
      <c r="W774">
        <v>0</v>
      </c>
      <c r="X774">
        <v>0</v>
      </c>
      <c r="Y774">
        <v>33</v>
      </c>
      <c r="Z774">
        <v>3939</v>
      </c>
      <c r="AC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M774">
        <v>0</v>
      </c>
      <c r="AR774" t="s">
        <v>3042</v>
      </c>
      <c r="AS774" t="s">
        <v>1680</v>
      </c>
      <c r="AT774">
        <v>2025</v>
      </c>
      <c r="AU774">
        <v>4</v>
      </c>
      <c r="AV774" t="s">
        <v>318</v>
      </c>
      <c r="AX774" t="s">
        <v>3126</v>
      </c>
    </row>
    <row r="775" spans="1:50">
      <c r="A775">
        <v>85</v>
      </c>
      <c r="B775">
        <v>61</v>
      </c>
      <c r="C775" t="s">
        <v>74</v>
      </c>
      <c r="D775" t="s">
        <v>1571</v>
      </c>
      <c r="E775" t="s">
        <v>1572</v>
      </c>
      <c r="F775">
        <v>810</v>
      </c>
      <c r="G775" s="23" t="s">
        <v>3814</v>
      </c>
      <c r="H775" t="s">
        <v>3037</v>
      </c>
      <c r="I775" s="2"/>
      <c r="K775" s="149">
        <v>0</v>
      </c>
      <c r="L775" s="149">
        <v>-5764649</v>
      </c>
      <c r="M775" s="149">
        <v>-1095284</v>
      </c>
      <c r="N775" s="149">
        <v>-6859933</v>
      </c>
      <c r="O775">
        <v>0</v>
      </c>
      <c r="P775">
        <v>0</v>
      </c>
      <c r="Q775">
        <v>0</v>
      </c>
      <c r="R775">
        <v>0</v>
      </c>
      <c r="S775">
        <v>0</v>
      </c>
      <c r="T775" t="s">
        <v>77</v>
      </c>
      <c r="U775">
        <v>0</v>
      </c>
      <c r="V775">
        <v>0</v>
      </c>
      <c r="W775">
        <v>0</v>
      </c>
      <c r="X775">
        <v>0</v>
      </c>
      <c r="Y775">
        <v>33</v>
      </c>
      <c r="Z775">
        <v>3946</v>
      </c>
      <c r="AC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M775">
        <v>0</v>
      </c>
      <c r="AR775" t="s">
        <v>3042</v>
      </c>
      <c r="AS775" t="s">
        <v>1680</v>
      </c>
      <c r="AT775">
        <v>2025</v>
      </c>
      <c r="AU775">
        <v>4</v>
      </c>
      <c r="AV775" t="s">
        <v>318</v>
      </c>
      <c r="AX775" t="s">
        <v>3127</v>
      </c>
    </row>
    <row r="776" spans="1:50">
      <c r="A776">
        <v>86</v>
      </c>
      <c r="B776">
        <v>61</v>
      </c>
      <c r="C776" t="s">
        <v>74</v>
      </c>
      <c r="D776" t="s">
        <v>1222</v>
      </c>
      <c r="E776" t="s">
        <v>1223</v>
      </c>
      <c r="F776">
        <v>811</v>
      </c>
      <c r="G776" s="23" t="s">
        <v>3814</v>
      </c>
      <c r="H776" t="s">
        <v>3038</v>
      </c>
      <c r="I776" s="2"/>
      <c r="K776" s="149">
        <v>0</v>
      </c>
      <c r="L776" s="149">
        <v>-7417160</v>
      </c>
      <c r="M776" s="149">
        <v>-1409260</v>
      </c>
      <c r="N776" s="149">
        <v>-8826420</v>
      </c>
      <c r="O776">
        <v>0</v>
      </c>
      <c r="P776">
        <v>0</v>
      </c>
      <c r="Q776">
        <v>0</v>
      </c>
      <c r="R776">
        <v>0</v>
      </c>
      <c r="S776">
        <v>0</v>
      </c>
      <c r="T776" t="s">
        <v>77</v>
      </c>
      <c r="U776">
        <v>0</v>
      </c>
      <c r="V776">
        <v>0</v>
      </c>
      <c r="W776">
        <v>0</v>
      </c>
      <c r="X776">
        <v>0</v>
      </c>
      <c r="Y776">
        <v>33</v>
      </c>
      <c r="Z776">
        <v>3943</v>
      </c>
      <c r="AC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M776">
        <v>0</v>
      </c>
      <c r="AR776" t="s">
        <v>3042</v>
      </c>
      <c r="AS776" t="s">
        <v>1680</v>
      </c>
      <c r="AT776">
        <v>2025</v>
      </c>
      <c r="AU776">
        <v>4</v>
      </c>
      <c r="AV776" t="s">
        <v>318</v>
      </c>
      <c r="AX776" t="s">
        <v>3128</v>
      </c>
    </row>
    <row r="777" spans="1:50">
      <c r="A777">
        <v>87</v>
      </c>
      <c r="B777">
        <v>61</v>
      </c>
      <c r="C777" t="s">
        <v>74</v>
      </c>
      <c r="D777" t="s">
        <v>1222</v>
      </c>
      <c r="E777" t="s">
        <v>1223</v>
      </c>
      <c r="F777">
        <v>812</v>
      </c>
      <c r="G777" s="23" t="s">
        <v>3814</v>
      </c>
      <c r="H777" t="s">
        <v>3039</v>
      </c>
      <c r="I777" s="2"/>
      <c r="K777" s="149">
        <v>0</v>
      </c>
      <c r="L777" s="149">
        <v>-10940880</v>
      </c>
      <c r="M777" s="149">
        <v>-2078767</v>
      </c>
      <c r="N777" s="149">
        <v>-13019647</v>
      </c>
      <c r="O777">
        <v>0</v>
      </c>
      <c r="P777">
        <v>0</v>
      </c>
      <c r="Q777">
        <v>0</v>
      </c>
      <c r="R777">
        <v>0</v>
      </c>
      <c r="S777">
        <v>0</v>
      </c>
      <c r="T777" t="s">
        <v>77</v>
      </c>
      <c r="U777">
        <v>0</v>
      </c>
      <c r="V777">
        <v>0</v>
      </c>
      <c r="W777">
        <v>0</v>
      </c>
      <c r="X777">
        <v>0</v>
      </c>
      <c r="Y777">
        <v>33</v>
      </c>
      <c r="Z777">
        <v>3948</v>
      </c>
      <c r="AC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M777">
        <v>0</v>
      </c>
      <c r="AR777" t="s">
        <v>3042</v>
      </c>
      <c r="AS777" t="s">
        <v>1680</v>
      </c>
      <c r="AT777">
        <v>2025</v>
      </c>
      <c r="AU777">
        <v>4</v>
      </c>
      <c r="AV777" t="s">
        <v>318</v>
      </c>
      <c r="AX777" t="s">
        <v>3129</v>
      </c>
    </row>
    <row r="778" spans="1:50">
      <c r="A778">
        <v>88</v>
      </c>
      <c r="B778">
        <v>61</v>
      </c>
      <c r="C778" t="s">
        <v>74</v>
      </c>
      <c r="D778" t="s">
        <v>1222</v>
      </c>
      <c r="E778" t="s">
        <v>1223</v>
      </c>
      <c r="F778">
        <v>813</v>
      </c>
      <c r="G778" s="23" t="s">
        <v>1490</v>
      </c>
      <c r="H778" t="s">
        <v>3040</v>
      </c>
      <c r="K778" s="149">
        <v>0</v>
      </c>
      <c r="L778" s="149">
        <v>-17543510</v>
      </c>
      <c r="M778" s="149">
        <v>-3333267</v>
      </c>
      <c r="N778" s="149">
        <v>-20876777</v>
      </c>
      <c r="O778">
        <v>0</v>
      </c>
      <c r="P778">
        <v>0</v>
      </c>
      <c r="Q778">
        <v>0</v>
      </c>
      <c r="R778">
        <v>0</v>
      </c>
      <c r="S778">
        <v>0</v>
      </c>
      <c r="T778" t="s">
        <v>77</v>
      </c>
      <c r="U778">
        <v>0</v>
      </c>
      <c r="V778">
        <v>0</v>
      </c>
      <c r="W778">
        <v>0</v>
      </c>
      <c r="X778">
        <v>0</v>
      </c>
      <c r="Y778">
        <v>33</v>
      </c>
      <c r="Z778">
        <v>3951</v>
      </c>
      <c r="AC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M778">
        <v>0</v>
      </c>
      <c r="AR778" t="s">
        <v>3042</v>
      </c>
      <c r="AS778" t="s">
        <v>1680</v>
      </c>
      <c r="AT778">
        <v>2025</v>
      </c>
      <c r="AU778">
        <v>4</v>
      </c>
      <c r="AV778" t="s">
        <v>318</v>
      </c>
      <c r="AX778" t="s">
        <v>3130</v>
      </c>
    </row>
    <row r="779" spans="1:50">
      <c r="A779">
        <v>89</v>
      </c>
      <c r="B779">
        <v>61</v>
      </c>
      <c r="C779" t="s">
        <v>74</v>
      </c>
      <c r="D779" t="s">
        <v>1222</v>
      </c>
      <c r="E779" t="s">
        <v>1223</v>
      </c>
      <c r="F779">
        <v>814</v>
      </c>
      <c r="G779" s="23" t="s">
        <v>1490</v>
      </c>
      <c r="H779" t="s">
        <v>3041</v>
      </c>
      <c r="K779" s="149">
        <v>0</v>
      </c>
      <c r="L779" s="149">
        <v>-11373800</v>
      </c>
      <c r="M779" s="149">
        <v>-2161021</v>
      </c>
      <c r="N779" s="149">
        <v>-13534821</v>
      </c>
      <c r="O779">
        <v>0</v>
      </c>
      <c r="P779">
        <v>0</v>
      </c>
      <c r="Q779">
        <v>0</v>
      </c>
      <c r="R779">
        <v>0</v>
      </c>
      <c r="S779">
        <v>0</v>
      </c>
      <c r="T779" t="s">
        <v>77</v>
      </c>
      <c r="U779">
        <v>0</v>
      </c>
      <c r="V779">
        <v>0</v>
      </c>
      <c r="W779">
        <v>0</v>
      </c>
      <c r="X779">
        <v>0</v>
      </c>
      <c r="Y779">
        <v>33</v>
      </c>
      <c r="Z779">
        <v>3955</v>
      </c>
      <c r="AC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M779">
        <v>0</v>
      </c>
      <c r="AR779" t="s">
        <v>3042</v>
      </c>
      <c r="AS779" t="s">
        <v>1680</v>
      </c>
      <c r="AT779">
        <v>2025</v>
      </c>
      <c r="AU779">
        <v>4</v>
      </c>
      <c r="AV779" t="s">
        <v>318</v>
      </c>
      <c r="AX779" t="s">
        <v>3131</v>
      </c>
    </row>
    <row r="780" spans="1:50">
      <c r="A780">
        <v>1</v>
      </c>
      <c r="B780">
        <v>33</v>
      </c>
      <c r="C780" t="s">
        <v>74</v>
      </c>
      <c r="D780" t="s">
        <v>1581</v>
      </c>
      <c r="E780" t="s">
        <v>1582</v>
      </c>
      <c r="F780">
        <v>3977</v>
      </c>
      <c r="G780" s="23">
        <v>45779</v>
      </c>
      <c r="H780" t="s">
        <v>3132</v>
      </c>
      <c r="I780" s="2">
        <v>45813.632037037038</v>
      </c>
      <c r="K780" s="149">
        <v>0</v>
      </c>
      <c r="L780" s="149">
        <v>538545</v>
      </c>
      <c r="M780" s="149">
        <v>102323</v>
      </c>
      <c r="N780" s="149">
        <v>640868</v>
      </c>
      <c r="O780">
        <v>0</v>
      </c>
      <c r="P780">
        <v>0</v>
      </c>
      <c r="Q780">
        <v>0</v>
      </c>
      <c r="R780">
        <v>0</v>
      </c>
      <c r="S780">
        <v>0</v>
      </c>
      <c r="T780" t="s">
        <v>77</v>
      </c>
      <c r="U780">
        <v>0</v>
      </c>
      <c r="V780">
        <v>0</v>
      </c>
      <c r="W780">
        <v>0</v>
      </c>
      <c r="X780">
        <v>0</v>
      </c>
      <c r="Y780">
        <v>0</v>
      </c>
      <c r="AC780">
        <v>0</v>
      </c>
      <c r="AE780">
        <v>0</v>
      </c>
      <c r="AF780">
        <v>2</v>
      </c>
      <c r="AG780">
        <v>0</v>
      </c>
      <c r="AH780">
        <v>0</v>
      </c>
      <c r="AI780">
        <v>0</v>
      </c>
      <c r="AM780">
        <v>0</v>
      </c>
      <c r="AR780" t="s">
        <v>3249</v>
      </c>
      <c r="AS780" t="s">
        <v>1680</v>
      </c>
      <c r="AT780">
        <v>2025</v>
      </c>
      <c r="AU780">
        <v>5</v>
      </c>
      <c r="AV780" t="s">
        <v>78</v>
      </c>
      <c r="AX780" t="s">
        <v>3250</v>
      </c>
    </row>
    <row r="781" spans="1:50">
      <c r="A781">
        <v>2</v>
      </c>
      <c r="B781">
        <v>33</v>
      </c>
      <c r="C781" t="s">
        <v>74</v>
      </c>
      <c r="D781" t="s">
        <v>1222</v>
      </c>
      <c r="E781" t="s">
        <v>1223</v>
      </c>
      <c r="F781">
        <v>3978</v>
      </c>
      <c r="G781" s="23">
        <v>45782</v>
      </c>
      <c r="H781" s="2">
        <v>45693.465601851851</v>
      </c>
      <c r="I781" s="2">
        <v>45843.56486111111</v>
      </c>
      <c r="K781" s="149">
        <v>0</v>
      </c>
      <c r="L781" s="149">
        <v>4194900</v>
      </c>
      <c r="M781" s="149">
        <v>797031</v>
      </c>
      <c r="N781" s="149">
        <v>4991931</v>
      </c>
      <c r="O781">
        <v>0</v>
      </c>
      <c r="P781">
        <v>0</v>
      </c>
      <c r="Q781">
        <v>0</v>
      </c>
      <c r="R781">
        <v>0</v>
      </c>
      <c r="S781">
        <v>0</v>
      </c>
      <c r="T781" t="s">
        <v>77</v>
      </c>
      <c r="U781">
        <v>0</v>
      </c>
      <c r="V781">
        <v>0</v>
      </c>
      <c r="W781">
        <v>0</v>
      </c>
      <c r="X781">
        <v>0</v>
      </c>
      <c r="AC781">
        <v>0</v>
      </c>
      <c r="AE781">
        <v>0</v>
      </c>
      <c r="AF781">
        <v>2</v>
      </c>
      <c r="AG781">
        <v>0</v>
      </c>
      <c r="AH781">
        <v>0</v>
      </c>
      <c r="AI781">
        <v>0</v>
      </c>
      <c r="AM781">
        <v>0</v>
      </c>
      <c r="AR781" t="s">
        <v>3249</v>
      </c>
      <c r="AS781" t="s">
        <v>1680</v>
      </c>
      <c r="AT781">
        <v>2025</v>
      </c>
      <c r="AU781">
        <v>5</v>
      </c>
      <c r="AV781" t="s">
        <v>78</v>
      </c>
      <c r="AX781" t="s">
        <v>3251</v>
      </c>
    </row>
    <row r="782" spans="1:50">
      <c r="A782">
        <v>3</v>
      </c>
      <c r="B782">
        <v>33</v>
      </c>
      <c r="C782" t="s">
        <v>74</v>
      </c>
      <c r="D782" t="s">
        <v>1222</v>
      </c>
      <c r="E782" t="s">
        <v>1223</v>
      </c>
      <c r="F782">
        <v>3979</v>
      </c>
      <c r="G782" s="23">
        <v>45782</v>
      </c>
      <c r="H782" s="2">
        <v>45693.472118055557</v>
      </c>
      <c r="I782" s="2">
        <v>45843.56486111111</v>
      </c>
      <c r="K782" s="149">
        <v>0</v>
      </c>
      <c r="L782" s="149">
        <v>5837620</v>
      </c>
      <c r="M782" s="149">
        <v>1109148</v>
      </c>
      <c r="N782" s="149">
        <v>6946768</v>
      </c>
      <c r="O782">
        <v>0</v>
      </c>
      <c r="P782">
        <v>0</v>
      </c>
      <c r="Q782">
        <v>0</v>
      </c>
      <c r="R782">
        <v>0</v>
      </c>
      <c r="S782">
        <v>0</v>
      </c>
      <c r="T782" t="s">
        <v>77</v>
      </c>
      <c r="U782">
        <v>0</v>
      </c>
      <c r="V782">
        <v>0</v>
      </c>
      <c r="W782">
        <v>0</v>
      </c>
      <c r="X782">
        <v>0</v>
      </c>
      <c r="AC782">
        <v>0</v>
      </c>
      <c r="AE782">
        <v>0</v>
      </c>
      <c r="AF782">
        <v>2</v>
      </c>
      <c r="AG782">
        <v>0</v>
      </c>
      <c r="AH782">
        <v>0</v>
      </c>
      <c r="AI782">
        <v>0</v>
      </c>
      <c r="AM782">
        <v>0</v>
      </c>
      <c r="AR782" t="s">
        <v>3249</v>
      </c>
      <c r="AS782" t="s">
        <v>1680</v>
      </c>
      <c r="AT782">
        <v>2025</v>
      </c>
      <c r="AU782">
        <v>5</v>
      </c>
      <c r="AV782" t="s">
        <v>78</v>
      </c>
      <c r="AX782" t="s">
        <v>3252</v>
      </c>
    </row>
    <row r="783" spans="1:50">
      <c r="A783">
        <v>4</v>
      </c>
      <c r="B783">
        <v>33</v>
      </c>
      <c r="C783" t="s">
        <v>74</v>
      </c>
      <c r="D783" t="s">
        <v>1555</v>
      </c>
      <c r="E783" t="s">
        <v>1556</v>
      </c>
      <c r="F783">
        <v>3980</v>
      </c>
      <c r="G783" s="23">
        <v>45783</v>
      </c>
      <c r="H783" s="2">
        <v>45693.485208333332</v>
      </c>
      <c r="I783" s="2">
        <v>45813.732210648152</v>
      </c>
      <c r="K783" s="149">
        <v>0</v>
      </c>
      <c r="L783" s="149">
        <v>957040</v>
      </c>
      <c r="M783" s="149">
        <v>181838</v>
      </c>
      <c r="N783" s="149">
        <v>1138878</v>
      </c>
      <c r="O783">
        <v>0</v>
      </c>
      <c r="P783">
        <v>0</v>
      </c>
      <c r="Q783">
        <v>0</v>
      </c>
      <c r="R783">
        <v>0</v>
      </c>
      <c r="S783">
        <v>0</v>
      </c>
      <c r="T783" t="s">
        <v>77</v>
      </c>
      <c r="U783">
        <v>0</v>
      </c>
      <c r="V783">
        <v>0</v>
      </c>
      <c r="W783">
        <v>0</v>
      </c>
      <c r="X783">
        <v>0</v>
      </c>
      <c r="AC783">
        <v>0</v>
      </c>
      <c r="AE783">
        <v>0</v>
      </c>
      <c r="AF783">
        <v>2</v>
      </c>
      <c r="AG783">
        <v>0</v>
      </c>
      <c r="AH783">
        <v>0</v>
      </c>
      <c r="AI783">
        <v>0</v>
      </c>
      <c r="AM783">
        <v>0</v>
      </c>
      <c r="AR783" t="s">
        <v>3249</v>
      </c>
      <c r="AS783" t="s">
        <v>1680</v>
      </c>
      <c r="AT783">
        <v>2025</v>
      </c>
      <c r="AU783">
        <v>5</v>
      </c>
      <c r="AV783" t="s">
        <v>78</v>
      </c>
      <c r="AX783" t="s">
        <v>3253</v>
      </c>
    </row>
    <row r="784" spans="1:50">
      <c r="A784">
        <v>5</v>
      </c>
      <c r="B784">
        <v>33</v>
      </c>
      <c r="C784" t="s">
        <v>74</v>
      </c>
      <c r="D784" t="s">
        <v>2825</v>
      </c>
      <c r="E784" t="s">
        <v>2826</v>
      </c>
      <c r="F784">
        <v>3981</v>
      </c>
      <c r="G784" s="23">
        <v>45783</v>
      </c>
      <c r="H784" s="2">
        <v>45693.50508101852</v>
      </c>
      <c r="I784" s="2"/>
      <c r="K784" s="149">
        <v>0</v>
      </c>
      <c r="L784" s="149">
        <v>612000</v>
      </c>
      <c r="M784" s="149">
        <v>116280</v>
      </c>
      <c r="N784" s="149">
        <v>728280</v>
      </c>
      <c r="O784">
        <v>0</v>
      </c>
      <c r="P784">
        <v>0</v>
      </c>
      <c r="Q784">
        <v>0</v>
      </c>
      <c r="R784">
        <v>0</v>
      </c>
      <c r="S784">
        <v>0</v>
      </c>
      <c r="T784" t="s">
        <v>77</v>
      </c>
      <c r="U784">
        <v>0</v>
      </c>
      <c r="V784">
        <v>0</v>
      </c>
      <c r="W784">
        <v>0</v>
      </c>
      <c r="X784">
        <v>0</v>
      </c>
      <c r="Y784">
        <v>0</v>
      </c>
      <c r="AC784">
        <v>0</v>
      </c>
      <c r="AE784">
        <v>0</v>
      </c>
      <c r="AF784">
        <v>2</v>
      </c>
      <c r="AG784">
        <v>0</v>
      </c>
      <c r="AH784">
        <v>0</v>
      </c>
      <c r="AI784">
        <v>0</v>
      </c>
      <c r="AM784">
        <v>0</v>
      </c>
      <c r="AR784" t="s">
        <v>3249</v>
      </c>
      <c r="AS784" t="s">
        <v>1680</v>
      </c>
      <c r="AT784">
        <v>2025</v>
      </c>
      <c r="AU784">
        <v>5</v>
      </c>
      <c r="AV784" t="s">
        <v>78</v>
      </c>
      <c r="AX784" t="s">
        <v>3254</v>
      </c>
    </row>
    <row r="785" spans="1:50">
      <c r="A785">
        <v>6</v>
      </c>
      <c r="B785">
        <v>33</v>
      </c>
      <c r="C785" t="s">
        <v>74</v>
      </c>
      <c r="D785" t="s">
        <v>1631</v>
      </c>
      <c r="E785" t="s">
        <v>1632</v>
      </c>
      <c r="F785">
        <v>3982</v>
      </c>
      <c r="G785" s="23">
        <v>45783</v>
      </c>
      <c r="H785" s="2">
        <v>45782.429710648146</v>
      </c>
      <c r="I785" s="2"/>
      <c r="K785" s="149">
        <v>0</v>
      </c>
      <c r="L785" s="149">
        <v>270600</v>
      </c>
      <c r="M785" s="149">
        <v>51414</v>
      </c>
      <c r="N785" s="149">
        <v>322014</v>
      </c>
      <c r="O785">
        <v>0</v>
      </c>
      <c r="P785">
        <v>0</v>
      </c>
      <c r="Q785">
        <v>0</v>
      </c>
      <c r="R785">
        <v>0</v>
      </c>
      <c r="S785">
        <v>0</v>
      </c>
      <c r="T785" t="s">
        <v>77</v>
      </c>
      <c r="U785">
        <v>0</v>
      </c>
      <c r="V785">
        <v>0</v>
      </c>
      <c r="W785">
        <v>0</v>
      </c>
      <c r="X785">
        <v>0</v>
      </c>
      <c r="Y785">
        <v>0</v>
      </c>
      <c r="AC785">
        <v>0</v>
      </c>
      <c r="AE785">
        <v>0</v>
      </c>
      <c r="AF785">
        <v>2</v>
      </c>
      <c r="AG785">
        <v>0</v>
      </c>
      <c r="AH785">
        <v>0</v>
      </c>
      <c r="AI785">
        <v>0</v>
      </c>
      <c r="AM785">
        <v>0</v>
      </c>
      <c r="AR785" t="s">
        <v>3249</v>
      </c>
      <c r="AS785" t="s">
        <v>1680</v>
      </c>
      <c r="AT785">
        <v>2025</v>
      </c>
      <c r="AU785">
        <v>5</v>
      </c>
      <c r="AV785" t="s">
        <v>78</v>
      </c>
      <c r="AX785" t="s">
        <v>3255</v>
      </c>
    </row>
    <row r="786" spans="1:50">
      <c r="A786">
        <v>7</v>
      </c>
      <c r="B786">
        <v>33</v>
      </c>
      <c r="C786" t="s">
        <v>74</v>
      </c>
      <c r="D786" t="s">
        <v>1567</v>
      </c>
      <c r="E786" t="s">
        <v>1568</v>
      </c>
      <c r="F786">
        <v>3983</v>
      </c>
      <c r="G786" s="23">
        <v>45783</v>
      </c>
      <c r="H786" s="2">
        <v>45782.440393518518</v>
      </c>
      <c r="I786" s="2">
        <v>45782.45244212963</v>
      </c>
      <c r="K786" s="149">
        <v>0</v>
      </c>
      <c r="L786" s="149">
        <v>917660</v>
      </c>
      <c r="M786" s="149">
        <v>174355</v>
      </c>
      <c r="N786" s="149">
        <v>1092015</v>
      </c>
      <c r="O786">
        <v>0</v>
      </c>
      <c r="P786">
        <v>0</v>
      </c>
      <c r="Q786">
        <v>0</v>
      </c>
      <c r="R786">
        <v>0</v>
      </c>
      <c r="S786">
        <v>0</v>
      </c>
      <c r="T786" t="s">
        <v>77</v>
      </c>
      <c r="U786">
        <v>0</v>
      </c>
      <c r="V786">
        <v>0</v>
      </c>
      <c r="W786">
        <v>0</v>
      </c>
      <c r="X786">
        <v>0</v>
      </c>
      <c r="Y786">
        <v>0</v>
      </c>
      <c r="AC786">
        <v>0</v>
      </c>
      <c r="AE786">
        <v>0</v>
      </c>
      <c r="AF786">
        <v>2</v>
      </c>
      <c r="AG786">
        <v>0</v>
      </c>
      <c r="AH786">
        <v>0</v>
      </c>
      <c r="AI786">
        <v>0</v>
      </c>
      <c r="AM786">
        <v>0</v>
      </c>
      <c r="AR786" t="s">
        <v>3249</v>
      </c>
      <c r="AS786" t="s">
        <v>1680</v>
      </c>
      <c r="AT786">
        <v>2025</v>
      </c>
      <c r="AU786">
        <v>5</v>
      </c>
      <c r="AV786" t="s">
        <v>78</v>
      </c>
      <c r="AX786" t="s">
        <v>3256</v>
      </c>
    </row>
    <row r="787" spans="1:50">
      <c r="A787">
        <v>8</v>
      </c>
      <c r="B787">
        <v>33</v>
      </c>
      <c r="C787" t="s">
        <v>74</v>
      </c>
      <c r="D787" t="s">
        <v>2329</v>
      </c>
      <c r="E787" t="s">
        <v>2330</v>
      </c>
      <c r="F787">
        <v>3984</v>
      </c>
      <c r="G787" s="23">
        <v>45783</v>
      </c>
      <c r="H787" s="2">
        <v>45782.466261574074</v>
      </c>
      <c r="K787" s="149">
        <v>0</v>
      </c>
      <c r="L787" s="149">
        <v>280000</v>
      </c>
      <c r="M787" s="149">
        <v>53200</v>
      </c>
      <c r="N787" s="149">
        <v>333200</v>
      </c>
      <c r="O787">
        <v>0</v>
      </c>
      <c r="P787">
        <v>0</v>
      </c>
      <c r="Q787">
        <v>0</v>
      </c>
      <c r="R787">
        <v>0</v>
      </c>
      <c r="S787">
        <v>0</v>
      </c>
      <c r="T787" t="s">
        <v>77</v>
      </c>
      <c r="U787">
        <v>0</v>
      </c>
      <c r="V787">
        <v>0</v>
      </c>
      <c r="W787">
        <v>0</v>
      </c>
      <c r="X787">
        <v>0</v>
      </c>
      <c r="Y787">
        <v>0</v>
      </c>
      <c r="AC787">
        <v>0</v>
      </c>
      <c r="AE787">
        <v>0</v>
      </c>
      <c r="AF787">
        <v>2</v>
      </c>
      <c r="AG787">
        <v>0</v>
      </c>
      <c r="AH787">
        <v>0</v>
      </c>
      <c r="AI787">
        <v>0</v>
      </c>
      <c r="AM787">
        <v>0</v>
      </c>
      <c r="AR787" t="s">
        <v>3249</v>
      </c>
      <c r="AS787" t="s">
        <v>1680</v>
      </c>
      <c r="AT787">
        <v>2025</v>
      </c>
      <c r="AU787">
        <v>5</v>
      </c>
      <c r="AV787" t="s">
        <v>78</v>
      </c>
      <c r="AX787" t="s">
        <v>3257</v>
      </c>
    </row>
    <row r="788" spans="1:50">
      <c r="A788">
        <v>9</v>
      </c>
      <c r="B788">
        <v>33</v>
      </c>
      <c r="C788" t="s">
        <v>74</v>
      </c>
      <c r="D788" t="s">
        <v>1353</v>
      </c>
      <c r="E788" t="s">
        <v>1354</v>
      </c>
      <c r="F788">
        <v>3985</v>
      </c>
      <c r="G788" s="23">
        <v>45783</v>
      </c>
      <c r="H788" s="2">
        <v>45782.513344907406</v>
      </c>
      <c r="I788" s="2">
        <v>45782.533634259256</v>
      </c>
      <c r="K788" s="149">
        <v>0</v>
      </c>
      <c r="L788" s="149">
        <v>8145525</v>
      </c>
      <c r="M788" s="149">
        <v>1547652</v>
      </c>
      <c r="N788" s="149">
        <v>9693177</v>
      </c>
      <c r="O788">
        <v>0</v>
      </c>
      <c r="P788">
        <v>0</v>
      </c>
      <c r="Q788">
        <v>0</v>
      </c>
      <c r="R788">
        <v>0</v>
      </c>
      <c r="S788">
        <v>0</v>
      </c>
      <c r="T788" t="s">
        <v>77</v>
      </c>
      <c r="U788">
        <v>0</v>
      </c>
      <c r="V788">
        <v>0</v>
      </c>
      <c r="W788">
        <v>0</v>
      </c>
      <c r="X788">
        <v>0</v>
      </c>
      <c r="Y788">
        <v>0</v>
      </c>
      <c r="AC788">
        <v>0</v>
      </c>
      <c r="AE788">
        <v>0</v>
      </c>
      <c r="AF788">
        <v>2</v>
      </c>
      <c r="AG788">
        <v>0</v>
      </c>
      <c r="AH788">
        <v>0</v>
      </c>
      <c r="AI788">
        <v>0</v>
      </c>
      <c r="AM788">
        <v>0</v>
      </c>
      <c r="AR788" t="s">
        <v>3249</v>
      </c>
      <c r="AS788" t="s">
        <v>1680</v>
      </c>
      <c r="AT788">
        <v>2025</v>
      </c>
      <c r="AU788">
        <v>5</v>
      </c>
      <c r="AV788" t="s">
        <v>78</v>
      </c>
      <c r="AX788" t="s">
        <v>3258</v>
      </c>
    </row>
    <row r="789" spans="1:50">
      <c r="A789">
        <v>10</v>
      </c>
      <c r="B789">
        <v>33</v>
      </c>
      <c r="C789" t="s">
        <v>74</v>
      </c>
      <c r="D789" t="s">
        <v>1561</v>
      </c>
      <c r="E789" t="s">
        <v>1562</v>
      </c>
      <c r="F789">
        <v>3986</v>
      </c>
      <c r="G789" s="23">
        <v>45785</v>
      </c>
      <c r="H789" s="2">
        <v>45782.76358796296</v>
      </c>
      <c r="I789" s="2" t="s">
        <v>3133</v>
      </c>
      <c r="K789" s="149">
        <v>0</v>
      </c>
      <c r="L789" s="149">
        <v>3285000</v>
      </c>
      <c r="M789" s="149">
        <v>624150</v>
      </c>
      <c r="N789" s="149">
        <v>3909150</v>
      </c>
      <c r="O789">
        <v>0</v>
      </c>
      <c r="P789">
        <v>0</v>
      </c>
      <c r="Q789">
        <v>0</v>
      </c>
      <c r="R789">
        <v>0</v>
      </c>
      <c r="S789">
        <v>0</v>
      </c>
      <c r="T789" t="s">
        <v>77</v>
      </c>
      <c r="U789">
        <v>0</v>
      </c>
      <c r="V789">
        <v>0</v>
      </c>
      <c r="W789">
        <v>0</v>
      </c>
      <c r="X789">
        <v>0</v>
      </c>
      <c r="AC789">
        <v>0</v>
      </c>
      <c r="AE789">
        <v>0</v>
      </c>
      <c r="AF789">
        <v>2</v>
      </c>
      <c r="AG789">
        <v>0</v>
      </c>
      <c r="AH789">
        <v>0</v>
      </c>
      <c r="AI789">
        <v>0</v>
      </c>
      <c r="AM789">
        <v>0</v>
      </c>
      <c r="AR789" t="s">
        <v>3249</v>
      </c>
      <c r="AS789" t="s">
        <v>1680</v>
      </c>
      <c r="AT789">
        <v>2025</v>
      </c>
      <c r="AU789">
        <v>5</v>
      </c>
      <c r="AV789" t="s">
        <v>78</v>
      </c>
      <c r="AX789" t="s">
        <v>3259</v>
      </c>
    </row>
    <row r="790" spans="1:50">
      <c r="A790">
        <v>11</v>
      </c>
      <c r="B790">
        <v>33</v>
      </c>
      <c r="C790" t="s">
        <v>74</v>
      </c>
      <c r="D790" t="s">
        <v>1222</v>
      </c>
      <c r="E790" t="s">
        <v>1223</v>
      </c>
      <c r="F790">
        <v>3987</v>
      </c>
      <c r="G790" s="23">
        <v>45785</v>
      </c>
      <c r="H790" s="2">
        <v>45813.388032407405</v>
      </c>
      <c r="I790" s="2">
        <v>45996.581145833334</v>
      </c>
      <c r="K790" s="149">
        <v>0</v>
      </c>
      <c r="L790" s="149">
        <v>10531180</v>
      </c>
      <c r="M790" s="149">
        <v>2000924</v>
      </c>
      <c r="N790" s="149">
        <v>12532104</v>
      </c>
      <c r="O790">
        <v>0</v>
      </c>
      <c r="P790">
        <v>0</v>
      </c>
      <c r="Q790">
        <v>0</v>
      </c>
      <c r="R790">
        <v>0</v>
      </c>
      <c r="S790">
        <v>0</v>
      </c>
      <c r="T790" t="s">
        <v>77</v>
      </c>
      <c r="U790">
        <v>0</v>
      </c>
      <c r="V790">
        <v>0</v>
      </c>
      <c r="W790">
        <v>0</v>
      </c>
      <c r="X790">
        <v>0</v>
      </c>
      <c r="AC790">
        <v>0</v>
      </c>
      <c r="AE790">
        <v>0</v>
      </c>
      <c r="AF790">
        <v>2</v>
      </c>
      <c r="AG790">
        <v>0</v>
      </c>
      <c r="AH790">
        <v>0</v>
      </c>
      <c r="AI790">
        <v>0</v>
      </c>
      <c r="AM790">
        <v>0</v>
      </c>
      <c r="AR790" t="s">
        <v>3249</v>
      </c>
      <c r="AS790" t="s">
        <v>1680</v>
      </c>
      <c r="AT790">
        <v>2025</v>
      </c>
      <c r="AU790">
        <v>5</v>
      </c>
      <c r="AV790" t="s">
        <v>78</v>
      </c>
      <c r="AX790" t="s">
        <v>3260</v>
      </c>
    </row>
    <row r="791" spans="1:50">
      <c r="A791">
        <v>12</v>
      </c>
      <c r="B791">
        <v>33</v>
      </c>
      <c r="C791" t="s">
        <v>74</v>
      </c>
      <c r="D791" t="s">
        <v>1571</v>
      </c>
      <c r="E791" t="s">
        <v>1572</v>
      </c>
      <c r="F791">
        <v>3988</v>
      </c>
      <c r="G791" s="23">
        <v>45785</v>
      </c>
      <c r="H791" s="2">
        <v>45813.455879629626</v>
      </c>
      <c r="I791" s="2">
        <v>45874.888958333337</v>
      </c>
      <c r="K791" s="149">
        <v>0</v>
      </c>
      <c r="L791" s="149">
        <v>1990265</v>
      </c>
      <c r="M791" s="149">
        <v>378151</v>
      </c>
      <c r="N791" s="149">
        <v>2368416</v>
      </c>
      <c r="O791">
        <v>0</v>
      </c>
      <c r="P791">
        <v>0</v>
      </c>
      <c r="Q791">
        <v>0</v>
      </c>
      <c r="R791">
        <v>0</v>
      </c>
      <c r="S791">
        <v>0</v>
      </c>
      <c r="T791" t="s">
        <v>77</v>
      </c>
      <c r="U791">
        <v>0</v>
      </c>
      <c r="V791">
        <v>0</v>
      </c>
      <c r="W791">
        <v>0</v>
      </c>
      <c r="X791">
        <v>0</v>
      </c>
      <c r="AC791">
        <v>0</v>
      </c>
      <c r="AE791">
        <v>0</v>
      </c>
      <c r="AF791">
        <v>2</v>
      </c>
      <c r="AG791">
        <v>0</v>
      </c>
      <c r="AH791">
        <v>0</v>
      </c>
      <c r="AI791">
        <v>0</v>
      </c>
      <c r="AM791">
        <v>0</v>
      </c>
      <c r="AR791" t="s">
        <v>3249</v>
      </c>
      <c r="AS791" t="s">
        <v>1680</v>
      </c>
      <c r="AT791">
        <v>2025</v>
      </c>
      <c r="AU791">
        <v>5</v>
      </c>
      <c r="AV791" t="s">
        <v>78</v>
      </c>
      <c r="AX791" t="s">
        <v>3261</v>
      </c>
    </row>
    <row r="792" spans="1:50">
      <c r="A792">
        <v>13</v>
      </c>
      <c r="B792">
        <v>33</v>
      </c>
      <c r="C792" t="s">
        <v>74</v>
      </c>
      <c r="D792" t="s">
        <v>1581</v>
      </c>
      <c r="E792" t="s">
        <v>1582</v>
      </c>
      <c r="F792">
        <v>3989</v>
      </c>
      <c r="G792" s="23">
        <v>45785</v>
      </c>
      <c r="H792" s="2">
        <v>45813.48128472222</v>
      </c>
      <c r="I792" s="2">
        <v>45874.63548611111</v>
      </c>
      <c r="K792" s="149">
        <v>0</v>
      </c>
      <c r="L792" s="149">
        <v>1807780</v>
      </c>
      <c r="M792" s="149">
        <v>343478</v>
      </c>
      <c r="N792" s="149">
        <v>2151258</v>
      </c>
      <c r="O792">
        <v>0</v>
      </c>
      <c r="P792">
        <v>0</v>
      </c>
      <c r="Q792">
        <v>0</v>
      </c>
      <c r="R792">
        <v>0</v>
      </c>
      <c r="S792">
        <v>0</v>
      </c>
      <c r="T792" t="s">
        <v>77</v>
      </c>
      <c r="U792">
        <v>0</v>
      </c>
      <c r="V792">
        <v>0</v>
      </c>
      <c r="W792">
        <v>0</v>
      </c>
      <c r="X792">
        <v>0</v>
      </c>
      <c r="Y792">
        <v>0</v>
      </c>
      <c r="AC792">
        <v>0</v>
      </c>
      <c r="AE792">
        <v>0</v>
      </c>
      <c r="AF792">
        <v>2</v>
      </c>
      <c r="AG792">
        <v>0</v>
      </c>
      <c r="AH792">
        <v>0</v>
      </c>
      <c r="AI792">
        <v>0</v>
      </c>
      <c r="AM792">
        <v>0</v>
      </c>
      <c r="AR792" t="s">
        <v>3249</v>
      </c>
      <c r="AS792" t="s">
        <v>1680</v>
      </c>
      <c r="AT792">
        <v>2025</v>
      </c>
      <c r="AU792">
        <v>5</v>
      </c>
      <c r="AV792" t="s">
        <v>78</v>
      </c>
      <c r="AX792" t="s">
        <v>3262</v>
      </c>
    </row>
    <row r="793" spans="1:50">
      <c r="A793">
        <v>14</v>
      </c>
      <c r="B793">
        <v>33</v>
      </c>
      <c r="C793" t="s">
        <v>74</v>
      </c>
      <c r="D793" t="s">
        <v>1571</v>
      </c>
      <c r="E793" t="s">
        <v>1572</v>
      </c>
      <c r="F793">
        <v>3990</v>
      </c>
      <c r="G793" s="23">
        <v>45785</v>
      </c>
      <c r="H793" s="2">
        <v>45813.489849537036</v>
      </c>
      <c r="I793" s="2">
        <v>45874.889004629629</v>
      </c>
      <c r="K793" s="149">
        <v>0</v>
      </c>
      <c r="L793" s="149">
        <v>5722824</v>
      </c>
      <c r="M793" s="149">
        <v>1087337</v>
      </c>
      <c r="N793" s="149">
        <v>6810161</v>
      </c>
      <c r="O793">
        <v>0</v>
      </c>
      <c r="P793">
        <v>0</v>
      </c>
      <c r="Q793">
        <v>0</v>
      </c>
      <c r="R793">
        <v>0</v>
      </c>
      <c r="S793">
        <v>0</v>
      </c>
      <c r="T793" t="s">
        <v>77</v>
      </c>
      <c r="U793">
        <v>0</v>
      </c>
      <c r="V793">
        <v>0</v>
      </c>
      <c r="W793">
        <v>0</v>
      </c>
      <c r="X793">
        <v>0</v>
      </c>
      <c r="AC793">
        <v>0</v>
      </c>
      <c r="AE793">
        <v>0</v>
      </c>
      <c r="AF793">
        <v>2</v>
      </c>
      <c r="AG793">
        <v>0</v>
      </c>
      <c r="AH793">
        <v>0</v>
      </c>
      <c r="AI793">
        <v>0</v>
      </c>
      <c r="AM793">
        <v>0</v>
      </c>
      <c r="AR793" t="s">
        <v>3249</v>
      </c>
      <c r="AS793" t="s">
        <v>1680</v>
      </c>
      <c r="AT793">
        <v>2025</v>
      </c>
      <c r="AU793">
        <v>5</v>
      </c>
      <c r="AV793" t="s">
        <v>78</v>
      </c>
      <c r="AX793" t="s">
        <v>3263</v>
      </c>
    </row>
    <row r="794" spans="1:50">
      <c r="A794">
        <v>15</v>
      </c>
      <c r="B794">
        <v>33</v>
      </c>
      <c r="C794" t="s">
        <v>74</v>
      </c>
      <c r="D794" t="s">
        <v>1612</v>
      </c>
      <c r="E794" t="s">
        <v>1613</v>
      </c>
      <c r="F794">
        <v>3991</v>
      </c>
      <c r="G794" s="23">
        <v>45785</v>
      </c>
      <c r="H794" s="2">
        <v>45813.513391203705</v>
      </c>
      <c r="I794" s="2"/>
      <c r="K794" s="149">
        <v>0</v>
      </c>
      <c r="L794" s="149">
        <v>243282</v>
      </c>
      <c r="M794" s="149">
        <v>46224</v>
      </c>
      <c r="N794" s="149">
        <v>289506</v>
      </c>
      <c r="O794">
        <v>0</v>
      </c>
      <c r="P794">
        <v>0</v>
      </c>
      <c r="Q794">
        <v>0</v>
      </c>
      <c r="R794">
        <v>0</v>
      </c>
      <c r="S794">
        <v>0</v>
      </c>
      <c r="T794" t="s">
        <v>77</v>
      </c>
      <c r="U794">
        <v>0</v>
      </c>
      <c r="V794">
        <v>0</v>
      </c>
      <c r="W794">
        <v>0</v>
      </c>
      <c r="X794">
        <v>0</v>
      </c>
      <c r="Y794">
        <v>0</v>
      </c>
      <c r="AC794">
        <v>0</v>
      </c>
      <c r="AE794">
        <v>0</v>
      </c>
      <c r="AF794">
        <v>2</v>
      </c>
      <c r="AG794">
        <v>0</v>
      </c>
      <c r="AH794">
        <v>0</v>
      </c>
      <c r="AI794">
        <v>0</v>
      </c>
      <c r="AM794">
        <v>0</v>
      </c>
      <c r="AR794" t="s">
        <v>3249</v>
      </c>
      <c r="AS794" t="s">
        <v>1680</v>
      </c>
      <c r="AT794">
        <v>2025</v>
      </c>
      <c r="AU794">
        <v>5</v>
      </c>
      <c r="AV794" t="s">
        <v>78</v>
      </c>
      <c r="AX794" t="s">
        <v>3264</v>
      </c>
    </row>
    <row r="795" spans="1:50">
      <c r="A795">
        <v>16</v>
      </c>
      <c r="B795">
        <v>33</v>
      </c>
      <c r="C795" t="s">
        <v>74</v>
      </c>
      <c r="D795" t="s">
        <v>1581</v>
      </c>
      <c r="E795" t="s">
        <v>1582</v>
      </c>
      <c r="F795">
        <v>3992</v>
      </c>
      <c r="G795" s="23">
        <v>45784</v>
      </c>
      <c r="H795" s="2">
        <v>45813.666956018518</v>
      </c>
      <c r="J795" t="s">
        <v>3134</v>
      </c>
      <c r="K795" s="149">
        <v>0</v>
      </c>
      <c r="L795" s="149">
        <v>26300</v>
      </c>
      <c r="M795" s="149">
        <v>4997</v>
      </c>
      <c r="N795" s="149">
        <v>31297</v>
      </c>
      <c r="O795">
        <v>0</v>
      </c>
      <c r="P795">
        <v>0</v>
      </c>
      <c r="Q795">
        <v>0</v>
      </c>
      <c r="R795">
        <v>0</v>
      </c>
      <c r="S795">
        <v>0</v>
      </c>
      <c r="T795" t="s">
        <v>77</v>
      </c>
      <c r="U795">
        <v>0</v>
      </c>
      <c r="V795">
        <v>0</v>
      </c>
      <c r="W795">
        <v>0</v>
      </c>
      <c r="X795">
        <v>0</v>
      </c>
      <c r="Y795">
        <v>0</v>
      </c>
      <c r="AC795">
        <v>0</v>
      </c>
      <c r="AE795">
        <v>0</v>
      </c>
      <c r="AF795">
        <v>2</v>
      </c>
      <c r="AG795">
        <v>0</v>
      </c>
      <c r="AH795">
        <v>0</v>
      </c>
      <c r="AI795">
        <v>0</v>
      </c>
      <c r="AM795">
        <v>0</v>
      </c>
      <c r="AR795" t="s">
        <v>3249</v>
      </c>
      <c r="AS795" t="s">
        <v>1680</v>
      </c>
      <c r="AT795">
        <v>2025</v>
      </c>
      <c r="AU795">
        <v>5</v>
      </c>
      <c r="AV795" t="s">
        <v>78</v>
      </c>
      <c r="AX795" t="s">
        <v>3265</v>
      </c>
    </row>
    <row r="796" spans="1:50">
      <c r="A796">
        <v>17</v>
      </c>
      <c r="B796">
        <v>33</v>
      </c>
      <c r="C796" t="s">
        <v>74</v>
      </c>
      <c r="D796" t="s">
        <v>2825</v>
      </c>
      <c r="E796" t="s">
        <v>2826</v>
      </c>
      <c r="F796">
        <v>3993</v>
      </c>
      <c r="G796" s="23">
        <v>45783</v>
      </c>
      <c r="H796" s="2">
        <v>45813.684803240743</v>
      </c>
      <c r="K796" s="149">
        <v>0</v>
      </c>
      <c r="L796" s="149">
        <v>275940</v>
      </c>
      <c r="M796" s="149">
        <v>52429</v>
      </c>
      <c r="N796" s="149">
        <v>328369</v>
      </c>
      <c r="O796">
        <v>0</v>
      </c>
      <c r="P796">
        <v>0</v>
      </c>
      <c r="Q796">
        <v>0</v>
      </c>
      <c r="R796">
        <v>0</v>
      </c>
      <c r="S796">
        <v>0</v>
      </c>
      <c r="T796" t="s">
        <v>77</v>
      </c>
      <c r="U796">
        <v>0</v>
      </c>
      <c r="V796">
        <v>0</v>
      </c>
      <c r="W796">
        <v>0</v>
      </c>
      <c r="X796">
        <v>0</v>
      </c>
      <c r="Y796">
        <v>0</v>
      </c>
      <c r="AC796">
        <v>0</v>
      </c>
      <c r="AE796">
        <v>0</v>
      </c>
      <c r="AF796">
        <v>2</v>
      </c>
      <c r="AG796">
        <v>0</v>
      </c>
      <c r="AH796">
        <v>0</v>
      </c>
      <c r="AI796">
        <v>0</v>
      </c>
      <c r="AM796">
        <v>0</v>
      </c>
      <c r="AR796" t="s">
        <v>3249</v>
      </c>
      <c r="AS796" t="s">
        <v>1680</v>
      </c>
      <c r="AT796">
        <v>2025</v>
      </c>
      <c r="AU796">
        <v>5</v>
      </c>
      <c r="AV796" t="s">
        <v>78</v>
      </c>
      <c r="AX796" t="s">
        <v>3266</v>
      </c>
    </row>
    <row r="797" spans="1:50">
      <c r="A797">
        <v>18</v>
      </c>
      <c r="B797">
        <v>33</v>
      </c>
      <c r="C797" t="s">
        <v>74</v>
      </c>
      <c r="D797" t="s">
        <v>1612</v>
      </c>
      <c r="E797" t="s">
        <v>1613</v>
      </c>
      <c r="F797">
        <v>3994</v>
      </c>
      <c r="G797" s="23">
        <v>45785</v>
      </c>
      <c r="H797" s="2">
        <v>45843.434733796297</v>
      </c>
      <c r="K797" s="149">
        <v>0</v>
      </c>
      <c r="L797" s="149">
        <v>39526</v>
      </c>
      <c r="M797" s="149">
        <v>7510</v>
      </c>
      <c r="N797" s="149">
        <v>47036</v>
      </c>
      <c r="O797">
        <v>0</v>
      </c>
      <c r="P797">
        <v>0</v>
      </c>
      <c r="Q797">
        <v>0</v>
      </c>
      <c r="R797">
        <v>0</v>
      </c>
      <c r="S797">
        <v>0</v>
      </c>
      <c r="T797" t="s">
        <v>77</v>
      </c>
      <c r="U797">
        <v>0</v>
      </c>
      <c r="V797">
        <v>0</v>
      </c>
      <c r="W797">
        <v>0</v>
      </c>
      <c r="X797">
        <v>0</v>
      </c>
      <c r="Y797">
        <v>0</v>
      </c>
      <c r="AC797">
        <v>0</v>
      </c>
      <c r="AE797">
        <v>0</v>
      </c>
      <c r="AF797">
        <v>2</v>
      </c>
      <c r="AG797">
        <v>0</v>
      </c>
      <c r="AH797">
        <v>0</v>
      </c>
      <c r="AI797">
        <v>0</v>
      </c>
      <c r="AM797">
        <v>0</v>
      </c>
      <c r="AR797" t="s">
        <v>3249</v>
      </c>
      <c r="AS797" t="s">
        <v>1680</v>
      </c>
      <c r="AT797">
        <v>2025</v>
      </c>
      <c r="AU797">
        <v>5</v>
      </c>
      <c r="AV797" t="s">
        <v>78</v>
      </c>
      <c r="AX797" t="s">
        <v>3267</v>
      </c>
    </row>
    <row r="798" spans="1:50">
      <c r="A798">
        <v>19</v>
      </c>
      <c r="B798">
        <v>33</v>
      </c>
      <c r="C798" t="s">
        <v>74</v>
      </c>
      <c r="D798" t="s">
        <v>1564</v>
      </c>
      <c r="E798" t="s">
        <v>1565</v>
      </c>
      <c r="F798">
        <v>3995</v>
      </c>
      <c r="G798" s="23">
        <v>45785</v>
      </c>
      <c r="H798" s="2">
        <v>45843.476087962961</v>
      </c>
      <c r="K798" s="149">
        <v>0</v>
      </c>
      <c r="L798" s="149">
        <v>448218</v>
      </c>
      <c r="M798" s="149">
        <v>85162</v>
      </c>
      <c r="N798" s="149">
        <v>533380</v>
      </c>
      <c r="O798">
        <v>0</v>
      </c>
      <c r="P798">
        <v>0</v>
      </c>
      <c r="Q798">
        <v>0</v>
      </c>
      <c r="R798">
        <v>0</v>
      </c>
      <c r="S798">
        <v>0</v>
      </c>
      <c r="T798" t="s">
        <v>77</v>
      </c>
      <c r="U798">
        <v>0</v>
      </c>
      <c r="V798">
        <v>0</v>
      </c>
      <c r="W798">
        <v>0</v>
      </c>
      <c r="X798">
        <v>0</v>
      </c>
      <c r="Y798">
        <v>0</v>
      </c>
      <c r="AC798">
        <v>0</v>
      </c>
      <c r="AE798">
        <v>0</v>
      </c>
      <c r="AF798">
        <v>2</v>
      </c>
      <c r="AG798">
        <v>0</v>
      </c>
      <c r="AH798">
        <v>0</v>
      </c>
      <c r="AI798">
        <v>0</v>
      </c>
      <c r="AM798">
        <v>0</v>
      </c>
      <c r="AR798" t="s">
        <v>3249</v>
      </c>
      <c r="AS798" t="s">
        <v>1680</v>
      </c>
      <c r="AT798">
        <v>2025</v>
      </c>
      <c r="AU798">
        <v>5</v>
      </c>
      <c r="AV798" t="s">
        <v>78</v>
      </c>
      <c r="AX798" t="s">
        <v>3268</v>
      </c>
    </row>
    <row r="799" spans="1:50">
      <c r="A799">
        <v>20</v>
      </c>
      <c r="B799">
        <v>33</v>
      </c>
      <c r="C799" t="s">
        <v>74</v>
      </c>
      <c r="D799" t="s">
        <v>1592</v>
      </c>
      <c r="E799" t="s">
        <v>1593</v>
      </c>
      <c r="F799">
        <v>3996</v>
      </c>
      <c r="G799" s="23">
        <v>45785</v>
      </c>
      <c r="H799" s="2">
        <v>45843.481585648151</v>
      </c>
      <c r="I799" s="2"/>
      <c r="K799" s="149">
        <v>0</v>
      </c>
      <c r="L799" s="149">
        <v>250987</v>
      </c>
      <c r="M799" s="149">
        <v>47687</v>
      </c>
      <c r="N799" s="149">
        <v>298674</v>
      </c>
      <c r="O799">
        <v>0</v>
      </c>
      <c r="P799">
        <v>0</v>
      </c>
      <c r="Q799">
        <v>0</v>
      </c>
      <c r="R799">
        <v>0</v>
      </c>
      <c r="S799">
        <v>0</v>
      </c>
      <c r="T799" t="s">
        <v>77</v>
      </c>
      <c r="U799">
        <v>0</v>
      </c>
      <c r="V799">
        <v>0</v>
      </c>
      <c r="W799">
        <v>0</v>
      </c>
      <c r="X799">
        <v>0</v>
      </c>
      <c r="Y799">
        <v>0</v>
      </c>
      <c r="AC799">
        <v>0</v>
      </c>
      <c r="AE799">
        <v>0</v>
      </c>
      <c r="AF799">
        <v>2</v>
      </c>
      <c r="AG799">
        <v>0</v>
      </c>
      <c r="AH799">
        <v>0</v>
      </c>
      <c r="AI799">
        <v>0</v>
      </c>
      <c r="AM799">
        <v>0</v>
      </c>
      <c r="AR799" t="s">
        <v>3249</v>
      </c>
      <c r="AS799" t="s">
        <v>1680</v>
      </c>
      <c r="AT799">
        <v>2025</v>
      </c>
      <c r="AU799">
        <v>5</v>
      </c>
      <c r="AV799" t="s">
        <v>78</v>
      </c>
      <c r="AX799" t="s">
        <v>3269</v>
      </c>
    </row>
    <row r="800" spans="1:50">
      <c r="A800">
        <v>21</v>
      </c>
      <c r="B800">
        <v>33</v>
      </c>
      <c r="C800" t="s">
        <v>74</v>
      </c>
      <c r="D800" t="s">
        <v>1785</v>
      </c>
      <c r="E800" t="s">
        <v>1786</v>
      </c>
      <c r="F800">
        <v>3997</v>
      </c>
      <c r="G800" s="23">
        <v>45785</v>
      </c>
      <c r="H800" s="2">
        <v>45843.536759259259</v>
      </c>
      <c r="K800" s="149">
        <v>0</v>
      </c>
      <c r="L800" s="149">
        <v>253086</v>
      </c>
      <c r="M800" s="149">
        <v>48085</v>
      </c>
      <c r="N800" s="149">
        <v>301171</v>
      </c>
      <c r="O800">
        <v>0</v>
      </c>
      <c r="P800">
        <v>0</v>
      </c>
      <c r="Q800">
        <v>0</v>
      </c>
      <c r="R800">
        <v>0</v>
      </c>
      <c r="S800">
        <v>0</v>
      </c>
      <c r="T800" t="s">
        <v>77</v>
      </c>
      <c r="U800">
        <v>0</v>
      </c>
      <c r="V800">
        <v>0</v>
      </c>
      <c r="W800">
        <v>0</v>
      </c>
      <c r="X800">
        <v>0</v>
      </c>
      <c r="Y800">
        <v>0</v>
      </c>
      <c r="AC800">
        <v>0</v>
      </c>
      <c r="AE800">
        <v>0</v>
      </c>
      <c r="AF800">
        <v>2</v>
      </c>
      <c r="AG800">
        <v>0</v>
      </c>
      <c r="AH800">
        <v>0</v>
      </c>
      <c r="AI800">
        <v>0</v>
      </c>
      <c r="AM800">
        <v>0</v>
      </c>
      <c r="AR800" t="s">
        <v>3249</v>
      </c>
      <c r="AS800" t="s">
        <v>1680</v>
      </c>
      <c r="AT800">
        <v>2025</v>
      </c>
      <c r="AU800">
        <v>5</v>
      </c>
      <c r="AV800" t="s">
        <v>78</v>
      </c>
      <c r="AX800" t="s">
        <v>3270</v>
      </c>
    </row>
    <row r="801" spans="1:50">
      <c r="A801">
        <v>22</v>
      </c>
      <c r="B801">
        <v>33</v>
      </c>
      <c r="C801" t="s">
        <v>74</v>
      </c>
      <c r="D801" t="s">
        <v>1785</v>
      </c>
      <c r="E801" t="s">
        <v>1786</v>
      </c>
      <c r="F801">
        <v>3998</v>
      </c>
      <c r="G801" s="23">
        <v>45785</v>
      </c>
      <c r="H801" s="2">
        <v>45843.584189814814</v>
      </c>
      <c r="K801" s="149">
        <v>0</v>
      </c>
      <c r="L801" s="149">
        <v>253090</v>
      </c>
      <c r="M801" s="149">
        <v>48086</v>
      </c>
      <c r="N801" s="149">
        <v>301176</v>
      </c>
      <c r="O801">
        <v>0</v>
      </c>
      <c r="P801">
        <v>0</v>
      </c>
      <c r="Q801">
        <v>0</v>
      </c>
      <c r="R801">
        <v>0</v>
      </c>
      <c r="S801">
        <v>0</v>
      </c>
      <c r="T801" t="s">
        <v>77</v>
      </c>
      <c r="U801">
        <v>0</v>
      </c>
      <c r="V801">
        <v>0</v>
      </c>
      <c r="W801">
        <v>0</v>
      </c>
      <c r="X801">
        <v>0</v>
      </c>
      <c r="Y801">
        <v>0</v>
      </c>
      <c r="AC801">
        <v>0</v>
      </c>
      <c r="AE801">
        <v>0</v>
      </c>
      <c r="AF801">
        <v>2</v>
      </c>
      <c r="AG801">
        <v>0</v>
      </c>
      <c r="AH801">
        <v>0</v>
      </c>
      <c r="AI801">
        <v>0</v>
      </c>
      <c r="AM801">
        <v>0</v>
      </c>
      <c r="AR801" t="s">
        <v>3249</v>
      </c>
      <c r="AS801" t="s">
        <v>1680</v>
      </c>
      <c r="AT801">
        <v>2025</v>
      </c>
      <c r="AU801">
        <v>5</v>
      </c>
      <c r="AV801" t="s">
        <v>78</v>
      </c>
      <c r="AX801" t="s">
        <v>3271</v>
      </c>
    </row>
    <row r="802" spans="1:50">
      <c r="A802">
        <v>23</v>
      </c>
      <c r="B802">
        <v>33</v>
      </c>
      <c r="C802" t="s">
        <v>74</v>
      </c>
      <c r="D802" t="s">
        <v>3135</v>
      </c>
      <c r="E802" t="s">
        <v>3136</v>
      </c>
      <c r="F802">
        <v>3999</v>
      </c>
      <c r="G802" s="23">
        <v>45785</v>
      </c>
      <c r="H802" s="2">
        <v>45843.620775462965</v>
      </c>
      <c r="K802" s="149">
        <v>2</v>
      </c>
      <c r="L802" s="149">
        <v>210992</v>
      </c>
      <c r="M802" s="149">
        <v>40090</v>
      </c>
      <c r="N802" s="149">
        <v>251084</v>
      </c>
      <c r="O802">
        <v>0</v>
      </c>
      <c r="P802">
        <v>0</v>
      </c>
      <c r="Q802">
        <v>0</v>
      </c>
      <c r="R802">
        <v>0</v>
      </c>
      <c r="S802">
        <v>0</v>
      </c>
      <c r="T802" t="s">
        <v>77</v>
      </c>
      <c r="U802">
        <v>0</v>
      </c>
      <c r="V802">
        <v>0</v>
      </c>
      <c r="W802">
        <v>0</v>
      </c>
      <c r="X802">
        <v>0</v>
      </c>
      <c r="Y802">
        <v>0</v>
      </c>
      <c r="AC802">
        <v>0</v>
      </c>
      <c r="AE802">
        <v>0</v>
      </c>
      <c r="AF802">
        <v>2</v>
      </c>
      <c r="AG802">
        <v>0</v>
      </c>
      <c r="AH802">
        <v>0</v>
      </c>
      <c r="AI802">
        <v>0</v>
      </c>
      <c r="AM802">
        <v>0</v>
      </c>
      <c r="AR802" t="s">
        <v>3249</v>
      </c>
      <c r="AS802" t="s">
        <v>1680</v>
      </c>
      <c r="AT802">
        <v>2025</v>
      </c>
      <c r="AU802">
        <v>5</v>
      </c>
      <c r="AV802" t="s">
        <v>78</v>
      </c>
      <c r="AX802" t="s">
        <v>3272</v>
      </c>
    </row>
    <row r="803" spans="1:50">
      <c r="A803">
        <v>24</v>
      </c>
      <c r="B803">
        <v>33</v>
      </c>
      <c r="C803" t="s">
        <v>74</v>
      </c>
      <c r="D803" t="s">
        <v>1988</v>
      </c>
      <c r="E803" t="s">
        <v>1989</v>
      </c>
      <c r="F803">
        <v>4000</v>
      </c>
      <c r="G803" s="23">
        <v>45789</v>
      </c>
      <c r="H803" s="2">
        <v>45905.470023148147</v>
      </c>
      <c r="J803" t="s">
        <v>3137</v>
      </c>
      <c r="K803" s="149">
        <v>0</v>
      </c>
      <c r="L803" s="149">
        <v>837800</v>
      </c>
      <c r="M803" s="149">
        <v>159182</v>
      </c>
      <c r="N803" s="149">
        <v>996982</v>
      </c>
      <c r="O803">
        <v>0</v>
      </c>
      <c r="P803">
        <v>0</v>
      </c>
      <c r="Q803">
        <v>0</v>
      </c>
      <c r="R803">
        <v>0</v>
      </c>
      <c r="S803">
        <v>0</v>
      </c>
      <c r="T803" t="s">
        <v>77</v>
      </c>
      <c r="U803">
        <v>0</v>
      </c>
      <c r="V803">
        <v>0</v>
      </c>
      <c r="W803">
        <v>0</v>
      </c>
      <c r="X803">
        <v>0</v>
      </c>
      <c r="AC803">
        <v>0</v>
      </c>
      <c r="AE803">
        <v>0</v>
      </c>
      <c r="AF803">
        <v>2</v>
      </c>
      <c r="AG803">
        <v>0</v>
      </c>
      <c r="AH803">
        <v>0</v>
      </c>
      <c r="AI803">
        <v>0</v>
      </c>
      <c r="AM803">
        <v>0</v>
      </c>
      <c r="AR803" t="s">
        <v>3249</v>
      </c>
      <c r="AS803" t="s">
        <v>1680</v>
      </c>
      <c r="AT803">
        <v>2025</v>
      </c>
      <c r="AU803">
        <v>5</v>
      </c>
      <c r="AV803" t="s">
        <v>78</v>
      </c>
      <c r="AX803" t="s">
        <v>3273</v>
      </c>
    </row>
    <row r="804" spans="1:50">
      <c r="A804">
        <v>25</v>
      </c>
      <c r="B804">
        <v>33</v>
      </c>
      <c r="C804" t="s">
        <v>74</v>
      </c>
      <c r="D804" t="s">
        <v>1222</v>
      </c>
      <c r="E804" t="s">
        <v>1223</v>
      </c>
      <c r="F804">
        <v>4001</v>
      </c>
      <c r="G804" s="23">
        <v>45789</v>
      </c>
      <c r="H804" s="2">
        <v>45905.478888888887</v>
      </c>
      <c r="I804" t="s">
        <v>3138</v>
      </c>
      <c r="K804" s="149">
        <v>0</v>
      </c>
      <c r="L804" s="149">
        <v>1474600</v>
      </c>
      <c r="M804" s="149">
        <v>280174</v>
      </c>
      <c r="N804" s="149">
        <v>1754774</v>
      </c>
      <c r="O804">
        <v>0</v>
      </c>
      <c r="P804">
        <v>0</v>
      </c>
      <c r="Q804">
        <v>0</v>
      </c>
      <c r="R804">
        <v>0</v>
      </c>
      <c r="S804">
        <v>0</v>
      </c>
      <c r="T804" t="s">
        <v>77</v>
      </c>
      <c r="U804">
        <v>0</v>
      </c>
      <c r="V804">
        <v>0</v>
      </c>
      <c r="W804">
        <v>0</v>
      </c>
      <c r="X804">
        <v>0</v>
      </c>
      <c r="AC804">
        <v>0</v>
      </c>
      <c r="AE804">
        <v>0</v>
      </c>
      <c r="AF804">
        <v>2</v>
      </c>
      <c r="AG804">
        <v>0</v>
      </c>
      <c r="AH804">
        <v>0</v>
      </c>
      <c r="AI804">
        <v>0</v>
      </c>
      <c r="AM804">
        <v>0</v>
      </c>
      <c r="AR804" t="s">
        <v>3249</v>
      </c>
      <c r="AS804" t="s">
        <v>1680</v>
      </c>
      <c r="AT804">
        <v>2025</v>
      </c>
      <c r="AU804">
        <v>5</v>
      </c>
      <c r="AV804" t="s">
        <v>78</v>
      </c>
      <c r="AX804" t="s">
        <v>3274</v>
      </c>
    </row>
    <row r="805" spans="1:50">
      <c r="A805">
        <v>26</v>
      </c>
      <c r="B805">
        <v>33</v>
      </c>
      <c r="C805" t="s">
        <v>74</v>
      </c>
      <c r="D805" t="s">
        <v>2329</v>
      </c>
      <c r="E805" t="s">
        <v>2330</v>
      </c>
      <c r="F805">
        <v>4002</v>
      </c>
      <c r="G805" s="23" t="s">
        <v>1509</v>
      </c>
      <c r="H805" s="2">
        <v>45996.439189814817</v>
      </c>
      <c r="K805" s="149">
        <v>0</v>
      </c>
      <c r="L805" s="149">
        <v>280000</v>
      </c>
      <c r="M805" s="149">
        <v>53200</v>
      </c>
      <c r="N805" s="149">
        <v>333200</v>
      </c>
      <c r="O805">
        <v>0</v>
      </c>
      <c r="P805">
        <v>0</v>
      </c>
      <c r="Q805">
        <v>0</v>
      </c>
      <c r="R805">
        <v>0</v>
      </c>
      <c r="S805">
        <v>0</v>
      </c>
      <c r="T805" t="s">
        <v>77</v>
      </c>
      <c r="U805">
        <v>0</v>
      </c>
      <c r="V805">
        <v>0</v>
      </c>
      <c r="W805">
        <v>0</v>
      </c>
      <c r="X805">
        <v>0</v>
      </c>
      <c r="Y805">
        <v>0</v>
      </c>
      <c r="AC805">
        <v>0</v>
      </c>
      <c r="AE805">
        <v>0</v>
      </c>
      <c r="AF805">
        <v>2</v>
      </c>
      <c r="AG805">
        <v>0</v>
      </c>
      <c r="AH805">
        <v>0</v>
      </c>
      <c r="AI805">
        <v>0</v>
      </c>
      <c r="AM805">
        <v>0</v>
      </c>
      <c r="AR805" t="s">
        <v>3249</v>
      </c>
      <c r="AS805" t="s">
        <v>1680</v>
      </c>
      <c r="AT805">
        <v>2025</v>
      </c>
      <c r="AU805">
        <v>5</v>
      </c>
      <c r="AV805" t="s">
        <v>78</v>
      </c>
      <c r="AX805" t="s">
        <v>3275</v>
      </c>
    </row>
    <row r="806" spans="1:50">
      <c r="A806">
        <v>27</v>
      </c>
      <c r="B806">
        <v>33</v>
      </c>
      <c r="C806" t="s">
        <v>74</v>
      </c>
      <c r="D806" t="s">
        <v>1631</v>
      </c>
      <c r="E806" t="s">
        <v>1632</v>
      </c>
      <c r="F806">
        <v>4003</v>
      </c>
      <c r="G806" s="23" t="s">
        <v>1509</v>
      </c>
      <c r="H806" s="2">
        <v>45996.454756944448</v>
      </c>
      <c r="K806" s="149">
        <v>0</v>
      </c>
      <c r="L806" s="149">
        <v>277200</v>
      </c>
      <c r="M806" s="149">
        <v>52668</v>
      </c>
      <c r="N806" s="149">
        <v>329868</v>
      </c>
      <c r="O806">
        <v>0</v>
      </c>
      <c r="P806">
        <v>0</v>
      </c>
      <c r="Q806">
        <v>0</v>
      </c>
      <c r="R806">
        <v>0</v>
      </c>
      <c r="S806">
        <v>0</v>
      </c>
      <c r="T806" t="s">
        <v>77</v>
      </c>
      <c r="U806">
        <v>0</v>
      </c>
      <c r="V806">
        <v>0</v>
      </c>
      <c r="W806">
        <v>0</v>
      </c>
      <c r="X806">
        <v>0</v>
      </c>
      <c r="Y806">
        <v>0</v>
      </c>
      <c r="AC806">
        <v>0</v>
      </c>
      <c r="AE806">
        <v>0</v>
      </c>
      <c r="AF806">
        <v>2</v>
      </c>
      <c r="AG806">
        <v>0</v>
      </c>
      <c r="AH806">
        <v>0</v>
      </c>
      <c r="AI806">
        <v>0</v>
      </c>
      <c r="AM806">
        <v>0</v>
      </c>
      <c r="AR806" t="s">
        <v>3249</v>
      </c>
      <c r="AS806" t="s">
        <v>1680</v>
      </c>
      <c r="AT806">
        <v>2025</v>
      </c>
      <c r="AU806">
        <v>5</v>
      </c>
      <c r="AV806" t="s">
        <v>78</v>
      </c>
      <c r="AX806" t="s">
        <v>3276</v>
      </c>
    </row>
    <row r="807" spans="1:50">
      <c r="A807">
        <v>28</v>
      </c>
      <c r="B807">
        <v>33</v>
      </c>
      <c r="C807" t="s">
        <v>74</v>
      </c>
      <c r="D807" t="s">
        <v>1561</v>
      </c>
      <c r="E807" t="s">
        <v>1562</v>
      </c>
      <c r="F807">
        <v>4004</v>
      </c>
      <c r="G807" s="23" t="s">
        <v>1510</v>
      </c>
      <c r="H807" s="2">
        <v>45996.487233796295</v>
      </c>
      <c r="K807" s="149">
        <v>0</v>
      </c>
      <c r="L807" s="149">
        <v>7960050</v>
      </c>
      <c r="M807" s="149">
        <v>1512410</v>
      </c>
      <c r="N807" s="149">
        <v>9472460</v>
      </c>
      <c r="O807">
        <v>0</v>
      </c>
      <c r="P807">
        <v>0</v>
      </c>
      <c r="Q807">
        <v>0</v>
      </c>
      <c r="R807">
        <v>0</v>
      </c>
      <c r="S807">
        <v>0</v>
      </c>
      <c r="T807" t="s">
        <v>77</v>
      </c>
      <c r="U807">
        <v>0</v>
      </c>
      <c r="V807">
        <v>0</v>
      </c>
      <c r="W807">
        <v>0</v>
      </c>
      <c r="X807">
        <v>0</v>
      </c>
      <c r="AC807">
        <v>0</v>
      </c>
      <c r="AE807">
        <v>0</v>
      </c>
      <c r="AF807">
        <v>2</v>
      </c>
      <c r="AG807">
        <v>0</v>
      </c>
      <c r="AH807">
        <v>0</v>
      </c>
      <c r="AI807">
        <v>0</v>
      </c>
      <c r="AM807">
        <v>0</v>
      </c>
      <c r="AR807" t="s">
        <v>3249</v>
      </c>
      <c r="AS807" t="s">
        <v>1680</v>
      </c>
      <c r="AT807">
        <v>2025</v>
      </c>
      <c r="AU807">
        <v>5</v>
      </c>
      <c r="AV807" t="s">
        <v>78</v>
      </c>
      <c r="AX807" t="s">
        <v>3277</v>
      </c>
    </row>
    <row r="808" spans="1:50">
      <c r="A808">
        <v>29</v>
      </c>
      <c r="B808">
        <v>33</v>
      </c>
      <c r="C808" t="s">
        <v>74</v>
      </c>
      <c r="D808" t="s">
        <v>1680</v>
      </c>
      <c r="E808" t="s">
        <v>3139</v>
      </c>
      <c r="F808">
        <v>4005</v>
      </c>
      <c r="G808" s="23" t="s">
        <v>1509</v>
      </c>
      <c r="H808" s="2">
        <v>45996.500787037039</v>
      </c>
      <c r="I808" s="2"/>
      <c r="K808" s="149">
        <v>0</v>
      </c>
      <c r="L808" s="149">
        <v>54747</v>
      </c>
      <c r="M808" s="149">
        <v>10402</v>
      </c>
      <c r="N808" s="149">
        <v>65149</v>
      </c>
      <c r="O808">
        <v>0</v>
      </c>
      <c r="P808">
        <v>0</v>
      </c>
      <c r="Q808">
        <v>0</v>
      </c>
      <c r="R808">
        <v>0</v>
      </c>
      <c r="S808">
        <v>0</v>
      </c>
      <c r="T808" t="s">
        <v>77</v>
      </c>
      <c r="U808">
        <v>0</v>
      </c>
      <c r="V808">
        <v>0</v>
      </c>
      <c r="W808">
        <v>0</v>
      </c>
      <c r="X808">
        <v>0</v>
      </c>
      <c r="Y808">
        <v>0</v>
      </c>
      <c r="AC808">
        <v>0</v>
      </c>
      <c r="AE808">
        <v>0</v>
      </c>
      <c r="AF808">
        <v>2</v>
      </c>
      <c r="AG808">
        <v>0</v>
      </c>
      <c r="AH808">
        <v>0</v>
      </c>
      <c r="AI808">
        <v>0</v>
      </c>
      <c r="AM808">
        <v>0</v>
      </c>
      <c r="AR808" t="s">
        <v>3249</v>
      </c>
      <c r="AS808" t="s">
        <v>1680</v>
      </c>
      <c r="AT808">
        <v>2025</v>
      </c>
      <c r="AU808">
        <v>5</v>
      </c>
      <c r="AV808" t="s">
        <v>78</v>
      </c>
      <c r="AX808" t="s">
        <v>3278</v>
      </c>
    </row>
    <row r="809" spans="1:50">
      <c r="A809">
        <v>30</v>
      </c>
      <c r="B809">
        <v>33</v>
      </c>
      <c r="C809" t="s">
        <v>74</v>
      </c>
      <c r="D809" t="s">
        <v>1592</v>
      </c>
      <c r="E809" t="s">
        <v>1593</v>
      </c>
      <c r="F809">
        <v>4006</v>
      </c>
      <c r="G809" s="23" t="s">
        <v>1509</v>
      </c>
      <c r="H809" s="2">
        <v>45996.589537037034</v>
      </c>
      <c r="K809" s="149">
        <v>0</v>
      </c>
      <c r="L809" s="149">
        <v>247517</v>
      </c>
      <c r="M809" s="149">
        <v>47028</v>
      </c>
      <c r="N809" s="149">
        <v>294545</v>
      </c>
      <c r="O809">
        <v>0</v>
      </c>
      <c r="P809">
        <v>0</v>
      </c>
      <c r="Q809">
        <v>0</v>
      </c>
      <c r="R809">
        <v>0</v>
      </c>
      <c r="S809">
        <v>0</v>
      </c>
      <c r="T809" t="s">
        <v>77</v>
      </c>
      <c r="U809">
        <v>0</v>
      </c>
      <c r="V809">
        <v>0</v>
      </c>
      <c r="W809">
        <v>0</v>
      </c>
      <c r="X809">
        <v>0</v>
      </c>
      <c r="Y809">
        <v>0</v>
      </c>
      <c r="AC809">
        <v>0</v>
      </c>
      <c r="AE809">
        <v>0</v>
      </c>
      <c r="AF809">
        <v>2</v>
      </c>
      <c r="AG809">
        <v>0</v>
      </c>
      <c r="AH809">
        <v>0</v>
      </c>
      <c r="AI809">
        <v>0</v>
      </c>
      <c r="AM809">
        <v>0</v>
      </c>
      <c r="AR809" t="s">
        <v>3249</v>
      </c>
      <c r="AS809" t="s">
        <v>1680</v>
      </c>
      <c r="AT809">
        <v>2025</v>
      </c>
      <c r="AU809">
        <v>5</v>
      </c>
      <c r="AV809" t="s">
        <v>78</v>
      </c>
      <c r="AX809" t="s">
        <v>3279</v>
      </c>
    </row>
    <row r="810" spans="1:50">
      <c r="A810">
        <v>31</v>
      </c>
      <c r="B810">
        <v>33</v>
      </c>
      <c r="C810" t="s">
        <v>74</v>
      </c>
      <c r="D810" t="s">
        <v>1561</v>
      </c>
      <c r="E810" t="s">
        <v>1562</v>
      </c>
      <c r="F810">
        <v>4007</v>
      </c>
      <c r="G810" s="23" t="s">
        <v>1511</v>
      </c>
      <c r="H810" s="2">
        <v>45996.74181712963</v>
      </c>
      <c r="I810" s="2"/>
      <c r="K810" s="149">
        <v>0</v>
      </c>
      <c r="L810" s="149">
        <v>5475000</v>
      </c>
      <c r="M810" s="149">
        <v>1040250</v>
      </c>
      <c r="N810" s="149">
        <v>6515250</v>
      </c>
      <c r="O810">
        <v>0</v>
      </c>
      <c r="P810">
        <v>0</v>
      </c>
      <c r="Q810">
        <v>0</v>
      </c>
      <c r="R810">
        <v>0</v>
      </c>
      <c r="S810">
        <v>0</v>
      </c>
      <c r="T810" t="s">
        <v>77</v>
      </c>
      <c r="U810">
        <v>0</v>
      </c>
      <c r="V810">
        <v>0</v>
      </c>
      <c r="W810">
        <v>0</v>
      </c>
      <c r="X810">
        <v>0</v>
      </c>
      <c r="AC810">
        <v>0</v>
      </c>
      <c r="AE810">
        <v>0</v>
      </c>
      <c r="AF810">
        <v>2</v>
      </c>
      <c r="AG810">
        <v>0</v>
      </c>
      <c r="AH810">
        <v>0</v>
      </c>
      <c r="AI810">
        <v>0</v>
      </c>
      <c r="AM810">
        <v>0</v>
      </c>
      <c r="AR810" t="s">
        <v>3249</v>
      </c>
      <c r="AS810" t="s">
        <v>1680</v>
      </c>
      <c r="AT810">
        <v>2025</v>
      </c>
      <c r="AU810">
        <v>5</v>
      </c>
      <c r="AV810" t="s">
        <v>78</v>
      </c>
      <c r="AX810" t="s">
        <v>3280</v>
      </c>
    </row>
    <row r="811" spans="1:50">
      <c r="A811">
        <v>32</v>
      </c>
      <c r="B811">
        <v>33</v>
      </c>
      <c r="C811" t="s">
        <v>74</v>
      </c>
      <c r="D811" t="s">
        <v>1222</v>
      </c>
      <c r="E811" t="s">
        <v>1223</v>
      </c>
      <c r="F811">
        <v>4008</v>
      </c>
      <c r="G811" s="23" t="s">
        <v>1510</v>
      </c>
      <c r="H811" s="2">
        <v>45996.751423611109</v>
      </c>
      <c r="I811" s="2" t="s">
        <v>3140</v>
      </c>
      <c r="K811" s="149">
        <v>0</v>
      </c>
      <c r="L811" s="149">
        <v>20841160</v>
      </c>
      <c r="M811" s="149">
        <v>3959821</v>
      </c>
      <c r="N811" s="149">
        <v>24800981</v>
      </c>
      <c r="O811">
        <v>0</v>
      </c>
      <c r="P811">
        <v>0</v>
      </c>
      <c r="Q811">
        <v>0</v>
      </c>
      <c r="R811">
        <v>0</v>
      </c>
      <c r="S811">
        <v>0</v>
      </c>
      <c r="T811" t="s">
        <v>77</v>
      </c>
      <c r="U811">
        <v>0</v>
      </c>
      <c r="V811">
        <v>0</v>
      </c>
      <c r="W811">
        <v>0</v>
      </c>
      <c r="X811">
        <v>0</v>
      </c>
      <c r="AC811">
        <v>0</v>
      </c>
      <c r="AE811">
        <v>0</v>
      </c>
      <c r="AF811">
        <v>2</v>
      </c>
      <c r="AG811">
        <v>0</v>
      </c>
      <c r="AH811">
        <v>0</v>
      </c>
      <c r="AI811">
        <v>0</v>
      </c>
      <c r="AM811">
        <v>0</v>
      </c>
      <c r="AR811" t="s">
        <v>3249</v>
      </c>
      <c r="AS811" t="s">
        <v>1680</v>
      </c>
      <c r="AT811">
        <v>2025</v>
      </c>
      <c r="AU811">
        <v>5</v>
      </c>
      <c r="AV811" t="s">
        <v>78</v>
      </c>
      <c r="AX811" t="s">
        <v>3281</v>
      </c>
    </row>
    <row r="812" spans="1:50">
      <c r="A812">
        <v>33</v>
      </c>
      <c r="B812">
        <v>33</v>
      </c>
      <c r="C812" t="s">
        <v>74</v>
      </c>
      <c r="D812" t="s">
        <v>1222</v>
      </c>
      <c r="E812" t="s">
        <v>1223</v>
      </c>
      <c r="F812">
        <v>4009</v>
      </c>
      <c r="G812" s="23" t="s">
        <v>1510</v>
      </c>
      <c r="H812" s="2">
        <v>45996.7575</v>
      </c>
      <c r="I812" s="2" t="s">
        <v>3140</v>
      </c>
      <c r="K812" s="149">
        <v>0</v>
      </c>
      <c r="L812" s="149">
        <v>4189800</v>
      </c>
      <c r="M812" s="149">
        <v>796062</v>
      </c>
      <c r="N812" s="149">
        <v>4985862</v>
      </c>
      <c r="O812">
        <v>0</v>
      </c>
      <c r="P812">
        <v>0</v>
      </c>
      <c r="Q812">
        <v>0</v>
      </c>
      <c r="R812">
        <v>0</v>
      </c>
      <c r="S812">
        <v>0</v>
      </c>
      <c r="T812" t="s">
        <v>77</v>
      </c>
      <c r="U812">
        <v>0</v>
      </c>
      <c r="V812">
        <v>0</v>
      </c>
      <c r="W812">
        <v>0</v>
      </c>
      <c r="X812">
        <v>0</v>
      </c>
      <c r="AC812">
        <v>0</v>
      </c>
      <c r="AE812">
        <v>0</v>
      </c>
      <c r="AF812">
        <v>2</v>
      </c>
      <c r="AG812">
        <v>0</v>
      </c>
      <c r="AH812">
        <v>0</v>
      </c>
      <c r="AI812">
        <v>0</v>
      </c>
      <c r="AM812">
        <v>0</v>
      </c>
      <c r="AR812" t="s">
        <v>3249</v>
      </c>
      <c r="AS812" t="s">
        <v>1680</v>
      </c>
      <c r="AT812">
        <v>2025</v>
      </c>
      <c r="AU812">
        <v>5</v>
      </c>
      <c r="AV812" t="s">
        <v>78</v>
      </c>
      <c r="AX812" t="s">
        <v>3282</v>
      </c>
    </row>
    <row r="813" spans="1:50">
      <c r="A813">
        <v>34</v>
      </c>
      <c r="B813">
        <v>33</v>
      </c>
      <c r="C813" t="s">
        <v>74</v>
      </c>
      <c r="D813" t="s">
        <v>1988</v>
      </c>
      <c r="E813" t="s">
        <v>1989</v>
      </c>
      <c r="F813">
        <v>4011</v>
      </c>
      <c r="G813" s="23">
        <v>45789</v>
      </c>
      <c r="H813" s="2" t="s">
        <v>3141</v>
      </c>
      <c r="I813" s="2" t="s">
        <v>3142</v>
      </c>
      <c r="K813" s="149">
        <v>0</v>
      </c>
      <c r="L813" s="149">
        <v>837800</v>
      </c>
      <c r="M813" s="149">
        <v>159182</v>
      </c>
      <c r="N813" s="149">
        <v>996982</v>
      </c>
      <c r="O813">
        <v>0</v>
      </c>
      <c r="P813">
        <v>0</v>
      </c>
      <c r="Q813">
        <v>0</v>
      </c>
      <c r="R813">
        <v>0</v>
      </c>
      <c r="S813">
        <v>0</v>
      </c>
      <c r="T813" t="s">
        <v>77</v>
      </c>
      <c r="U813">
        <v>0</v>
      </c>
      <c r="V813">
        <v>0</v>
      </c>
      <c r="W813">
        <v>0</v>
      </c>
      <c r="X813">
        <v>0</v>
      </c>
      <c r="AC813">
        <v>0</v>
      </c>
      <c r="AE813">
        <v>0</v>
      </c>
      <c r="AF813">
        <v>2</v>
      </c>
      <c r="AG813">
        <v>0</v>
      </c>
      <c r="AH813">
        <v>0</v>
      </c>
      <c r="AI813">
        <v>0</v>
      </c>
      <c r="AM813">
        <v>0</v>
      </c>
      <c r="AR813" t="s">
        <v>3249</v>
      </c>
      <c r="AS813" t="s">
        <v>1680</v>
      </c>
      <c r="AT813">
        <v>2025</v>
      </c>
      <c r="AU813">
        <v>5</v>
      </c>
      <c r="AV813" t="s">
        <v>78</v>
      </c>
      <c r="AX813" t="s">
        <v>3283</v>
      </c>
    </row>
    <row r="814" spans="1:50">
      <c r="A814">
        <v>35</v>
      </c>
      <c r="B814">
        <v>33</v>
      </c>
      <c r="C814" t="s">
        <v>74</v>
      </c>
      <c r="D814" t="s">
        <v>1571</v>
      </c>
      <c r="E814" t="s">
        <v>1572</v>
      </c>
      <c r="F814">
        <v>4012</v>
      </c>
      <c r="G814" s="23" t="s">
        <v>1510</v>
      </c>
      <c r="H814" s="2" t="s">
        <v>3143</v>
      </c>
      <c r="I814" s="2"/>
      <c r="J814" t="s">
        <v>3144</v>
      </c>
      <c r="K814" s="149">
        <v>0</v>
      </c>
      <c r="L814" s="149">
        <v>5933702</v>
      </c>
      <c r="M814" s="149">
        <v>1127404</v>
      </c>
      <c r="N814" s="149">
        <v>7061106</v>
      </c>
      <c r="O814">
        <v>0</v>
      </c>
      <c r="P814">
        <v>0</v>
      </c>
      <c r="Q814">
        <v>0</v>
      </c>
      <c r="R814">
        <v>0</v>
      </c>
      <c r="S814">
        <v>0</v>
      </c>
      <c r="T814" t="s">
        <v>77</v>
      </c>
      <c r="U814">
        <v>0</v>
      </c>
      <c r="V814">
        <v>0</v>
      </c>
      <c r="W814">
        <v>0</v>
      </c>
      <c r="X814">
        <v>0</v>
      </c>
      <c r="AC814">
        <v>0</v>
      </c>
      <c r="AE814">
        <v>0</v>
      </c>
      <c r="AF814">
        <v>2</v>
      </c>
      <c r="AG814">
        <v>0</v>
      </c>
      <c r="AH814">
        <v>0</v>
      </c>
      <c r="AI814">
        <v>0</v>
      </c>
      <c r="AM814">
        <v>0</v>
      </c>
      <c r="AR814" t="s">
        <v>3249</v>
      </c>
      <c r="AS814" t="s">
        <v>1680</v>
      </c>
      <c r="AT814">
        <v>2025</v>
      </c>
      <c r="AU814">
        <v>5</v>
      </c>
      <c r="AV814" t="s">
        <v>78</v>
      </c>
      <c r="AX814" t="s">
        <v>3284</v>
      </c>
    </row>
    <row r="815" spans="1:50">
      <c r="A815">
        <v>36</v>
      </c>
      <c r="B815">
        <v>33</v>
      </c>
      <c r="C815" t="s">
        <v>74</v>
      </c>
      <c r="D815" t="s">
        <v>1571</v>
      </c>
      <c r="E815" t="s">
        <v>1572</v>
      </c>
      <c r="F815">
        <v>4013</v>
      </c>
      <c r="G815" s="23" t="s">
        <v>1510</v>
      </c>
      <c r="H815" s="2" t="s">
        <v>3145</v>
      </c>
      <c r="I815" s="2"/>
      <c r="J815" t="s">
        <v>3146</v>
      </c>
      <c r="K815" s="149">
        <v>0</v>
      </c>
      <c r="L815" s="149">
        <v>11803260</v>
      </c>
      <c r="M815" s="149">
        <v>2242619</v>
      </c>
      <c r="N815" s="149">
        <v>14045879</v>
      </c>
      <c r="O815">
        <v>0</v>
      </c>
      <c r="P815">
        <v>0</v>
      </c>
      <c r="Q815">
        <v>0</v>
      </c>
      <c r="R815">
        <v>0</v>
      </c>
      <c r="S815">
        <v>0</v>
      </c>
      <c r="T815" t="s">
        <v>77</v>
      </c>
      <c r="U815">
        <v>0</v>
      </c>
      <c r="V815">
        <v>0</v>
      </c>
      <c r="W815">
        <v>0</v>
      </c>
      <c r="X815">
        <v>0</v>
      </c>
      <c r="AC815">
        <v>0</v>
      </c>
      <c r="AE815">
        <v>0</v>
      </c>
      <c r="AF815">
        <v>2</v>
      </c>
      <c r="AG815">
        <v>0</v>
      </c>
      <c r="AH815">
        <v>0</v>
      </c>
      <c r="AI815">
        <v>0</v>
      </c>
      <c r="AM815">
        <v>0</v>
      </c>
      <c r="AR815" t="s">
        <v>3249</v>
      </c>
      <c r="AS815" t="s">
        <v>1680</v>
      </c>
      <c r="AT815">
        <v>2025</v>
      </c>
      <c r="AU815">
        <v>5</v>
      </c>
      <c r="AV815" t="s">
        <v>78</v>
      </c>
      <c r="AX815" t="s">
        <v>3285</v>
      </c>
    </row>
    <row r="816" spans="1:50">
      <c r="A816">
        <v>37</v>
      </c>
      <c r="B816">
        <v>33</v>
      </c>
      <c r="C816" t="s">
        <v>74</v>
      </c>
      <c r="D816" t="s">
        <v>1573</v>
      </c>
      <c r="E816" t="s">
        <v>1574</v>
      </c>
      <c r="F816">
        <v>4014</v>
      </c>
      <c r="G816" s="23" t="s">
        <v>1510</v>
      </c>
      <c r="H816" s="2" t="s">
        <v>3147</v>
      </c>
      <c r="I816" s="2"/>
      <c r="K816" s="149">
        <v>0</v>
      </c>
      <c r="L816" s="149">
        <v>274298</v>
      </c>
      <c r="M816" s="149">
        <v>52118</v>
      </c>
      <c r="N816" s="149">
        <v>326416</v>
      </c>
      <c r="O816">
        <v>0</v>
      </c>
      <c r="P816">
        <v>0</v>
      </c>
      <c r="Q816">
        <v>0</v>
      </c>
      <c r="R816">
        <v>0</v>
      </c>
      <c r="S816">
        <v>0</v>
      </c>
      <c r="T816" t="s">
        <v>77</v>
      </c>
      <c r="U816">
        <v>0</v>
      </c>
      <c r="V816">
        <v>0</v>
      </c>
      <c r="W816">
        <v>0</v>
      </c>
      <c r="X816">
        <v>0</v>
      </c>
      <c r="Y816">
        <v>0</v>
      </c>
      <c r="AC816">
        <v>0</v>
      </c>
      <c r="AE816">
        <v>0</v>
      </c>
      <c r="AF816">
        <v>2</v>
      </c>
      <c r="AG816">
        <v>0</v>
      </c>
      <c r="AH816">
        <v>0</v>
      </c>
      <c r="AI816">
        <v>0</v>
      </c>
      <c r="AM816">
        <v>0</v>
      </c>
      <c r="AR816" t="s">
        <v>3249</v>
      </c>
      <c r="AS816" t="s">
        <v>1680</v>
      </c>
      <c r="AT816">
        <v>2025</v>
      </c>
      <c r="AU816">
        <v>5</v>
      </c>
      <c r="AV816" t="s">
        <v>78</v>
      </c>
      <c r="AX816" t="s">
        <v>3286</v>
      </c>
    </row>
    <row r="817" spans="1:50">
      <c r="A817">
        <v>38</v>
      </c>
      <c r="B817">
        <v>33</v>
      </c>
      <c r="C817" t="s">
        <v>74</v>
      </c>
      <c r="D817" t="s">
        <v>1573</v>
      </c>
      <c r="E817" t="s">
        <v>1574</v>
      </c>
      <c r="F817">
        <v>4015</v>
      </c>
      <c r="G817" s="23" t="s">
        <v>1510</v>
      </c>
      <c r="H817" s="2" t="s">
        <v>3148</v>
      </c>
      <c r="I817" s="2"/>
      <c r="K817" s="149">
        <v>0</v>
      </c>
      <c r="L817" s="149">
        <v>88310</v>
      </c>
      <c r="M817" s="149">
        <v>16779</v>
      </c>
      <c r="N817" s="149">
        <v>105089</v>
      </c>
      <c r="O817">
        <v>0</v>
      </c>
      <c r="P817">
        <v>0</v>
      </c>
      <c r="Q817">
        <v>0</v>
      </c>
      <c r="R817">
        <v>0</v>
      </c>
      <c r="S817">
        <v>0</v>
      </c>
      <c r="T817" t="s">
        <v>77</v>
      </c>
      <c r="U817">
        <v>0</v>
      </c>
      <c r="V817">
        <v>0</v>
      </c>
      <c r="W817">
        <v>0</v>
      </c>
      <c r="X817">
        <v>0</v>
      </c>
      <c r="Y817">
        <v>0</v>
      </c>
      <c r="AC817">
        <v>0</v>
      </c>
      <c r="AE817">
        <v>0</v>
      </c>
      <c r="AF817">
        <v>2</v>
      </c>
      <c r="AG817">
        <v>0</v>
      </c>
      <c r="AH817">
        <v>0</v>
      </c>
      <c r="AI817">
        <v>0</v>
      </c>
      <c r="AM817">
        <v>0</v>
      </c>
      <c r="AR817" t="s">
        <v>3249</v>
      </c>
      <c r="AS817" t="s">
        <v>1680</v>
      </c>
      <c r="AT817">
        <v>2025</v>
      </c>
      <c r="AU817">
        <v>5</v>
      </c>
      <c r="AV817" t="s">
        <v>78</v>
      </c>
      <c r="AX817" t="s">
        <v>3287</v>
      </c>
    </row>
    <row r="818" spans="1:50">
      <c r="A818">
        <v>39</v>
      </c>
      <c r="B818">
        <v>33</v>
      </c>
      <c r="C818" t="s">
        <v>74</v>
      </c>
      <c r="D818" t="s">
        <v>1353</v>
      </c>
      <c r="E818" t="s">
        <v>1354</v>
      </c>
      <c r="F818">
        <v>4016</v>
      </c>
      <c r="G818" s="23" t="s">
        <v>1510</v>
      </c>
      <c r="H818" s="2" t="s">
        <v>3149</v>
      </c>
      <c r="I818" s="2" t="s">
        <v>3150</v>
      </c>
      <c r="K818" s="149">
        <v>0</v>
      </c>
      <c r="L818" s="149">
        <v>4681145</v>
      </c>
      <c r="M818" s="149">
        <v>889419</v>
      </c>
      <c r="N818" s="149">
        <v>5570564</v>
      </c>
      <c r="O818">
        <v>0</v>
      </c>
      <c r="P818">
        <v>0</v>
      </c>
      <c r="Q818">
        <v>0</v>
      </c>
      <c r="R818">
        <v>0</v>
      </c>
      <c r="S818">
        <v>0</v>
      </c>
      <c r="T818" t="s">
        <v>77</v>
      </c>
      <c r="U818">
        <v>0</v>
      </c>
      <c r="V818">
        <v>0</v>
      </c>
      <c r="W818">
        <v>0</v>
      </c>
      <c r="X818">
        <v>0</v>
      </c>
      <c r="Y818">
        <v>0</v>
      </c>
      <c r="AC818">
        <v>0</v>
      </c>
      <c r="AE818">
        <v>0</v>
      </c>
      <c r="AF818">
        <v>2</v>
      </c>
      <c r="AG818">
        <v>0</v>
      </c>
      <c r="AH818">
        <v>0</v>
      </c>
      <c r="AI818">
        <v>0</v>
      </c>
      <c r="AM818">
        <v>0</v>
      </c>
      <c r="AR818" t="s">
        <v>3249</v>
      </c>
      <c r="AS818" t="s">
        <v>1680</v>
      </c>
      <c r="AT818">
        <v>2025</v>
      </c>
      <c r="AU818">
        <v>5</v>
      </c>
      <c r="AV818" t="s">
        <v>78</v>
      </c>
      <c r="AX818" t="s">
        <v>3288</v>
      </c>
    </row>
    <row r="819" spans="1:50">
      <c r="A819">
        <v>40</v>
      </c>
      <c r="B819">
        <v>33</v>
      </c>
      <c r="C819" t="s">
        <v>74</v>
      </c>
      <c r="D819" t="s">
        <v>1581</v>
      </c>
      <c r="E819" t="s">
        <v>1582</v>
      </c>
      <c r="F819">
        <v>4017</v>
      </c>
      <c r="G819" s="23" t="s">
        <v>1510</v>
      </c>
      <c r="H819" s="2" t="s">
        <v>3151</v>
      </c>
      <c r="K819" s="149">
        <v>0</v>
      </c>
      <c r="L819" s="149">
        <v>1313680</v>
      </c>
      <c r="M819" s="149">
        <v>249599</v>
      </c>
      <c r="N819" s="149">
        <v>1563279</v>
      </c>
      <c r="O819">
        <v>0</v>
      </c>
      <c r="P819">
        <v>0</v>
      </c>
      <c r="Q819">
        <v>0</v>
      </c>
      <c r="R819">
        <v>0</v>
      </c>
      <c r="S819">
        <v>0</v>
      </c>
      <c r="T819" t="s">
        <v>77</v>
      </c>
      <c r="U819">
        <v>0</v>
      </c>
      <c r="V819">
        <v>0</v>
      </c>
      <c r="W819">
        <v>0</v>
      </c>
      <c r="X819">
        <v>0</v>
      </c>
      <c r="Y819">
        <v>0</v>
      </c>
      <c r="AC819">
        <v>0</v>
      </c>
      <c r="AE819">
        <v>0</v>
      </c>
      <c r="AF819">
        <v>2</v>
      </c>
      <c r="AG819">
        <v>0</v>
      </c>
      <c r="AH819">
        <v>0</v>
      </c>
      <c r="AI819">
        <v>0</v>
      </c>
      <c r="AM819">
        <v>0</v>
      </c>
      <c r="AR819" t="s">
        <v>3249</v>
      </c>
      <c r="AS819" t="s">
        <v>1680</v>
      </c>
      <c r="AT819">
        <v>2025</v>
      </c>
      <c r="AU819">
        <v>5</v>
      </c>
      <c r="AV819" t="s">
        <v>78</v>
      </c>
      <c r="AX819" t="s">
        <v>3289</v>
      </c>
    </row>
    <row r="820" spans="1:50">
      <c r="A820">
        <v>41</v>
      </c>
      <c r="B820">
        <v>33</v>
      </c>
      <c r="C820" t="s">
        <v>74</v>
      </c>
      <c r="D820" t="s">
        <v>1564</v>
      </c>
      <c r="E820" t="s">
        <v>1565</v>
      </c>
      <c r="F820">
        <v>4018</v>
      </c>
      <c r="G820" s="23" t="s">
        <v>1510</v>
      </c>
      <c r="H820" s="2" t="s">
        <v>3152</v>
      </c>
      <c r="K820" s="149">
        <v>0</v>
      </c>
      <c r="L820" s="149">
        <v>468752</v>
      </c>
      <c r="M820" s="149">
        <v>89064</v>
      </c>
      <c r="N820" s="149">
        <v>557816</v>
      </c>
      <c r="O820">
        <v>0</v>
      </c>
      <c r="P820">
        <v>0</v>
      </c>
      <c r="Q820">
        <v>0</v>
      </c>
      <c r="R820">
        <v>0</v>
      </c>
      <c r="S820">
        <v>0</v>
      </c>
      <c r="T820" t="s">
        <v>77</v>
      </c>
      <c r="U820">
        <v>0</v>
      </c>
      <c r="V820">
        <v>0</v>
      </c>
      <c r="W820">
        <v>0</v>
      </c>
      <c r="X820">
        <v>0</v>
      </c>
      <c r="Y820">
        <v>0</v>
      </c>
      <c r="AC820">
        <v>0</v>
      </c>
      <c r="AE820">
        <v>0</v>
      </c>
      <c r="AF820">
        <v>2</v>
      </c>
      <c r="AG820">
        <v>0</v>
      </c>
      <c r="AH820">
        <v>0</v>
      </c>
      <c r="AI820">
        <v>0</v>
      </c>
      <c r="AM820">
        <v>0</v>
      </c>
      <c r="AR820" t="s">
        <v>3249</v>
      </c>
      <c r="AS820" t="s">
        <v>1680</v>
      </c>
      <c r="AT820">
        <v>2025</v>
      </c>
      <c r="AU820">
        <v>5</v>
      </c>
      <c r="AV820" t="s">
        <v>78</v>
      </c>
      <c r="AX820" t="s">
        <v>3290</v>
      </c>
    </row>
    <row r="821" spans="1:50">
      <c r="A821">
        <v>42</v>
      </c>
      <c r="B821">
        <v>33</v>
      </c>
      <c r="C821" t="s">
        <v>74</v>
      </c>
      <c r="D821" t="s">
        <v>1555</v>
      </c>
      <c r="E821" t="s">
        <v>1556</v>
      </c>
      <c r="F821">
        <v>4019</v>
      </c>
      <c r="G821" s="23" t="s">
        <v>1512</v>
      </c>
      <c r="H821" s="2" t="s">
        <v>3153</v>
      </c>
      <c r="I821" t="s">
        <v>3154</v>
      </c>
      <c r="K821" s="149">
        <v>0</v>
      </c>
      <c r="L821" s="149">
        <v>2094500</v>
      </c>
      <c r="M821" s="149">
        <v>397955</v>
      </c>
      <c r="N821" s="149">
        <v>2492455</v>
      </c>
      <c r="O821">
        <v>0</v>
      </c>
      <c r="P821">
        <v>0</v>
      </c>
      <c r="Q821">
        <v>0</v>
      </c>
      <c r="R821">
        <v>0</v>
      </c>
      <c r="S821">
        <v>0</v>
      </c>
      <c r="T821" t="s">
        <v>77</v>
      </c>
      <c r="U821">
        <v>0</v>
      </c>
      <c r="V821">
        <v>0</v>
      </c>
      <c r="W821">
        <v>0</v>
      </c>
      <c r="X821">
        <v>0</v>
      </c>
      <c r="AC821">
        <v>0</v>
      </c>
      <c r="AE821">
        <v>0</v>
      </c>
      <c r="AF821">
        <v>2</v>
      </c>
      <c r="AG821">
        <v>0</v>
      </c>
      <c r="AH821">
        <v>0</v>
      </c>
      <c r="AI821">
        <v>0</v>
      </c>
      <c r="AM821">
        <v>0</v>
      </c>
      <c r="AR821" t="s">
        <v>3249</v>
      </c>
      <c r="AS821" t="s">
        <v>1680</v>
      </c>
      <c r="AT821">
        <v>2025</v>
      </c>
      <c r="AU821">
        <v>5</v>
      </c>
      <c r="AV821" t="s">
        <v>78</v>
      </c>
      <c r="AX821" t="s">
        <v>3291</v>
      </c>
    </row>
    <row r="822" spans="1:50">
      <c r="A822">
        <v>43</v>
      </c>
      <c r="B822">
        <v>33</v>
      </c>
      <c r="C822" t="s">
        <v>74</v>
      </c>
      <c r="D822" t="s">
        <v>1222</v>
      </c>
      <c r="E822" t="s">
        <v>1223</v>
      </c>
      <c r="F822">
        <v>4020</v>
      </c>
      <c r="G822" s="23" t="s">
        <v>1512</v>
      </c>
      <c r="H822" s="2" t="s">
        <v>3155</v>
      </c>
      <c r="I822" t="s">
        <v>3156</v>
      </c>
      <c r="K822" s="149">
        <v>0</v>
      </c>
      <c r="L822" s="149">
        <v>2850320</v>
      </c>
      <c r="M822" s="149">
        <v>541560</v>
      </c>
      <c r="N822" s="149">
        <v>3391880</v>
      </c>
      <c r="O822">
        <v>0</v>
      </c>
      <c r="P822">
        <v>0</v>
      </c>
      <c r="Q822">
        <v>0</v>
      </c>
      <c r="R822">
        <v>0</v>
      </c>
      <c r="S822">
        <v>0</v>
      </c>
      <c r="T822" t="s">
        <v>77</v>
      </c>
      <c r="U822">
        <v>0</v>
      </c>
      <c r="V822">
        <v>0</v>
      </c>
      <c r="W822">
        <v>0</v>
      </c>
      <c r="X822">
        <v>0</v>
      </c>
      <c r="AC822">
        <v>0</v>
      </c>
      <c r="AE822">
        <v>0</v>
      </c>
      <c r="AF822">
        <v>2</v>
      </c>
      <c r="AG822">
        <v>0</v>
      </c>
      <c r="AH822">
        <v>0</v>
      </c>
      <c r="AI822">
        <v>0</v>
      </c>
      <c r="AM822">
        <v>0</v>
      </c>
      <c r="AR822" t="s">
        <v>3249</v>
      </c>
      <c r="AS822" t="s">
        <v>1680</v>
      </c>
      <c r="AT822">
        <v>2025</v>
      </c>
      <c r="AU822">
        <v>5</v>
      </c>
      <c r="AV822" t="s">
        <v>78</v>
      </c>
      <c r="AX822" t="s">
        <v>3292</v>
      </c>
    </row>
    <row r="823" spans="1:50">
      <c r="A823">
        <v>44</v>
      </c>
      <c r="B823">
        <v>33</v>
      </c>
      <c r="C823" t="s">
        <v>74</v>
      </c>
      <c r="D823" t="s">
        <v>2329</v>
      </c>
      <c r="E823" t="s">
        <v>2330</v>
      </c>
      <c r="F823">
        <v>4021</v>
      </c>
      <c r="G823" s="23" t="s">
        <v>1517</v>
      </c>
      <c r="H823" s="2" t="s">
        <v>3157</v>
      </c>
      <c r="K823" s="149">
        <v>0</v>
      </c>
      <c r="L823" s="149">
        <v>280000</v>
      </c>
      <c r="M823" s="149">
        <v>53200</v>
      </c>
      <c r="N823" s="149">
        <v>333200</v>
      </c>
      <c r="O823">
        <v>0</v>
      </c>
      <c r="P823">
        <v>0</v>
      </c>
      <c r="Q823">
        <v>0</v>
      </c>
      <c r="R823">
        <v>0</v>
      </c>
      <c r="S823">
        <v>0</v>
      </c>
      <c r="T823" t="s">
        <v>77</v>
      </c>
      <c r="U823">
        <v>0</v>
      </c>
      <c r="V823">
        <v>0</v>
      </c>
      <c r="W823">
        <v>0</v>
      </c>
      <c r="X823">
        <v>0</v>
      </c>
      <c r="Y823">
        <v>0</v>
      </c>
      <c r="AC823">
        <v>0</v>
      </c>
      <c r="AE823">
        <v>0</v>
      </c>
      <c r="AF823">
        <v>2</v>
      </c>
      <c r="AG823">
        <v>0</v>
      </c>
      <c r="AH823">
        <v>0</v>
      </c>
      <c r="AI823">
        <v>0</v>
      </c>
      <c r="AM823">
        <v>0</v>
      </c>
      <c r="AR823" t="s">
        <v>3249</v>
      </c>
      <c r="AS823" t="s">
        <v>1680</v>
      </c>
      <c r="AT823">
        <v>2025</v>
      </c>
      <c r="AU823">
        <v>5</v>
      </c>
      <c r="AV823" t="s">
        <v>78</v>
      </c>
      <c r="AX823" t="s">
        <v>3293</v>
      </c>
    </row>
    <row r="824" spans="1:50">
      <c r="A824">
        <v>45</v>
      </c>
      <c r="B824">
        <v>33</v>
      </c>
      <c r="C824" t="s">
        <v>74</v>
      </c>
      <c r="D824" t="s">
        <v>1788</v>
      </c>
      <c r="E824" t="s">
        <v>1789</v>
      </c>
      <c r="F824">
        <v>4022</v>
      </c>
      <c r="G824" s="23" t="s">
        <v>1517</v>
      </c>
      <c r="H824" s="2" t="s">
        <v>3158</v>
      </c>
      <c r="I824" t="s">
        <v>3159</v>
      </c>
      <c r="K824" s="149">
        <v>0</v>
      </c>
      <c r="L824" s="149">
        <v>274800</v>
      </c>
      <c r="M824" s="149">
        <v>52212</v>
      </c>
      <c r="N824" s="149">
        <v>327012</v>
      </c>
      <c r="O824">
        <v>0</v>
      </c>
      <c r="P824">
        <v>0</v>
      </c>
      <c r="Q824">
        <v>0</v>
      </c>
      <c r="R824">
        <v>0</v>
      </c>
      <c r="S824">
        <v>0</v>
      </c>
      <c r="T824" t="s">
        <v>77</v>
      </c>
      <c r="U824">
        <v>0</v>
      </c>
      <c r="V824">
        <v>0</v>
      </c>
      <c r="W824">
        <v>0</v>
      </c>
      <c r="X824">
        <v>0</v>
      </c>
      <c r="Y824">
        <v>0</v>
      </c>
      <c r="AC824">
        <v>0</v>
      </c>
      <c r="AE824">
        <v>0</v>
      </c>
      <c r="AF824">
        <v>2</v>
      </c>
      <c r="AG824">
        <v>0</v>
      </c>
      <c r="AH824">
        <v>0</v>
      </c>
      <c r="AI824">
        <v>0</v>
      </c>
      <c r="AM824">
        <v>0</v>
      </c>
      <c r="AR824" t="s">
        <v>3249</v>
      </c>
      <c r="AS824" t="s">
        <v>1680</v>
      </c>
      <c r="AT824">
        <v>2025</v>
      </c>
      <c r="AU824">
        <v>5</v>
      </c>
      <c r="AV824" t="s">
        <v>78</v>
      </c>
      <c r="AX824" t="s">
        <v>3294</v>
      </c>
    </row>
    <row r="825" spans="1:50">
      <c r="A825">
        <v>46</v>
      </c>
      <c r="B825">
        <v>33</v>
      </c>
      <c r="C825" t="s">
        <v>74</v>
      </c>
      <c r="D825" t="s">
        <v>1788</v>
      </c>
      <c r="E825" t="s">
        <v>1789</v>
      </c>
      <c r="F825">
        <v>4023</v>
      </c>
      <c r="G825" s="23" t="s">
        <v>1517</v>
      </c>
      <c r="H825" s="2" t="s">
        <v>3160</v>
      </c>
      <c r="I825" t="s">
        <v>3161</v>
      </c>
      <c r="K825" s="149">
        <v>0</v>
      </c>
      <c r="L825" s="149">
        <v>500640</v>
      </c>
      <c r="M825" s="149">
        <v>95122</v>
      </c>
      <c r="N825" s="149">
        <v>595762</v>
      </c>
      <c r="O825">
        <v>0</v>
      </c>
      <c r="P825">
        <v>0</v>
      </c>
      <c r="Q825">
        <v>0</v>
      </c>
      <c r="R825">
        <v>0</v>
      </c>
      <c r="S825">
        <v>0</v>
      </c>
      <c r="T825" t="s">
        <v>77</v>
      </c>
      <c r="U825">
        <v>0</v>
      </c>
      <c r="V825">
        <v>0</v>
      </c>
      <c r="W825">
        <v>0</v>
      </c>
      <c r="X825">
        <v>0</v>
      </c>
      <c r="Y825">
        <v>0</v>
      </c>
      <c r="AC825">
        <v>0</v>
      </c>
      <c r="AE825">
        <v>0</v>
      </c>
      <c r="AF825">
        <v>2</v>
      </c>
      <c r="AG825">
        <v>0</v>
      </c>
      <c r="AH825">
        <v>0</v>
      </c>
      <c r="AI825">
        <v>0</v>
      </c>
      <c r="AM825">
        <v>0</v>
      </c>
      <c r="AR825" t="s">
        <v>3249</v>
      </c>
      <c r="AS825" t="s">
        <v>1680</v>
      </c>
      <c r="AT825">
        <v>2025</v>
      </c>
      <c r="AU825">
        <v>5</v>
      </c>
      <c r="AV825" t="s">
        <v>78</v>
      </c>
      <c r="AX825" t="s">
        <v>3295</v>
      </c>
    </row>
    <row r="826" spans="1:50">
      <c r="A826">
        <v>47</v>
      </c>
      <c r="B826">
        <v>33</v>
      </c>
      <c r="C826" t="s">
        <v>74</v>
      </c>
      <c r="D826" t="s">
        <v>1788</v>
      </c>
      <c r="E826" t="s">
        <v>1789</v>
      </c>
      <c r="F826">
        <v>4024</v>
      </c>
      <c r="G826" s="23" t="s">
        <v>1517</v>
      </c>
      <c r="H826" s="2" t="s">
        <v>3162</v>
      </c>
      <c r="I826" s="2" t="s">
        <v>3159</v>
      </c>
      <c r="K826" s="149">
        <v>0</v>
      </c>
      <c r="L826" s="149">
        <v>106400</v>
      </c>
      <c r="M826" s="149">
        <v>20216</v>
      </c>
      <c r="N826" s="149">
        <v>126616</v>
      </c>
      <c r="O826">
        <v>0</v>
      </c>
      <c r="P826">
        <v>0</v>
      </c>
      <c r="Q826">
        <v>0</v>
      </c>
      <c r="R826">
        <v>0</v>
      </c>
      <c r="S826">
        <v>0</v>
      </c>
      <c r="T826" t="s">
        <v>77</v>
      </c>
      <c r="U826">
        <v>0</v>
      </c>
      <c r="V826">
        <v>0</v>
      </c>
      <c r="W826">
        <v>0</v>
      </c>
      <c r="X826">
        <v>0</v>
      </c>
      <c r="Y826">
        <v>0</v>
      </c>
      <c r="AC826">
        <v>0</v>
      </c>
      <c r="AE826">
        <v>0</v>
      </c>
      <c r="AF826">
        <v>2</v>
      </c>
      <c r="AG826">
        <v>0</v>
      </c>
      <c r="AH826">
        <v>0</v>
      </c>
      <c r="AI826">
        <v>0</v>
      </c>
      <c r="AM826">
        <v>0</v>
      </c>
      <c r="AR826" t="s">
        <v>3249</v>
      </c>
      <c r="AS826" t="s">
        <v>1680</v>
      </c>
      <c r="AT826">
        <v>2025</v>
      </c>
      <c r="AU826">
        <v>5</v>
      </c>
      <c r="AV826" t="s">
        <v>78</v>
      </c>
      <c r="AX826" t="s">
        <v>3296</v>
      </c>
    </row>
    <row r="827" spans="1:50">
      <c r="A827">
        <v>48</v>
      </c>
      <c r="B827">
        <v>33</v>
      </c>
      <c r="C827" t="s">
        <v>74</v>
      </c>
      <c r="D827" t="s">
        <v>1567</v>
      </c>
      <c r="E827" t="s">
        <v>1568</v>
      </c>
      <c r="F827">
        <v>4025</v>
      </c>
      <c r="G827" s="23" t="s">
        <v>1517</v>
      </c>
      <c r="H827" s="2" t="s">
        <v>3163</v>
      </c>
      <c r="I827" t="s">
        <v>3164</v>
      </c>
      <c r="K827" s="149">
        <v>0</v>
      </c>
      <c r="L827" s="149">
        <v>564600</v>
      </c>
      <c r="M827" s="149">
        <v>107274</v>
      </c>
      <c r="N827" s="149">
        <v>671874</v>
      </c>
      <c r="O827">
        <v>0</v>
      </c>
      <c r="P827">
        <v>0</v>
      </c>
      <c r="Q827">
        <v>0</v>
      </c>
      <c r="R827">
        <v>0</v>
      </c>
      <c r="S827">
        <v>0</v>
      </c>
      <c r="T827" t="s">
        <v>77</v>
      </c>
      <c r="U827">
        <v>0</v>
      </c>
      <c r="V827">
        <v>0</v>
      </c>
      <c r="W827">
        <v>0</v>
      </c>
      <c r="X827">
        <v>0</v>
      </c>
      <c r="Y827">
        <v>0</v>
      </c>
      <c r="AC827">
        <v>0</v>
      </c>
      <c r="AE827">
        <v>0</v>
      </c>
      <c r="AF827">
        <v>2</v>
      </c>
      <c r="AG827">
        <v>0</v>
      </c>
      <c r="AH827">
        <v>0</v>
      </c>
      <c r="AI827">
        <v>0</v>
      </c>
      <c r="AM827">
        <v>0</v>
      </c>
      <c r="AR827" t="s">
        <v>3249</v>
      </c>
      <c r="AS827" t="s">
        <v>1680</v>
      </c>
      <c r="AT827">
        <v>2025</v>
      </c>
      <c r="AU827">
        <v>5</v>
      </c>
      <c r="AV827" t="s">
        <v>78</v>
      </c>
      <c r="AX827" t="s">
        <v>3297</v>
      </c>
    </row>
    <row r="828" spans="1:50">
      <c r="A828">
        <v>49</v>
      </c>
      <c r="B828">
        <v>33</v>
      </c>
      <c r="C828" t="s">
        <v>74</v>
      </c>
      <c r="D828" t="s">
        <v>2509</v>
      </c>
      <c r="E828" t="s">
        <v>2510</v>
      </c>
      <c r="F828">
        <v>4026</v>
      </c>
      <c r="G828" s="23" t="s">
        <v>1517</v>
      </c>
      <c r="H828" s="2" t="s">
        <v>3165</v>
      </c>
      <c r="I828" s="2" t="s">
        <v>3166</v>
      </c>
      <c r="K828" s="149">
        <v>0</v>
      </c>
      <c r="L828" s="149">
        <v>185632</v>
      </c>
      <c r="M828" s="149">
        <v>35270</v>
      </c>
      <c r="N828" s="149">
        <v>220902</v>
      </c>
      <c r="O828">
        <v>0</v>
      </c>
      <c r="P828">
        <v>0</v>
      </c>
      <c r="Q828">
        <v>0</v>
      </c>
      <c r="R828">
        <v>0</v>
      </c>
      <c r="S828">
        <v>0</v>
      </c>
      <c r="T828" t="s">
        <v>77</v>
      </c>
      <c r="U828">
        <v>0</v>
      </c>
      <c r="V828">
        <v>0</v>
      </c>
      <c r="W828">
        <v>0</v>
      </c>
      <c r="X828">
        <v>0</v>
      </c>
      <c r="Y828">
        <v>0</v>
      </c>
      <c r="AC828">
        <v>0</v>
      </c>
      <c r="AE828">
        <v>0</v>
      </c>
      <c r="AF828">
        <v>2</v>
      </c>
      <c r="AG828">
        <v>0</v>
      </c>
      <c r="AH828">
        <v>0</v>
      </c>
      <c r="AI828">
        <v>0</v>
      </c>
      <c r="AM828">
        <v>0</v>
      </c>
      <c r="AR828" t="s">
        <v>3249</v>
      </c>
      <c r="AS828" t="s">
        <v>1680</v>
      </c>
      <c r="AT828">
        <v>2025</v>
      </c>
      <c r="AU828">
        <v>5</v>
      </c>
      <c r="AV828" t="s">
        <v>78</v>
      </c>
      <c r="AX828" t="s">
        <v>3298</v>
      </c>
    </row>
    <row r="829" spans="1:50">
      <c r="A829">
        <v>50</v>
      </c>
      <c r="B829">
        <v>33</v>
      </c>
      <c r="C829" t="s">
        <v>74</v>
      </c>
      <c r="D829" t="s">
        <v>2509</v>
      </c>
      <c r="E829" t="s">
        <v>2510</v>
      </c>
      <c r="F829">
        <v>4027</v>
      </c>
      <c r="G829" s="23" t="s">
        <v>1517</v>
      </c>
      <c r="H829" s="2" t="s">
        <v>3167</v>
      </c>
      <c r="I829" s="2" t="s">
        <v>3166</v>
      </c>
      <c r="K829" s="149">
        <v>0</v>
      </c>
      <c r="L829" s="149">
        <v>104733</v>
      </c>
      <c r="M829" s="149">
        <v>19899</v>
      </c>
      <c r="N829" s="149">
        <v>124632</v>
      </c>
      <c r="O829">
        <v>0</v>
      </c>
      <c r="P829">
        <v>0</v>
      </c>
      <c r="Q829">
        <v>0</v>
      </c>
      <c r="R829">
        <v>0</v>
      </c>
      <c r="S829">
        <v>0</v>
      </c>
      <c r="T829" t="s">
        <v>77</v>
      </c>
      <c r="U829">
        <v>0</v>
      </c>
      <c r="V829">
        <v>0</v>
      </c>
      <c r="W829">
        <v>0</v>
      </c>
      <c r="X829">
        <v>0</v>
      </c>
      <c r="Y829">
        <v>0</v>
      </c>
      <c r="AC829">
        <v>0</v>
      </c>
      <c r="AE829">
        <v>0</v>
      </c>
      <c r="AF829">
        <v>2</v>
      </c>
      <c r="AG829">
        <v>0</v>
      </c>
      <c r="AH829">
        <v>0</v>
      </c>
      <c r="AI829">
        <v>0</v>
      </c>
      <c r="AM829">
        <v>0</v>
      </c>
      <c r="AR829" t="s">
        <v>3249</v>
      </c>
      <c r="AS829" t="s">
        <v>1680</v>
      </c>
      <c r="AT829">
        <v>2025</v>
      </c>
      <c r="AU829">
        <v>5</v>
      </c>
      <c r="AV829" t="s">
        <v>78</v>
      </c>
      <c r="AX829" t="s">
        <v>3299</v>
      </c>
    </row>
    <row r="830" spans="1:50">
      <c r="A830">
        <v>51</v>
      </c>
      <c r="B830">
        <v>33</v>
      </c>
      <c r="C830" t="s">
        <v>74</v>
      </c>
      <c r="D830" t="s">
        <v>1577</v>
      </c>
      <c r="E830" t="s">
        <v>1578</v>
      </c>
      <c r="F830">
        <v>4028</v>
      </c>
      <c r="G830" s="23" t="s">
        <v>1517</v>
      </c>
      <c r="H830" s="2" t="s">
        <v>3168</v>
      </c>
      <c r="I830" s="2"/>
      <c r="K830" s="149">
        <v>0</v>
      </c>
      <c r="L830" s="149">
        <v>157758</v>
      </c>
      <c r="M830" s="149">
        <v>29974</v>
      </c>
      <c r="N830" s="149">
        <v>187732</v>
      </c>
      <c r="O830">
        <v>0</v>
      </c>
      <c r="P830">
        <v>0</v>
      </c>
      <c r="Q830">
        <v>0</v>
      </c>
      <c r="R830">
        <v>0</v>
      </c>
      <c r="S830">
        <v>0</v>
      </c>
      <c r="T830" t="s">
        <v>77</v>
      </c>
      <c r="U830">
        <v>0</v>
      </c>
      <c r="V830">
        <v>0</v>
      </c>
      <c r="W830">
        <v>0</v>
      </c>
      <c r="X830">
        <v>0</v>
      </c>
      <c r="Y830">
        <v>0</v>
      </c>
      <c r="AC830">
        <v>0</v>
      </c>
      <c r="AE830">
        <v>0</v>
      </c>
      <c r="AF830">
        <v>2</v>
      </c>
      <c r="AG830">
        <v>0</v>
      </c>
      <c r="AH830">
        <v>0</v>
      </c>
      <c r="AI830">
        <v>0</v>
      </c>
      <c r="AM830">
        <v>0</v>
      </c>
      <c r="AR830" t="s">
        <v>3249</v>
      </c>
      <c r="AS830" t="s">
        <v>1680</v>
      </c>
      <c r="AT830">
        <v>2025</v>
      </c>
      <c r="AU830">
        <v>5</v>
      </c>
      <c r="AV830" t="s">
        <v>78</v>
      </c>
      <c r="AX830" t="s">
        <v>3300</v>
      </c>
    </row>
    <row r="831" spans="1:50">
      <c r="A831">
        <v>52</v>
      </c>
      <c r="B831">
        <v>33</v>
      </c>
      <c r="C831" t="s">
        <v>74</v>
      </c>
      <c r="D831" t="s">
        <v>1577</v>
      </c>
      <c r="E831" t="s">
        <v>1578</v>
      </c>
      <c r="F831">
        <v>4029</v>
      </c>
      <c r="G831" s="23" t="s">
        <v>1517</v>
      </c>
      <c r="H831" s="2" t="s">
        <v>3169</v>
      </c>
      <c r="I831" s="2"/>
      <c r="K831" s="149">
        <v>0</v>
      </c>
      <c r="L831" s="149">
        <v>118260</v>
      </c>
      <c r="M831" s="149">
        <v>22469</v>
      </c>
      <c r="N831" s="149">
        <v>140729</v>
      </c>
      <c r="O831">
        <v>0</v>
      </c>
      <c r="P831">
        <v>0</v>
      </c>
      <c r="Q831">
        <v>0</v>
      </c>
      <c r="R831">
        <v>0</v>
      </c>
      <c r="S831">
        <v>0</v>
      </c>
      <c r="T831" t="s">
        <v>77</v>
      </c>
      <c r="U831">
        <v>0</v>
      </c>
      <c r="V831">
        <v>0</v>
      </c>
      <c r="W831">
        <v>0</v>
      </c>
      <c r="X831">
        <v>0</v>
      </c>
      <c r="Y831">
        <v>0</v>
      </c>
      <c r="AC831">
        <v>0</v>
      </c>
      <c r="AE831">
        <v>0</v>
      </c>
      <c r="AF831">
        <v>2</v>
      </c>
      <c r="AG831">
        <v>0</v>
      </c>
      <c r="AH831">
        <v>0</v>
      </c>
      <c r="AI831">
        <v>0</v>
      </c>
      <c r="AM831">
        <v>0</v>
      </c>
      <c r="AR831" t="s">
        <v>3249</v>
      </c>
      <c r="AS831" t="s">
        <v>1680</v>
      </c>
      <c r="AT831">
        <v>2025</v>
      </c>
      <c r="AU831">
        <v>5</v>
      </c>
      <c r="AV831" t="s">
        <v>78</v>
      </c>
      <c r="AX831" t="s">
        <v>3301</v>
      </c>
    </row>
    <row r="832" spans="1:50">
      <c r="A832">
        <v>53</v>
      </c>
      <c r="B832">
        <v>33</v>
      </c>
      <c r="C832" t="s">
        <v>74</v>
      </c>
      <c r="D832" t="s">
        <v>1988</v>
      </c>
      <c r="E832" t="s">
        <v>1989</v>
      </c>
      <c r="F832">
        <v>4030</v>
      </c>
      <c r="G832" s="23" t="s">
        <v>1517</v>
      </c>
      <c r="H832" s="2" t="s">
        <v>3170</v>
      </c>
      <c r="I832" t="s">
        <v>3171</v>
      </c>
      <c r="K832" s="149">
        <v>0</v>
      </c>
      <c r="L832" s="149">
        <v>1675600</v>
      </c>
      <c r="M832" s="149">
        <v>318364</v>
      </c>
      <c r="N832" s="149">
        <v>1993964</v>
      </c>
      <c r="O832">
        <v>0</v>
      </c>
      <c r="P832">
        <v>0</v>
      </c>
      <c r="Q832">
        <v>0</v>
      </c>
      <c r="R832">
        <v>0</v>
      </c>
      <c r="S832">
        <v>0</v>
      </c>
      <c r="T832" t="s">
        <v>77</v>
      </c>
      <c r="U832">
        <v>0</v>
      </c>
      <c r="V832">
        <v>0</v>
      </c>
      <c r="W832">
        <v>0</v>
      </c>
      <c r="X832">
        <v>0</v>
      </c>
      <c r="AC832">
        <v>0</v>
      </c>
      <c r="AE832">
        <v>0</v>
      </c>
      <c r="AF832">
        <v>2</v>
      </c>
      <c r="AG832">
        <v>0</v>
      </c>
      <c r="AH832">
        <v>0</v>
      </c>
      <c r="AI832">
        <v>0</v>
      </c>
      <c r="AM832">
        <v>0</v>
      </c>
      <c r="AR832" t="s">
        <v>3249</v>
      </c>
      <c r="AS832" t="s">
        <v>1680</v>
      </c>
      <c r="AT832">
        <v>2025</v>
      </c>
      <c r="AU832">
        <v>5</v>
      </c>
      <c r="AV832" t="s">
        <v>78</v>
      </c>
      <c r="AX832" t="s">
        <v>3302</v>
      </c>
    </row>
    <row r="833" spans="1:50">
      <c r="A833">
        <v>54</v>
      </c>
      <c r="B833">
        <v>33</v>
      </c>
      <c r="C833" t="s">
        <v>74</v>
      </c>
      <c r="D833" t="s">
        <v>1631</v>
      </c>
      <c r="E833" t="s">
        <v>1632</v>
      </c>
      <c r="F833">
        <v>4031</v>
      </c>
      <c r="G833" s="23" t="s">
        <v>3817</v>
      </c>
      <c r="H833" s="2" t="s">
        <v>3172</v>
      </c>
      <c r="I833" s="2"/>
      <c r="K833" s="149">
        <v>0</v>
      </c>
      <c r="L833" s="149">
        <v>277200</v>
      </c>
      <c r="M833" s="149">
        <v>52668</v>
      </c>
      <c r="N833" s="149">
        <v>329868</v>
      </c>
      <c r="O833">
        <v>0</v>
      </c>
      <c r="P833">
        <v>0</v>
      </c>
      <c r="Q833">
        <v>0</v>
      </c>
      <c r="R833">
        <v>0</v>
      </c>
      <c r="S833">
        <v>0</v>
      </c>
      <c r="T833" t="s">
        <v>77</v>
      </c>
      <c r="U833">
        <v>0</v>
      </c>
      <c r="V833">
        <v>0</v>
      </c>
      <c r="W833">
        <v>0</v>
      </c>
      <c r="X833">
        <v>0</v>
      </c>
      <c r="Y833">
        <v>0</v>
      </c>
      <c r="AC833">
        <v>0</v>
      </c>
      <c r="AE833">
        <v>0</v>
      </c>
      <c r="AF833">
        <v>2</v>
      </c>
      <c r="AG833">
        <v>0</v>
      </c>
      <c r="AH833">
        <v>0</v>
      </c>
      <c r="AI833">
        <v>0</v>
      </c>
      <c r="AM833">
        <v>0</v>
      </c>
      <c r="AR833" t="s">
        <v>3249</v>
      </c>
      <c r="AS833" t="s">
        <v>1680</v>
      </c>
      <c r="AT833">
        <v>2025</v>
      </c>
      <c r="AU833">
        <v>5</v>
      </c>
      <c r="AV833" t="s">
        <v>78</v>
      </c>
      <c r="AX833" t="s">
        <v>3303</v>
      </c>
    </row>
    <row r="834" spans="1:50">
      <c r="A834">
        <v>55</v>
      </c>
      <c r="B834">
        <v>33</v>
      </c>
      <c r="C834" t="s">
        <v>74</v>
      </c>
      <c r="D834" t="s">
        <v>1561</v>
      </c>
      <c r="E834" t="s">
        <v>1562</v>
      </c>
      <c r="F834">
        <v>4032</v>
      </c>
      <c r="G834" s="23" t="s">
        <v>1513</v>
      </c>
      <c r="H834" s="2" t="s">
        <v>3173</v>
      </c>
      <c r="I834" s="2" t="s">
        <v>3174</v>
      </c>
      <c r="K834" s="149">
        <v>0</v>
      </c>
      <c r="L834" s="149">
        <v>26533500</v>
      </c>
      <c r="M834" s="149">
        <v>5041365</v>
      </c>
      <c r="N834" s="149">
        <v>31574865</v>
      </c>
      <c r="O834">
        <v>0</v>
      </c>
      <c r="P834">
        <v>0</v>
      </c>
      <c r="Q834">
        <v>0</v>
      </c>
      <c r="R834">
        <v>0</v>
      </c>
      <c r="S834">
        <v>0</v>
      </c>
      <c r="T834" t="s">
        <v>77</v>
      </c>
      <c r="U834">
        <v>0</v>
      </c>
      <c r="V834">
        <v>0</v>
      </c>
      <c r="W834">
        <v>0</v>
      </c>
      <c r="X834">
        <v>0</v>
      </c>
      <c r="AC834">
        <v>0</v>
      </c>
      <c r="AE834">
        <v>0</v>
      </c>
      <c r="AF834">
        <v>2</v>
      </c>
      <c r="AG834">
        <v>0</v>
      </c>
      <c r="AH834">
        <v>0</v>
      </c>
      <c r="AI834">
        <v>0</v>
      </c>
      <c r="AM834">
        <v>0</v>
      </c>
      <c r="AR834" t="s">
        <v>3249</v>
      </c>
      <c r="AS834" t="s">
        <v>1680</v>
      </c>
      <c r="AT834">
        <v>2025</v>
      </c>
      <c r="AU834">
        <v>5</v>
      </c>
      <c r="AV834" t="s">
        <v>78</v>
      </c>
      <c r="AX834" t="s">
        <v>3304</v>
      </c>
    </row>
    <row r="835" spans="1:50">
      <c r="A835">
        <v>56</v>
      </c>
      <c r="B835">
        <v>33</v>
      </c>
      <c r="C835" t="s">
        <v>74</v>
      </c>
      <c r="D835" t="s">
        <v>1631</v>
      </c>
      <c r="E835" t="s">
        <v>1632</v>
      </c>
      <c r="F835">
        <v>4033</v>
      </c>
      <c r="G835" s="23" t="s">
        <v>3817</v>
      </c>
      <c r="H835" s="2" t="s">
        <v>3175</v>
      </c>
      <c r="I835" s="2"/>
      <c r="K835" s="149">
        <v>0</v>
      </c>
      <c r="L835" s="149">
        <v>21120</v>
      </c>
      <c r="M835" s="149">
        <v>4013</v>
      </c>
      <c r="N835" s="149">
        <v>25133</v>
      </c>
      <c r="O835">
        <v>0</v>
      </c>
      <c r="P835">
        <v>0</v>
      </c>
      <c r="Q835">
        <v>0</v>
      </c>
      <c r="R835">
        <v>0</v>
      </c>
      <c r="S835">
        <v>0</v>
      </c>
      <c r="T835" t="s">
        <v>77</v>
      </c>
      <c r="U835">
        <v>0</v>
      </c>
      <c r="V835">
        <v>0</v>
      </c>
      <c r="W835">
        <v>0</v>
      </c>
      <c r="X835">
        <v>0</v>
      </c>
      <c r="Y835">
        <v>0</v>
      </c>
      <c r="AC835">
        <v>0</v>
      </c>
      <c r="AE835">
        <v>0</v>
      </c>
      <c r="AF835">
        <v>2</v>
      </c>
      <c r="AG835">
        <v>0</v>
      </c>
      <c r="AH835">
        <v>0</v>
      </c>
      <c r="AI835">
        <v>0</v>
      </c>
      <c r="AM835">
        <v>0</v>
      </c>
      <c r="AR835" t="s">
        <v>3249</v>
      </c>
      <c r="AS835" t="s">
        <v>1680</v>
      </c>
      <c r="AT835">
        <v>2025</v>
      </c>
      <c r="AU835">
        <v>5</v>
      </c>
      <c r="AV835" t="s">
        <v>78</v>
      </c>
      <c r="AX835" t="s">
        <v>3305</v>
      </c>
    </row>
    <row r="836" spans="1:50">
      <c r="A836">
        <v>57</v>
      </c>
      <c r="B836">
        <v>33</v>
      </c>
      <c r="C836" t="s">
        <v>74</v>
      </c>
      <c r="D836" t="s">
        <v>2825</v>
      </c>
      <c r="E836" t="s">
        <v>2826</v>
      </c>
      <c r="F836">
        <v>4034</v>
      </c>
      <c r="G836" s="23" t="s">
        <v>3817</v>
      </c>
      <c r="H836" s="2" t="s">
        <v>3176</v>
      </c>
      <c r="I836" s="2"/>
      <c r="K836" s="149">
        <v>0</v>
      </c>
      <c r="L836" s="149">
        <v>1044288</v>
      </c>
      <c r="M836" s="149">
        <v>198415</v>
      </c>
      <c r="N836" s="149">
        <v>1242703</v>
      </c>
      <c r="O836">
        <v>0</v>
      </c>
      <c r="P836">
        <v>0</v>
      </c>
      <c r="Q836">
        <v>0</v>
      </c>
      <c r="R836">
        <v>0</v>
      </c>
      <c r="S836">
        <v>0</v>
      </c>
      <c r="T836" t="s">
        <v>77</v>
      </c>
      <c r="U836">
        <v>0</v>
      </c>
      <c r="V836">
        <v>0</v>
      </c>
      <c r="W836">
        <v>0</v>
      </c>
      <c r="X836">
        <v>0</v>
      </c>
      <c r="Y836">
        <v>0</v>
      </c>
      <c r="AC836">
        <v>0</v>
      </c>
      <c r="AE836">
        <v>0</v>
      </c>
      <c r="AF836">
        <v>2</v>
      </c>
      <c r="AG836">
        <v>0</v>
      </c>
      <c r="AH836">
        <v>0</v>
      </c>
      <c r="AI836">
        <v>0</v>
      </c>
      <c r="AM836">
        <v>0</v>
      </c>
      <c r="AR836" t="s">
        <v>3249</v>
      </c>
      <c r="AS836" t="s">
        <v>1680</v>
      </c>
      <c r="AT836">
        <v>2025</v>
      </c>
      <c r="AU836">
        <v>5</v>
      </c>
      <c r="AV836" t="s">
        <v>78</v>
      </c>
      <c r="AX836" t="s">
        <v>3306</v>
      </c>
    </row>
    <row r="837" spans="1:50">
      <c r="A837">
        <v>58</v>
      </c>
      <c r="B837">
        <v>33</v>
      </c>
      <c r="C837" t="s">
        <v>74</v>
      </c>
      <c r="D837" t="s">
        <v>2825</v>
      </c>
      <c r="E837" t="s">
        <v>2826</v>
      </c>
      <c r="F837">
        <v>4035</v>
      </c>
      <c r="G837" s="23" t="s">
        <v>3817</v>
      </c>
      <c r="H837" s="2" t="s">
        <v>3177</v>
      </c>
      <c r="K837" s="149">
        <v>0</v>
      </c>
      <c r="L837" s="149">
        <v>540964</v>
      </c>
      <c r="M837" s="149">
        <v>102784</v>
      </c>
      <c r="N837" s="149">
        <v>643748</v>
      </c>
      <c r="O837">
        <v>0</v>
      </c>
      <c r="P837">
        <v>0</v>
      </c>
      <c r="Q837">
        <v>0</v>
      </c>
      <c r="R837">
        <v>0</v>
      </c>
      <c r="S837">
        <v>0</v>
      </c>
      <c r="T837" t="s">
        <v>77</v>
      </c>
      <c r="U837">
        <v>0</v>
      </c>
      <c r="V837">
        <v>0</v>
      </c>
      <c r="W837">
        <v>0</v>
      </c>
      <c r="X837">
        <v>0</v>
      </c>
      <c r="Y837">
        <v>0</v>
      </c>
      <c r="AC837">
        <v>0</v>
      </c>
      <c r="AE837">
        <v>0</v>
      </c>
      <c r="AF837">
        <v>2</v>
      </c>
      <c r="AG837">
        <v>0</v>
      </c>
      <c r="AH837">
        <v>0</v>
      </c>
      <c r="AI837">
        <v>0</v>
      </c>
      <c r="AM837">
        <v>0</v>
      </c>
      <c r="AR837" t="s">
        <v>3249</v>
      </c>
      <c r="AS837" t="s">
        <v>1680</v>
      </c>
      <c r="AT837">
        <v>2025</v>
      </c>
      <c r="AU837">
        <v>5</v>
      </c>
      <c r="AV837" t="s">
        <v>78</v>
      </c>
      <c r="AX837" t="s">
        <v>3307</v>
      </c>
    </row>
    <row r="838" spans="1:50">
      <c r="A838">
        <v>59</v>
      </c>
      <c r="B838">
        <v>33</v>
      </c>
      <c r="C838" t="s">
        <v>74</v>
      </c>
      <c r="D838" t="s">
        <v>2329</v>
      </c>
      <c r="E838" t="s">
        <v>2330</v>
      </c>
      <c r="F838">
        <v>4036</v>
      </c>
      <c r="G838" s="23" t="s">
        <v>3817</v>
      </c>
      <c r="H838" s="2" t="s">
        <v>3178</v>
      </c>
      <c r="I838" s="2" t="s">
        <v>3179</v>
      </c>
      <c r="K838" s="149">
        <v>0</v>
      </c>
      <c r="L838" s="149">
        <v>280000</v>
      </c>
      <c r="M838" s="149">
        <v>53200</v>
      </c>
      <c r="N838" s="149">
        <v>333200</v>
      </c>
      <c r="O838">
        <v>0</v>
      </c>
      <c r="P838">
        <v>0</v>
      </c>
      <c r="Q838">
        <v>0</v>
      </c>
      <c r="R838">
        <v>0</v>
      </c>
      <c r="S838">
        <v>0</v>
      </c>
      <c r="T838" t="s">
        <v>77</v>
      </c>
      <c r="U838">
        <v>0</v>
      </c>
      <c r="V838">
        <v>0</v>
      </c>
      <c r="W838">
        <v>0</v>
      </c>
      <c r="X838">
        <v>0</v>
      </c>
      <c r="Y838">
        <v>0</v>
      </c>
      <c r="AC838">
        <v>0</v>
      </c>
      <c r="AE838">
        <v>0</v>
      </c>
      <c r="AF838">
        <v>2</v>
      </c>
      <c r="AG838">
        <v>0</v>
      </c>
      <c r="AH838">
        <v>0</v>
      </c>
      <c r="AI838">
        <v>0</v>
      </c>
      <c r="AM838">
        <v>0</v>
      </c>
      <c r="AR838" t="s">
        <v>3249</v>
      </c>
      <c r="AS838" t="s">
        <v>1680</v>
      </c>
      <c r="AT838">
        <v>2025</v>
      </c>
      <c r="AU838">
        <v>5</v>
      </c>
      <c r="AV838" t="s">
        <v>78</v>
      </c>
      <c r="AX838" t="s">
        <v>3308</v>
      </c>
    </row>
    <row r="839" spans="1:50">
      <c r="A839">
        <v>60</v>
      </c>
      <c r="B839">
        <v>33</v>
      </c>
      <c r="C839" t="s">
        <v>74</v>
      </c>
      <c r="D839" t="s">
        <v>2825</v>
      </c>
      <c r="E839" t="s">
        <v>2826</v>
      </c>
      <c r="F839">
        <v>4037</v>
      </c>
      <c r="G839" s="23" t="s">
        <v>3817</v>
      </c>
      <c r="H839" s="2" t="s">
        <v>3180</v>
      </c>
      <c r="I839" s="2"/>
      <c r="K839" s="149">
        <v>0</v>
      </c>
      <c r="L839" s="149">
        <v>37640</v>
      </c>
      <c r="M839" s="149">
        <v>7152</v>
      </c>
      <c r="N839" s="149">
        <v>44792</v>
      </c>
      <c r="O839">
        <v>0</v>
      </c>
      <c r="P839">
        <v>0</v>
      </c>
      <c r="Q839">
        <v>0</v>
      </c>
      <c r="R839">
        <v>0</v>
      </c>
      <c r="S839">
        <v>0</v>
      </c>
      <c r="T839" t="s">
        <v>77</v>
      </c>
      <c r="U839">
        <v>0</v>
      </c>
      <c r="V839">
        <v>0</v>
      </c>
      <c r="W839">
        <v>0</v>
      </c>
      <c r="X839">
        <v>0</v>
      </c>
      <c r="Y839">
        <v>0</v>
      </c>
      <c r="AC839">
        <v>0</v>
      </c>
      <c r="AE839">
        <v>0</v>
      </c>
      <c r="AF839">
        <v>2</v>
      </c>
      <c r="AG839">
        <v>0</v>
      </c>
      <c r="AH839">
        <v>0</v>
      </c>
      <c r="AI839">
        <v>0</v>
      </c>
      <c r="AM839">
        <v>0</v>
      </c>
      <c r="AR839" t="s">
        <v>3249</v>
      </c>
      <c r="AS839" t="s">
        <v>1680</v>
      </c>
      <c r="AT839">
        <v>2025</v>
      </c>
      <c r="AU839">
        <v>5</v>
      </c>
      <c r="AV839" t="s">
        <v>78</v>
      </c>
      <c r="AX839" t="s">
        <v>3309</v>
      </c>
    </row>
    <row r="840" spans="1:50">
      <c r="A840">
        <v>61</v>
      </c>
      <c r="B840">
        <v>33</v>
      </c>
      <c r="C840" t="s">
        <v>74</v>
      </c>
      <c r="D840" t="s">
        <v>1222</v>
      </c>
      <c r="E840" t="s">
        <v>1223</v>
      </c>
      <c r="F840">
        <v>4038</v>
      </c>
      <c r="G840" s="23" t="s">
        <v>1514</v>
      </c>
      <c r="H840" s="2" t="s">
        <v>3181</v>
      </c>
      <c r="I840" t="s">
        <v>3182</v>
      </c>
      <c r="K840" s="149">
        <v>0</v>
      </c>
      <c r="L840" s="149">
        <v>4310472</v>
      </c>
      <c r="M840" s="149">
        <v>818989</v>
      </c>
      <c r="N840" s="149">
        <v>5129461</v>
      </c>
      <c r="O840">
        <v>0</v>
      </c>
      <c r="P840">
        <v>0</v>
      </c>
      <c r="Q840">
        <v>0</v>
      </c>
      <c r="R840">
        <v>0</v>
      </c>
      <c r="S840">
        <v>0</v>
      </c>
      <c r="T840" t="s">
        <v>77</v>
      </c>
      <c r="U840">
        <v>0</v>
      </c>
      <c r="V840">
        <v>0</v>
      </c>
      <c r="W840">
        <v>0</v>
      </c>
      <c r="X840">
        <v>0</v>
      </c>
      <c r="AC840">
        <v>0</v>
      </c>
      <c r="AE840">
        <v>0</v>
      </c>
      <c r="AF840">
        <v>2</v>
      </c>
      <c r="AG840">
        <v>0</v>
      </c>
      <c r="AH840">
        <v>0</v>
      </c>
      <c r="AI840">
        <v>0</v>
      </c>
      <c r="AM840">
        <v>0</v>
      </c>
      <c r="AR840" t="s">
        <v>3249</v>
      </c>
      <c r="AS840" t="s">
        <v>1680</v>
      </c>
      <c r="AT840">
        <v>2025</v>
      </c>
      <c r="AU840">
        <v>5</v>
      </c>
      <c r="AV840" t="s">
        <v>78</v>
      </c>
      <c r="AX840" t="s">
        <v>3310</v>
      </c>
    </row>
    <row r="841" spans="1:50">
      <c r="A841">
        <v>62</v>
      </c>
      <c r="B841">
        <v>33</v>
      </c>
      <c r="C841" t="s">
        <v>74</v>
      </c>
      <c r="D841" t="s">
        <v>1222</v>
      </c>
      <c r="E841" t="s">
        <v>1223</v>
      </c>
      <c r="F841">
        <v>4039</v>
      </c>
      <c r="G841" s="23" t="s">
        <v>1514</v>
      </c>
      <c r="H841" s="2" t="s">
        <v>3183</v>
      </c>
      <c r="I841" s="2" t="s">
        <v>3184</v>
      </c>
      <c r="K841" s="149">
        <v>0</v>
      </c>
      <c r="L841" s="149">
        <v>15239380</v>
      </c>
      <c r="M841" s="149">
        <v>2895482</v>
      </c>
      <c r="N841" s="149">
        <v>18134862</v>
      </c>
      <c r="O841">
        <v>0</v>
      </c>
      <c r="P841">
        <v>0</v>
      </c>
      <c r="Q841">
        <v>0</v>
      </c>
      <c r="R841">
        <v>0</v>
      </c>
      <c r="S841">
        <v>0</v>
      </c>
      <c r="T841" t="s">
        <v>77</v>
      </c>
      <c r="U841">
        <v>0</v>
      </c>
      <c r="V841">
        <v>0</v>
      </c>
      <c r="W841">
        <v>0</v>
      </c>
      <c r="X841">
        <v>0</v>
      </c>
      <c r="AC841">
        <v>0</v>
      </c>
      <c r="AE841">
        <v>0</v>
      </c>
      <c r="AF841">
        <v>2</v>
      </c>
      <c r="AG841">
        <v>0</v>
      </c>
      <c r="AH841">
        <v>0</v>
      </c>
      <c r="AI841">
        <v>0</v>
      </c>
      <c r="AM841">
        <v>0</v>
      </c>
      <c r="AR841" t="s">
        <v>3249</v>
      </c>
      <c r="AS841" t="s">
        <v>1680</v>
      </c>
      <c r="AT841">
        <v>2025</v>
      </c>
      <c r="AU841">
        <v>5</v>
      </c>
      <c r="AV841" t="s">
        <v>78</v>
      </c>
      <c r="AX841" t="s">
        <v>3311</v>
      </c>
    </row>
    <row r="842" spans="1:50">
      <c r="A842">
        <v>63</v>
      </c>
      <c r="B842">
        <v>33</v>
      </c>
      <c r="C842" t="s">
        <v>74</v>
      </c>
      <c r="D842" t="s">
        <v>1579</v>
      </c>
      <c r="E842" t="s">
        <v>1580</v>
      </c>
      <c r="F842">
        <v>4040</v>
      </c>
      <c r="G842" s="23" t="s">
        <v>1514</v>
      </c>
      <c r="H842" t="s">
        <v>3185</v>
      </c>
      <c r="I842" s="2" t="s">
        <v>3186</v>
      </c>
      <c r="K842" s="149">
        <v>0</v>
      </c>
      <c r="L842" s="149">
        <v>11267040</v>
      </c>
      <c r="M842" s="149">
        <v>2140737</v>
      </c>
      <c r="N842" s="149">
        <v>13407777</v>
      </c>
      <c r="O842">
        <v>0</v>
      </c>
      <c r="P842">
        <v>0</v>
      </c>
      <c r="Q842">
        <v>0</v>
      </c>
      <c r="R842">
        <v>0</v>
      </c>
      <c r="S842">
        <v>0</v>
      </c>
      <c r="T842" t="s">
        <v>77</v>
      </c>
      <c r="U842">
        <v>0</v>
      </c>
      <c r="V842">
        <v>0</v>
      </c>
      <c r="W842">
        <v>0</v>
      </c>
      <c r="X842">
        <v>0</v>
      </c>
      <c r="Y842">
        <v>0</v>
      </c>
      <c r="AC842">
        <v>0</v>
      </c>
      <c r="AE842">
        <v>0</v>
      </c>
      <c r="AF842">
        <v>2</v>
      </c>
      <c r="AG842">
        <v>0</v>
      </c>
      <c r="AH842">
        <v>0</v>
      </c>
      <c r="AI842">
        <v>0</v>
      </c>
      <c r="AM842">
        <v>0</v>
      </c>
      <c r="AR842" t="s">
        <v>3249</v>
      </c>
      <c r="AS842" t="s">
        <v>1680</v>
      </c>
      <c r="AT842">
        <v>2025</v>
      </c>
      <c r="AU842">
        <v>5</v>
      </c>
      <c r="AV842" t="s">
        <v>78</v>
      </c>
      <c r="AX842" t="s">
        <v>3312</v>
      </c>
    </row>
    <row r="843" spans="1:50">
      <c r="A843">
        <v>64</v>
      </c>
      <c r="B843">
        <v>33</v>
      </c>
      <c r="C843" t="s">
        <v>74</v>
      </c>
      <c r="D843" t="s">
        <v>1571</v>
      </c>
      <c r="E843" t="s">
        <v>1572</v>
      </c>
      <c r="F843">
        <v>4041</v>
      </c>
      <c r="G843" s="23" t="s">
        <v>1514</v>
      </c>
      <c r="H843" t="s">
        <v>3187</v>
      </c>
      <c r="J843" t="s">
        <v>3188</v>
      </c>
      <c r="K843" s="149">
        <v>0</v>
      </c>
      <c r="L843" s="149">
        <v>6301312</v>
      </c>
      <c r="M843" s="149">
        <v>1197250</v>
      </c>
      <c r="N843" s="149">
        <v>7498562</v>
      </c>
      <c r="O843">
        <v>0</v>
      </c>
      <c r="P843">
        <v>0</v>
      </c>
      <c r="Q843">
        <v>0</v>
      </c>
      <c r="R843">
        <v>0</v>
      </c>
      <c r="S843">
        <v>0</v>
      </c>
      <c r="T843" t="s">
        <v>77</v>
      </c>
      <c r="U843">
        <v>0</v>
      </c>
      <c r="V843">
        <v>0</v>
      </c>
      <c r="W843">
        <v>0</v>
      </c>
      <c r="X843">
        <v>0</v>
      </c>
      <c r="AC843">
        <v>0</v>
      </c>
      <c r="AE843">
        <v>0</v>
      </c>
      <c r="AF843">
        <v>2</v>
      </c>
      <c r="AG843">
        <v>0</v>
      </c>
      <c r="AH843">
        <v>0</v>
      </c>
      <c r="AI843">
        <v>0</v>
      </c>
      <c r="AM843">
        <v>0</v>
      </c>
      <c r="AR843" t="s">
        <v>3249</v>
      </c>
      <c r="AS843" t="s">
        <v>1680</v>
      </c>
      <c r="AT843">
        <v>2025</v>
      </c>
      <c r="AU843">
        <v>5</v>
      </c>
      <c r="AV843" t="s">
        <v>78</v>
      </c>
      <c r="AX843" t="s">
        <v>3313</v>
      </c>
    </row>
    <row r="844" spans="1:50">
      <c r="A844">
        <v>65</v>
      </c>
      <c r="B844">
        <v>33</v>
      </c>
      <c r="C844" t="s">
        <v>74</v>
      </c>
      <c r="D844" t="s">
        <v>1353</v>
      </c>
      <c r="E844" t="s">
        <v>1354</v>
      </c>
      <c r="F844">
        <v>4042</v>
      </c>
      <c r="G844" s="23" t="s">
        <v>1514</v>
      </c>
      <c r="H844" t="s">
        <v>3189</v>
      </c>
      <c r="I844" s="2" t="s">
        <v>3190</v>
      </c>
      <c r="K844" s="149">
        <v>0</v>
      </c>
      <c r="L844" s="149">
        <v>8425480</v>
      </c>
      <c r="M844" s="149">
        <v>1600841</v>
      </c>
      <c r="N844" s="149">
        <v>10026321</v>
      </c>
      <c r="O844">
        <v>0</v>
      </c>
      <c r="P844">
        <v>0</v>
      </c>
      <c r="Q844">
        <v>0</v>
      </c>
      <c r="R844">
        <v>0</v>
      </c>
      <c r="S844">
        <v>0</v>
      </c>
      <c r="T844" t="s">
        <v>77</v>
      </c>
      <c r="U844">
        <v>0</v>
      </c>
      <c r="V844">
        <v>0</v>
      </c>
      <c r="W844">
        <v>0</v>
      </c>
      <c r="X844">
        <v>0</v>
      </c>
      <c r="Y844">
        <v>0</v>
      </c>
      <c r="AC844">
        <v>0</v>
      </c>
      <c r="AE844">
        <v>0</v>
      </c>
      <c r="AF844">
        <v>2</v>
      </c>
      <c r="AG844">
        <v>0</v>
      </c>
      <c r="AH844">
        <v>0</v>
      </c>
      <c r="AI844">
        <v>0</v>
      </c>
      <c r="AM844">
        <v>0</v>
      </c>
      <c r="AR844" t="s">
        <v>3249</v>
      </c>
      <c r="AS844" t="s">
        <v>1680</v>
      </c>
      <c r="AT844">
        <v>2025</v>
      </c>
      <c r="AU844">
        <v>5</v>
      </c>
      <c r="AV844" t="s">
        <v>78</v>
      </c>
      <c r="AX844" t="s">
        <v>3314</v>
      </c>
    </row>
    <row r="845" spans="1:50">
      <c r="A845">
        <v>66</v>
      </c>
      <c r="B845">
        <v>33</v>
      </c>
      <c r="C845" t="s">
        <v>74</v>
      </c>
      <c r="D845" t="s">
        <v>1353</v>
      </c>
      <c r="E845" t="s">
        <v>1354</v>
      </c>
      <c r="F845">
        <v>4043</v>
      </c>
      <c r="G845" s="23" t="s">
        <v>1514</v>
      </c>
      <c r="H845" t="s">
        <v>3191</v>
      </c>
      <c r="I845" s="2" t="s">
        <v>3192</v>
      </c>
      <c r="K845" s="149">
        <v>0</v>
      </c>
      <c r="L845" s="149">
        <v>687280</v>
      </c>
      <c r="M845" s="149">
        <v>130583</v>
      </c>
      <c r="N845" s="149">
        <v>817863</v>
      </c>
      <c r="O845">
        <v>0</v>
      </c>
      <c r="P845">
        <v>0</v>
      </c>
      <c r="Q845">
        <v>0</v>
      </c>
      <c r="R845">
        <v>0</v>
      </c>
      <c r="S845">
        <v>0</v>
      </c>
      <c r="T845" t="s">
        <v>77</v>
      </c>
      <c r="U845">
        <v>0</v>
      </c>
      <c r="V845">
        <v>0</v>
      </c>
      <c r="W845">
        <v>0</v>
      </c>
      <c r="X845">
        <v>0</v>
      </c>
      <c r="Y845">
        <v>0</v>
      </c>
      <c r="AC845">
        <v>0</v>
      </c>
      <c r="AE845">
        <v>0</v>
      </c>
      <c r="AF845">
        <v>2</v>
      </c>
      <c r="AG845">
        <v>0</v>
      </c>
      <c r="AH845">
        <v>0</v>
      </c>
      <c r="AI845">
        <v>0</v>
      </c>
      <c r="AM845">
        <v>0</v>
      </c>
      <c r="AR845" t="s">
        <v>3249</v>
      </c>
      <c r="AS845" t="s">
        <v>1680</v>
      </c>
      <c r="AT845">
        <v>2025</v>
      </c>
      <c r="AU845">
        <v>5</v>
      </c>
      <c r="AV845" t="s">
        <v>78</v>
      </c>
      <c r="AX845" t="s">
        <v>3315</v>
      </c>
    </row>
    <row r="846" spans="1:50">
      <c r="A846">
        <v>67</v>
      </c>
      <c r="B846">
        <v>33</v>
      </c>
      <c r="C846" t="s">
        <v>74</v>
      </c>
      <c r="D846" t="s">
        <v>1680</v>
      </c>
      <c r="E846" t="s">
        <v>3139</v>
      </c>
      <c r="F846">
        <v>4044</v>
      </c>
      <c r="G846" s="23" t="s">
        <v>1514</v>
      </c>
      <c r="H846" t="s">
        <v>3193</v>
      </c>
      <c r="I846" s="2"/>
      <c r="K846" s="149">
        <v>0</v>
      </c>
      <c r="L846" s="149">
        <v>11924</v>
      </c>
      <c r="M846" s="149">
        <v>2266</v>
      </c>
      <c r="N846" s="149">
        <v>14190</v>
      </c>
      <c r="O846">
        <v>0</v>
      </c>
      <c r="P846">
        <v>0</v>
      </c>
      <c r="Q846">
        <v>0</v>
      </c>
      <c r="R846">
        <v>0</v>
      </c>
      <c r="S846">
        <v>0</v>
      </c>
      <c r="T846" t="s">
        <v>77</v>
      </c>
      <c r="U846">
        <v>0</v>
      </c>
      <c r="V846">
        <v>0</v>
      </c>
      <c r="W846">
        <v>0</v>
      </c>
      <c r="X846">
        <v>0</v>
      </c>
      <c r="Y846">
        <v>0</v>
      </c>
      <c r="AC846">
        <v>0</v>
      </c>
      <c r="AE846">
        <v>0</v>
      </c>
      <c r="AF846">
        <v>2</v>
      </c>
      <c r="AG846">
        <v>0</v>
      </c>
      <c r="AH846">
        <v>0</v>
      </c>
      <c r="AI846">
        <v>0</v>
      </c>
      <c r="AM846">
        <v>0</v>
      </c>
      <c r="AR846" t="s">
        <v>3249</v>
      </c>
      <c r="AS846" t="s">
        <v>1680</v>
      </c>
      <c r="AT846">
        <v>2025</v>
      </c>
      <c r="AU846">
        <v>5</v>
      </c>
      <c r="AV846" t="s">
        <v>78</v>
      </c>
      <c r="AX846" t="s">
        <v>3316</v>
      </c>
    </row>
    <row r="847" spans="1:50">
      <c r="A847">
        <v>68</v>
      </c>
      <c r="B847">
        <v>33</v>
      </c>
      <c r="C847" t="s">
        <v>74</v>
      </c>
      <c r="D847" t="s">
        <v>1581</v>
      </c>
      <c r="E847" t="s">
        <v>1582</v>
      </c>
      <c r="F847">
        <v>4045</v>
      </c>
      <c r="G847" s="23" t="s">
        <v>1514</v>
      </c>
      <c r="H847" t="s">
        <v>3194</v>
      </c>
      <c r="I847" s="2" t="s">
        <v>3195</v>
      </c>
      <c r="K847" s="149">
        <v>0</v>
      </c>
      <c r="L847" s="149">
        <v>128865</v>
      </c>
      <c r="M847" s="149">
        <v>24484</v>
      </c>
      <c r="N847" s="149">
        <v>153349</v>
      </c>
      <c r="O847">
        <v>0</v>
      </c>
      <c r="P847">
        <v>0</v>
      </c>
      <c r="Q847">
        <v>0</v>
      </c>
      <c r="R847">
        <v>0</v>
      </c>
      <c r="S847">
        <v>0</v>
      </c>
      <c r="T847" t="s">
        <v>77</v>
      </c>
      <c r="U847">
        <v>0</v>
      </c>
      <c r="V847">
        <v>0</v>
      </c>
      <c r="W847">
        <v>0</v>
      </c>
      <c r="X847">
        <v>0</v>
      </c>
      <c r="Y847">
        <v>0</v>
      </c>
      <c r="AC847">
        <v>0</v>
      </c>
      <c r="AE847">
        <v>0</v>
      </c>
      <c r="AF847">
        <v>2</v>
      </c>
      <c r="AG847">
        <v>0</v>
      </c>
      <c r="AH847">
        <v>0</v>
      </c>
      <c r="AI847">
        <v>0</v>
      </c>
      <c r="AM847">
        <v>0</v>
      </c>
      <c r="AR847" t="s">
        <v>3249</v>
      </c>
      <c r="AS847" t="s">
        <v>1680</v>
      </c>
      <c r="AT847">
        <v>2025</v>
      </c>
      <c r="AU847">
        <v>5</v>
      </c>
      <c r="AV847" t="s">
        <v>78</v>
      </c>
      <c r="AX847" t="s">
        <v>3317</v>
      </c>
    </row>
    <row r="848" spans="1:50">
      <c r="A848">
        <v>69</v>
      </c>
      <c r="B848">
        <v>33</v>
      </c>
      <c r="C848" t="s">
        <v>74</v>
      </c>
      <c r="D848" t="s">
        <v>1581</v>
      </c>
      <c r="E848" t="s">
        <v>1582</v>
      </c>
      <c r="F848">
        <v>4046</v>
      </c>
      <c r="G848" s="23" t="s">
        <v>3818</v>
      </c>
      <c r="H848" t="s">
        <v>3196</v>
      </c>
      <c r="I848" s="2" t="s">
        <v>3195</v>
      </c>
      <c r="K848" s="149">
        <v>0</v>
      </c>
      <c r="L848" s="149">
        <v>933735</v>
      </c>
      <c r="M848" s="149">
        <v>177409</v>
      </c>
      <c r="N848" s="149">
        <v>1111144</v>
      </c>
      <c r="O848">
        <v>0</v>
      </c>
      <c r="P848">
        <v>0</v>
      </c>
      <c r="Q848">
        <v>0</v>
      </c>
      <c r="R848">
        <v>0</v>
      </c>
      <c r="S848">
        <v>0</v>
      </c>
      <c r="T848" t="s">
        <v>77</v>
      </c>
      <c r="U848">
        <v>0</v>
      </c>
      <c r="V848">
        <v>0</v>
      </c>
      <c r="W848">
        <v>0</v>
      </c>
      <c r="X848">
        <v>0</v>
      </c>
      <c r="Y848">
        <v>0</v>
      </c>
      <c r="AC848">
        <v>0</v>
      </c>
      <c r="AE848">
        <v>0</v>
      </c>
      <c r="AF848">
        <v>2</v>
      </c>
      <c r="AG848">
        <v>0</v>
      </c>
      <c r="AH848">
        <v>0</v>
      </c>
      <c r="AI848">
        <v>0</v>
      </c>
      <c r="AM848">
        <v>0</v>
      </c>
      <c r="AR848" t="s">
        <v>3249</v>
      </c>
      <c r="AS848" t="s">
        <v>1680</v>
      </c>
      <c r="AT848">
        <v>2025</v>
      </c>
      <c r="AU848">
        <v>5</v>
      </c>
      <c r="AV848" t="s">
        <v>78</v>
      </c>
      <c r="AX848" t="s">
        <v>3318</v>
      </c>
    </row>
    <row r="849" spans="1:50">
      <c r="A849">
        <v>70</v>
      </c>
      <c r="B849">
        <v>33</v>
      </c>
      <c r="C849" t="s">
        <v>74</v>
      </c>
      <c r="D849" t="s">
        <v>2509</v>
      </c>
      <c r="E849" t="s">
        <v>2510</v>
      </c>
      <c r="F849">
        <v>4047</v>
      </c>
      <c r="G849" s="23" t="s">
        <v>3818</v>
      </c>
      <c r="H849" t="s">
        <v>3197</v>
      </c>
      <c r="I849" s="2" t="s">
        <v>3198</v>
      </c>
      <c r="K849" s="149">
        <v>0</v>
      </c>
      <c r="L849" s="149">
        <v>149504</v>
      </c>
      <c r="M849" s="149">
        <v>28406</v>
      </c>
      <c r="N849" s="149">
        <v>177910</v>
      </c>
      <c r="O849">
        <v>0</v>
      </c>
      <c r="P849">
        <v>0</v>
      </c>
      <c r="Q849">
        <v>0</v>
      </c>
      <c r="R849">
        <v>0</v>
      </c>
      <c r="S849">
        <v>0</v>
      </c>
      <c r="T849" t="s">
        <v>77</v>
      </c>
      <c r="U849">
        <v>0</v>
      </c>
      <c r="V849">
        <v>0</v>
      </c>
      <c r="W849">
        <v>0</v>
      </c>
      <c r="X849">
        <v>0</v>
      </c>
      <c r="Y849">
        <v>0</v>
      </c>
      <c r="AC849">
        <v>0</v>
      </c>
      <c r="AE849">
        <v>0</v>
      </c>
      <c r="AF849">
        <v>2</v>
      </c>
      <c r="AG849">
        <v>0</v>
      </c>
      <c r="AH849">
        <v>0</v>
      </c>
      <c r="AI849">
        <v>0</v>
      </c>
      <c r="AM849">
        <v>0</v>
      </c>
      <c r="AR849" t="s">
        <v>3249</v>
      </c>
      <c r="AS849" t="s">
        <v>1680</v>
      </c>
      <c r="AT849">
        <v>2025</v>
      </c>
      <c r="AU849">
        <v>5</v>
      </c>
      <c r="AV849" t="s">
        <v>78</v>
      </c>
      <c r="AX849" t="s">
        <v>3319</v>
      </c>
    </row>
    <row r="850" spans="1:50">
      <c r="A850">
        <v>71</v>
      </c>
      <c r="B850">
        <v>33</v>
      </c>
      <c r="C850" t="s">
        <v>74</v>
      </c>
      <c r="D850" t="s">
        <v>2509</v>
      </c>
      <c r="E850" t="s">
        <v>2510</v>
      </c>
      <c r="F850">
        <v>4048</v>
      </c>
      <c r="G850" s="23" t="s">
        <v>3818</v>
      </c>
      <c r="H850" t="s">
        <v>3199</v>
      </c>
      <c r="I850" s="2" t="s">
        <v>3198</v>
      </c>
      <c r="K850" s="149">
        <v>0</v>
      </c>
      <c r="L850" s="149">
        <v>139644</v>
      </c>
      <c r="M850" s="149">
        <v>26532</v>
      </c>
      <c r="N850" s="149">
        <v>166176</v>
      </c>
      <c r="O850">
        <v>0</v>
      </c>
      <c r="P850">
        <v>0</v>
      </c>
      <c r="Q850">
        <v>0</v>
      </c>
      <c r="R850">
        <v>0</v>
      </c>
      <c r="S850">
        <v>0</v>
      </c>
      <c r="T850" t="s">
        <v>77</v>
      </c>
      <c r="U850">
        <v>0</v>
      </c>
      <c r="V850">
        <v>0</v>
      </c>
      <c r="W850">
        <v>0</v>
      </c>
      <c r="X850">
        <v>0</v>
      </c>
      <c r="Y850">
        <v>0</v>
      </c>
      <c r="AC850">
        <v>0</v>
      </c>
      <c r="AE850">
        <v>0</v>
      </c>
      <c r="AF850">
        <v>2</v>
      </c>
      <c r="AG850">
        <v>0</v>
      </c>
      <c r="AH850">
        <v>0</v>
      </c>
      <c r="AI850">
        <v>0</v>
      </c>
      <c r="AM850">
        <v>0</v>
      </c>
      <c r="AR850" t="s">
        <v>3249</v>
      </c>
      <c r="AS850" t="s">
        <v>1680</v>
      </c>
      <c r="AT850">
        <v>2025</v>
      </c>
      <c r="AU850">
        <v>5</v>
      </c>
      <c r="AV850" t="s">
        <v>78</v>
      </c>
      <c r="AX850" t="s">
        <v>3320</v>
      </c>
    </row>
    <row r="851" spans="1:50">
      <c r="A851">
        <v>72</v>
      </c>
      <c r="B851">
        <v>33</v>
      </c>
      <c r="C851" t="s">
        <v>74</v>
      </c>
      <c r="D851" t="s">
        <v>3200</v>
      </c>
      <c r="E851" t="s">
        <v>3201</v>
      </c>
      <c r="F851">
        <v>4049</v>
      </c>
      <c r="G851" s="23" t="s">
        <v>3818</v>
      </c>
      <c r="H851" t="s">
        <v>3202</v>
      </c>
      <c r="I851" s="2" t="s">
        <v>3203</v>
      </c>
      <c r="K851" s="149">
        <v>0</v>
      </c>
      <c r="L851" s="149">
        <v>520920</v>
      </c>
      <c r="M851" s="149">
        <v>98975</v>
      </c>
      <c r="N851" s="149">
        <v>619895</v>
      </c>
      <c r="O851">
        <v>0</v>
      </c>
      <c r="P851">
        <v>0</v>
      </c>
      <c r="Q851">
        <v>0</v>
      </c>
      <c r="R851">
        <v>0</v>
      </c>
      <c r="S851">
        <v>0</v>
      </c>
      <c r="T851" t="s">
        <v>77</v>
      </c>
      <c r="U851">
        <v>0</v>
      </c>
      <c r="V851">
        <v>0</v>
      </c>
      <c r="W851">
        <v>0</v>
      </c>
      <c r="X851">
        <v>0</v>
      </c>
      <c r="AC851">
        <v>0</v>
      </c>
      <c r="AE851">
        <v>0</v>
      </c>
      <c r="AF851">
        <v>2</v>
      </c>
      <c r="AG851">
        <v>0</v>
      </c>
      <c r="AH851">
        <v>0</v>
      </c>
      <c r="AI851">
        <v>0</v>
      </c>
      <c r="AM851">
        <v>0</v>
      </c>
      <c r="AR851" t="s">
        <v>3249</v>
      </c>
      <c r="AS851" t="s">
        <v>1680</v>
      </c>
      <c r="AT851">
        <v>2025</v>
      </c>
      <c r="AU851">
        <v>5</v>
      </c>
      <c r="AV851" t="s">
        <v>78</v>
      </c>
      <c r="AX851" t="s">
        <v>3321</v>
      </c>
    </row>
    <row r="852" spans="1:50">
      <c r="A852">
        <v>73</v>
      </c>
      <c r="B852">
        <v>33</v>
      </c>
      <c r="C852" t="s">
        <v>74</v>
      </c>
      <c r="D852" t="s">
        <v>1573</v>
      </c>
      <c r="E852" t="s">
        <v>1574</v>
      </c>
      <c r="F852">
        <v>4050</v>
      </c>
      <c r="G852" s="23" t="s">
        <v>3818</v>
      </c>
      <c r="H852" t="s">
        <v>3204</v>
      </c>
      <c r="I852" s="2" t="s">
        <v>3205</v>
      </c>
      <c r="K852" s="149">
        <v>0</v>
      </c>
      <c r="L852" s="149">
        <v>170906</v>
      </c>
      <c r="M852" s="149">
        <v>32472</v>
      </c>
      <c r="N852" s="149">
        <v>203378</v>
      </c>
      <c r="O852">
        <v>0</v>
      </c>
      <c r="P852">
        <v>0</v>
      </c>
      <c r="Q852">
        <v>0</v>
      </c>
      <c r="R852">
        <v>0</v>
      </c>
      <c r="S852">
        <v>0</v>
      </c>
      <c r="T852" t="s">
        <v>77</v>
      </c>
      <c r="U852">
        <v>0</v>
      </c>
      <c r="V852">
        <v>0</v>
      </c>
      <c r="W852">
        <v>0</v>
      </c>
      <c r="X852">
        <v>0</v>
      </c>
      <c r="Y852">
        <v>0</v>
      </c>
      <c r="AC852">
        <v>0</v>
      </c>
      <c r="AE852">
        <v>0</v>
      </c>
      <c r="AF852">
        <v>2</v>
      </c>
      <c r="AG852">
        <v>0</v>
      </c>
      <c r="AH852">
        <v>0</v>
      </c>
      <c r="AI852">
        <v>0</v>
      </c>
      <c r="AM852">
        <v>0</v>
      </c>
      <c r="AR852" t="s">
        <v>3249</v>
      </c>
      <c r="AS852" t="s">
        <v>1680</v>
      </c>
      <c r="AT852">
        <v>2025</v>
      </c>
      <c r="AU852">
        <v>5</v>
      </c>
      <c r="AV852" t="s">
        <v>78</v>
      </c>
      <c r="AX852" t="s">
        <v>3322</v>
      </c>
    </row>
    <row r="853" spans="1:50">
      <c r="A853">
        <v>74</v>
      </c>
      <c r="B853">
        <v>33</v>
      </c>
      <c r="C853" t="s">
        <v>74</v>
      </c>
      <c r="D853" t="s">
        <v>1573</v>
      </c>
      <c r="E853" t="s">
        <v>1574</v>
      </c>
      <c r="F853">
        <v>4051</v>
      </c>
      <c r="G853" s="23" t="s">
        <v>3818</v>
      </c>
      <c r="H853" t="s">
        <v>3206</v>
      </c>
      <c r="I853" s="2" t="s">
        <v>3205</v>
      </c>
      <c r="K853" s="149">
        <v>0</v>
      </c>
      <c r="L853" s="149">
        <v>126904</v>
      </c>
      <c r="M853" s="149">
        <v>24112</v>
      </c>
      <c r="N853" s="149">
        <v>151016</v>
      </c>
      <c r="O853">
        <v>0</v>
      </c>
      <c r="P853">
        <v>0</v>
      </c>
      <c r="Q853">
        <v>0</v>
      </c>
      <c r="R853">
        <v>0</v>
      </c>
      <c r="S853">
        <v>0</v>
      </c>
      <c r="T853" t="s">
        <v>77</v>
      </c>
      <c r="U853">
        <v>0</v>
      </c>
      <c r="V853">
        <v>0</v>
      </c>
      <c r="W853">
        <v>0</v>
      </c>
      <c r="X853">
        <v>0</v>
      </c>
      <c r="Y853">
        <v>0</v>
      </c>
      <c r="AC853">
        <v>0</v>
      </c>
      <c r="AE853">
        <v>0</v>
      </c>
      <c r="AF853">
        <v>2</v>
      </c>
      <c r="AG853">
        <v>0</v>
      </c>
      <c r="AH853">
        <v>0</v>
      </c>
      <c r="AI853">
        <v>0</v>
      </c>
      <c r="AM853">
        <v>0</v>
      </c>
      <c r="AR853" t="s">
        <v>3249</v>
      </c>
      <c r="AS853" t="s">
        <v>1680</v>
      </c>
      <c r="AT853">
        <v>2025</v>
      </c>
      <c r="AU853">
        <v>5</v>
      </c>
      <c r="AV853" t="s">
        <v>78</v>
      </c>
      <c r="AX853" t="s">
        <v>3323</v>
      </c>
    </row>
    <row r="854" spans="1:50">
      <c r="A854">
        <v>75</v>
      </c>
      <c r="B854">
        <v>33</v>
      </c>
      <c r="C854" t="s">
        <v>74</v>
      </c>
      <c r="D854" t="s">
        <v>1592</v>
      </c>
      <c r="E854" t="s">
        <v>1593</v>
      </c>
      <c r="F854">
        <v>4052</v>
      </c>
      <c r="G854" s="23" t="s">
        <v>3818</v>
      </c>
      <c r="H854" t="s">
        <v>3207</v>
      </c>
      <c r="I854" s="2" t="s">
        <v>3208</v>
      </c>
      <c r="K854" s="149">
        <v>0</v>
      </c>
      <c r="L854" s="149">
        <v>297316</v>
      </c>
      <c r="M854" s="149">
        <v>56489</v>
      </c>
      <c r="N854" s="149">
        <v>353805</v>
      </c>
      <c r="O854">
        <v>0</v>
      </c>
      <c r="P854">
        <v>0</v>
      </c>
      <c r="Q854">
        <v>0</v>
      </c>
      <c r="R854">
        <v>0</v>
      </c>
      <c r="S854">
        <v>0</v>
      </c>
      <c r="T854" t="s">
        <v>77</v>
      </c>
      <c r="U854">
        <v>0</v>
      </c>
      <c r="V854">
        <v>0</v>
      </c>
      <c r="W854">
        <v>0</v>
      </c>
      <c r="X854">
        <v>0</v>
      </c>
      <c r="Y854">
        <v>0</v>
      </c>
      <c r="AC854">
        <v>0</v>
      </c>
      <c r="AE854">
        <v>0</v>
      </c>
      <c r="AF854">
        <v>2</v>
      </c>
      <c r="AG854">
        <v>0</v>
      </c>
      <c r="AH854">
        <v>0</v>
      </c>
      <c r="AI854">
        <v>0</v>
      </c>
      <c r="AM854">
        <v>0</v>
      </c>
      <c r="AR854" t="s">
        <v>3249</v>
      </c>
      <c r="AS854" t="s">
        <v>1680</v>
      </c>
      <c r="AT854">
        <v>2025</v>
      </c>
      <c r="AU854">
        <v>5</v>
      </c>
      <c r="AV854" t="s">
        <v>78</v>
      </c>
      <c r="AX854" t="s">
        <v>3324</v>
      </c>
    </row>
    <row r="855" spans="1:50">
      <c r="A855">
        <v>76</v>
      </c>
      <c r="B855">
        <v>33</v>
      </c>
      <c r="C855" t="s">
        <v>74</v>
      </c>
      <c r="D855" t="s">
        <v>1222</v>
      </c>
      <c r="E855" t="s">
        <v>1223</v>
      </c>
      <c r="F855">
        <v>4053</v>
      </c>
      <c r="G855" s="23" t="s">
        <v>3818</v>
      </c>
      <c r="H855" t="s">
        <v>3209</v>
      </c>
      <c r="I855" t="s">
        <v>3210</v>
      </c>
      <c r="J855" s="2"/>
      <c r="K855" s="149">
        <v>0</v>
      </c>
      <c r="L855" s="149">
        <v>6119420</v>
      </c>
      <c r="M855" s="149">
        <v>1162690</v>
      </c>
      <c r="N855" s="149">
        <v>7282110</v>
      </c>
      <c r="O855">
        <v>0</v>
      </c>
      <c r="P855">
        <v>0</v>
      </c>
      <c r="Q855">
        <v>0</v>
      </c>
      <c r="R855">
        <v>0</v>
      </c>
      <c r="S855">
        <v>0</v>
      </c>
      <c r="T855" t="s">
        <v>77</v>
      </c>
      <c r="U855">
        <v>0</v>
      </c>
      <c r="V855">
        <v>0</v>
      </c>
      <c r="W855">
        <v>0</v>
      </c>
      <c r="X855">
        <v>0</v>
      </c>
      <c r="AC855">
        <v>0</v>
      </c>
      <c r="AE855">
        <v>0</v>
      </c>
      <c r="AF855">
        <v>2</v>
      </c>
      <c r="AG855">
        <v>0</v>
      </c>
      <c r="AH855">
        <v>0</v>
      </c>
      <c r="AI855">
        <v>0</v>
      </c>
      <c r="AM855">
        <v>0</v>
      </c>
      <c r="AR855" t="s">
        <v>3249</v>
      </c>
      <c r="AS855" t="s">
        <v>1680</v>
      </c>
      <c r="AT855">
        <v>2025</v>
      </c>
      <c r="AU855">
        <v>5</v>
      </c>
      <c r="AV855" t="s">
        <v>78</v>
      </c>
      <c r="AX855" t="s">
        <v>3325</v>
      </c>
    </row>
    <row r="856" spans="1:50">
      <c r="A856">
        <v>77</v>
      </c>
      <c r="B856">
        <v>33</v>
      </c>
      <c r="C856" t="s">
        <v>74</v>
      </c>
      <c r="D856" t="s">
        <v>3211</v>
      </c>
      <c r="E856" t="s">
        <v>3212</v>
      </c>
      <c r="F856">
        <v>4054</v>
      </c>
      <c r="G856" s="23" t="s">
        <v>3818</v>
      </c>
      <c r="H856" t="s">
        <v>3213</v>
      </c>
      <c r="I856" s="2"/>
      <c r="J856" t="s">
        <v>3214</v>
      </c>
      <c r="K856" s="149">
        <v>0</v>
      </c>
      <c r="L856" s="149">
        <v>411840</v>
      </c>
      <c r="M856" s="149">
        <v>78250</v>
      </c>
      <c r="N856" s="149">
        <v>490090</v>
      </c>
      <c r="O856">
        <v>0</v>
      </c>
      <c r="P856">
        <v>0</v>
      </c>
      <c r="Q856">
        <v>0</v>
      </c>
      <c r="R856">
        <v>0</v>
      </c>
      <c r="S856">
        <v>0</v>
      </c>
      <c r="T856" t="s">
        <v>77</v>
      </c>
      <c r="U856">
        <v>0</v>
      </c>
      <c r="V856">
        <v>0</v>
      </c>
      <c r="W856">
        <v>0</v>
      </c>
      <c r="X856">
        <v>0</v>
      </c>
      <c r="Y856">
        <v>0</v>
      </c>
      <c r="AC856">
        <v>0</v>
      </c>
      <c r="AE856">
        <v>0</v>
      </c>
      <c r="AF856">
        <v>2</v>
      </c>
      <c r="AG856">
        <v>0</v>
      </c>
      <c r="AH856">
        <v>0</v>
      </c>
      <c r="AI856">
        <v>0</v>
      </c>
      <c r="AM856">
        <v>0</v>
      </c>
      <c r="AR856" t="s">
        <v>3249</v>
      </c>
      <c r="AS856" t="s">
        <v>1680</v>
      </c>
      <c r="AT856">
        <v>2025</v>
      </c>
      <c r="AU856">
        <v>5</v>
      </c>
      <c r="AV856" t="s">
        <v>78</v>
      </c>
      <c r="AX856" t="s">
        <v>3326</v>
      </c>
    </row>
    <row r="857" spans="1:50">
      <c r="A857">
        <v>78</v>
      </c>
      <c r="B857">
        <v>33</v>
      </c>
      <c r="C857" t="s">
        <v>74</v>
      </c>
      <c r="D857" t="s">
        <v>3211</v>
      </c>
      <c r="E857" t="s">
        <v>3212</v>
      </c>
      <c r="F857">
        <v>4055</v>
      </c>
      <c r="G857" s="23" t="s">
        <v>3818</v>
      </c>
      <c r="H857" t="s">
        <v>3215</v>
      </c>
      <c r="I857" t="s">
        <v>3216</v>
      </c>
      <c r="K857" s="149">
        <v>0</v>
      </c>
      <c r="L857" s="149">
        <v>363000</v>
      </c>
      <c r="M857" s="149">
        <v>68970</v>
      </c>
      <c r="N857" s="149">
        <v>431970</v>
      </c>
      <c r="O857">
        <v>0</v>
      </c>
      <c r="P857">
        <v>0</v>
      </c>
      <c r="Q857">
        <v>0</v>
      </c>
      <c r="R857">
        <v>0</v>
      </c>
      <c r="S857">
        <v>0</v>
      </c>
      <c r="T857" t="s">
        <v>77</v>
      </c>
      <c r="U857">
        <v>0</v>
      </c>
      <c r="V857">
        <v>0</v>
      </c>
      <c r="W857">
        <v>0</v>
      </c>
      <c r="X857">
        <v>0</v>
      </c>
      <c r="Y857">
        <v>0</v>
      </c>
      <c r="AC857">
        <v>0</v>
      </c>
      <c r="AE857">
        <v>0</v>
      </c>
      <c r="AF857">
        <v>2</v>
      </c>
      <c r="AG857">
        <v>0</v>
      </c>
      <c r="AH857">
        <v>0</v>
      </c>
      <c r="AI857">
        <v>0</v>
      </c>
      <c r="AM857">
        <v>0</v>
      </c>
      <c r="AR857" t="s">
        <v>3249</v>
      </c>
      <c r="AS857" t="s">
        <v>1680</v>
      </c>
      <c r="AT857">
        <v>2025</v>
      </c>
      <c r="AU857">
        <v>5</v>
      </c>
      <c r="AV857" t="s">
        <v>78</v>
      </c>
      <c r="AX857" t="s">
        <v>3327</v>
      </c>
    </row>
    <row r="858" spans="1:50">
      <c r="A858">
        <v>79</v>
      </c>
      <c r="B858">
        <v>33</v>
      </c>
      <c r="C858" t="s">
        <v>74</v>
      </c>
      <c r="D858" t="s">
        <v>1680</v>
      </c>
      <c r="E858" t="s">
        <v>3139</v>
      </c>
      <c r="F858">
        <v>4056</v>
      </c>
      <c r="G858" s="23" t="s">
        <v>1515</v>
      </c>
      <c r="H858" t="s">
        <v>3217</v>
      </c>
      <c r="K858" s="149">
        <v>0</v>
      </c>
      <c r="L858" s="149">
        <v>20592</v>
      </c>
      <c r="M858" s="149">
        <v>3912</v>
      </c>
      <c r="N858" s="149">
        <v>24504</v>
      </c>
      <c r="O858">
        <v>0</v>
      </c>
      <c r="P858">
        <v>0</v>
      </c>
      <c r="Q858">
        <v>0</v>
      </c>
      <c r="R858">
        <v>0</v>
      </c>
      <c r="S858">
        <v>0</v>
      </c>
      <c r="T858" t="s">
        <v>77</v>
      </c>
      <c r="U858">
        <v>0</v>
      </c>
      <c r="V858">
        <v>0</v>
      </c>
      <c r="W858">
        <v>0</v>
      </c>
      <c r="X858">
        <v>0</v>
      </c>
      <c r="Y858">
        <v>0</v>
      </c>
      <c r="AC858">
        <v>0</v>
      </c>
      <c r="AE858">
        <v>0</v>
      </c>
      <c r="AF858">
        <v>2</v>
      </c>
      <c r="AG858">
        <v>0</v>
      </c>
      <c r="AH858">
        <v>0</v>
      </c>
      <c r="AI858">
        <v>0</v>
      </c>
      <c r="AM858">
        <v>0</v>
      </c>
      <c r="AR858" t="s">
        <v>3249</v>
      </c>
      <c r="AS858" t="s">
        <v>1680</v>
      </c>
      <c r="AT858">
        <v>2025</v>
      </c>
      <c r="AU858">
        <v>5</v>
      </c>
      <c r="AV858" t="s">
        <v>78</v>
      </c>
      <c r="AX858" t="s">
        <v>3328</v>
      </c>
    </row>
    <row r="859" spans="1:50">
      <c r="A859">
        <v>80</v>
      </c>
      <c r="B859">
        <v>33</v>
      </c>
      <c r="C859" t="s">
        <v>74</v>
      </c>
      <c r="D859" t="s">
        <v>1988</v>
      </c>
      <c r="E859" t="s">
        <v>1989</v>
      </c>
      <c r="F859">
        <v>4057</v>
      </c>
      <c r="G859" s="23" t="s">
        <v>1515</v>
      </c>
      <c r="H859" t="s">
        <v>3218</v>
      </c>
      <c r="I859" s="2">
        <v>45694.651250000003</v>
      </c>
      <c r="K859" s="149">
        <v>0</v>
      </c>
      <c r="L859" s="149">
        <v>1675600</v>
      </c>
      <c r="M859" s="149">
        <v>318364</v>
      </c>
      <c r="N859" s="149">
        <v>1993964</v>
      </c>
      <c r="O859">
        <v>0</v>
      </c>
      <c r="P859">
        <v>0</v>
      </c>
      <c r="Q859">
        <v>0</v>
      </c>
      <c r="R859">
        <v>0</v>
      </c>
      <c r="S859">
        <v>0</v>
      </c>
      <c r="T859" t="s">
        <v>77</v>
      </c>
      <c r="U859">
        <v>0</v>
      </c>
      <c r="V859">
        <v>0</v>
      </c>
      <c r="W859">
        <v>0</v>
      </c>
      <c r="X859">
        <v>0</v>
      </c>
      <c r="AC859">
        <v>0</v>
      </c>
      <c r="AE859">
        <v>0</v>
      </c>
      <c r="AF859">
        <v>2</v>
      </c>
      <c r="AG859">
        <v>0</v>
      </c>
      <c r="AH859">
        <v>0</v>
      </c>
      <c r="AI859">
        <v>0</v>
      </c>
      <c r="AM859">
        <v>0</v>
      </c>
      <c r="AR859" t="s">
        <v>3249</v>
      </c>
      <c r="AS859" t="s">
        <v>1680</v>
      </c>
      <c r="AT859">
        <v>2025</v>
      </c>
      <c r="AU859">
        <v>5</v>
      </c>
      <c r="AV859" t="s">
        <v>78</v>
      </c>
      <c r="AX859" t="s">
        <v>3329</v>
      </c>
    </row>
    <row r="860" spans="1:50">
      <c r="A860">
        <v>81</v>
      </c>
      <c r="B860">
        <v>33</v>
      </c>
      <c r="C860" t="s">
        <v>74</v>
      </c>
      <c r="D860" t="s">
        <v>1222</v>
      </c>
      <c r="E860" t="s">
        <v>1223</v>
      </c>
      <c r="F860">
        <v>4058</v>
      </c>
      <c r="G860" s="23" t="s">
        <v>3819</v>
      </c>
      <c r="H860" t="s">
        <v>3219</v>
      </c>
      <c r="I860" s="2">
        <v>45694.661064814813</v>
      </c>
      <c r="K860" s="149">
        <v>0</v>
      </c>
      <c r="L860" s="149">
        <v>13190320</v>
      </c>
      <c r="M860" s="149">
        <v>2506160</v>
      </c>
      <c r="N860" s="149">
        <v>15696480</v>
      </c>
      <c r="O860">
        <v>0</v>
      </c>
      <c r="P860">
        <v>0</v>
      </c>
      <c r="Q860">
        <v>0</v>
      </c>
      <c r="R860">
        <v>0</v>
      </c>
      <c r="S860">
        <v>0</v>
      </c>
      <c r="T860" t="s">
        <v>77</v>
      </c>
      <c r="U860">
        <v>0</v>
      </c>
      <c r="V860">
        <v>0</v>
      </c>
      <c r="W860">
        <v>0</v>
      </c>
      <c r="X860">
        <v>0</v>
      </c>
      <c r="AC860">
        <v>0</v>
      </c>
      <c r="AE860">
        <v>0</v>
      </c>
      <c r="AF860">
        <v>2</v>
      </c>
      <c r="AG860">
        <v>0</v>
      </c>
      <c r="AH860">
        <v>0</v>
      </c>
      <c r="AI860">
        <v>0</v>
      </c>
      <c r="AM860">
        <v>0</v>
      </c>
      <c r="AR860" t="s">
        <v>3249</v>
      </c>
      <c r="AS860" t="s">
        <v>1680</v>
      </c>
      <c r="AT860">
        <v>2025</v>
      </c>
      <c r="AU860">
        <v>5</v>
      </c>
      <c r="AV860" t="s">
        <v>78</v>
      </c>
      <c r="AX860" t="s">
        <v>3330</v>
      </c>
    </row>
    <row r="861" spans="1:50">
      <c r="A861">
        <v>82</v>
      </c>
      <c r="B861">
        <v>33</v>
      </c>
      <c r="C861" t="s">
        <v>74</v>
      </c>
      <c r="D861" t="s">
        <v>2509</v>
      </c>
      <c r="E861" t="s">
        <v>2510</v>
      </c>
      <c r="F861">
        <v>4059</v>
      </c>
      <c r="G861" s="23" t="s">
        <v>3819</v>
      </c>
      <c r="H861" t="s">
        <v>3220</v>
      </c>
      <c r="I861" t="s">
        <v>3221</v>
      </c>
      <c r="K861" s="149">
        <v>0</v>
      </c>
      <c r="L861" s="149">
        <v>193120</v>
      </c>
      <c r="M861" s="149">
        <v>36693</v>
      </c>
      <c r="N861" s="149">
        <v>229813</v>
      </c>
      <c r="O861">
        <v>0</v>
      </c>
      <c r="P861">
        <v>0</v>
      </c>
      <c r="Q861">
        <v>0</v>
      </c>
      <c r="R861">
        <v>0</v>
      </c>
      <c r="S861">
        <v>0</v>
      </c>
      <c r="T861" t="s">
        <v>77</v>
      </c>
      <c r="U861">
        <v>0</v>
      </c>
      <c r="V861">
        <v>0</v>
      </c>
      <c r="W861">
        <v>0</v>
      </c>
      <c r="X861">
        <v>0</v>
      </c>
      <c r="Y861">
        <v>0</v>
      </c>
      <c r="AC861">
        <v>0</v>
      </c>
      <c r="AE861">
        <v>0</v>
      </c>
      <c r="AF861">
        <v>2</v>
      </c>
      <c r="AG861">
        <v>0</v>
      </c>
      <c r="AH861">
        <v>0</v>
      </c>
      <c r="AI861">
        <v>0</v>
      </c>
      <c r="AM861">
        <v>0</v>
      </c>
      <c r="AR861" t="s">
        <v>3249</v>
      </c>
      <c r="AS861" t="s">
        <v>1680</v>
      </c>
      <c r="AT861">
        <v>2025</v>
      </c>
      <c r="AU861">
        <v>5</v>
      </c>
      <c r="AV861" t="s">
        <v>78</v>
      </c>
      <c r="AX861" t="s">
        <v>3331</v>
      </c>
    </row>
    <row r="862" spans="1:50">
      <c r="A862">
        <v>83</v>
      </c>
      <c r="B862">
        <v>33</v>
      </c>
      <c r="C862" t="s">
        <v>74</v>
      </c>
      <c r="D862" t="s">
        <v>1680</v>
      </c>
      <c r="E862" t="s">
        <v>3139</v>
      </c>
      <c r="F862">
        <v>4060</v>
      </c>
      <c r="G862" s="23" t="s">
        <v>3819</v>
      </c>
      <c r="H862" t="s">
        <v>3222</v>
      </c>
      <c r="I862" s="2"/>
      <c r="K862" s="149">
        <v>0</v>
      </c>
      <c r="L862" s="149">
        <v>31920</v>
      </c>
      <c r="M862" s="149">
        <v>6065</v>
      </c>
      <c r="N862" s="149">
        <v>37985</v>
      </c>
      <c r="O862">
        <v>0</v>
      </c>
      <c r="P862">
        <v>0</v>
      </c>
      <c r="Q862">
        <v>0</v>
      </c>
      <c r="R862">
        <v>0</v>
      </c>
      <c r="S862">
        <v>0</v>
      </c>
      <c r="T862" t="s">
        <v>77</v>
      </c>
      <c r="U862">
        <v>0</v>
      </c>
      <c r="V862">
        <v>0</v>
      </c>
      <c r="W862">
        <v>0</v>
      </c>
      <c r="X862">
        <v>0</v>
      </c>
      <c r="Y862">
        <v>0</v>
      </c>
      <c r="AC862">
        <v>0</v>
      </c>
      <c r="AE862">
        <v>0</v>
      </c>
      <c r="AF862">
        <v>2</v>
      </c>
      <c r="AG862">
        <v>0</v>
      </c>
      <c r="AH862">
        <v>0</v>
      </c>
      <c r="AI862">
        <v>0</v>
      </c>
      <c r="AM862">
        <v>0</v>
      </c>
      <c r="AR862" t="s">
        <v>3249</v>
      </c>
      <c r="AS862" t="s">
        <v>1680</v>
      </c>
      <c r="AT862">
        <v>2025</v>
      </c>
      <c r="AU862">
        <v>5</v>
      </c>
      <c r="AV862" t="s">
        <v>78</v>
      </c>
      <c r="AX862" t="s">
        <v>3332</v>
      </c>
    </row>
    <row r="863" spans="1:50">
      <c r="A863">
        <v>84</v>
      </c>
      <c r="B863">
        <v>33</v>
      </c>
      <c r="C863" t="s">
        <v>74</v>
      </c>
      <c r="D863" t="s">
        <v>1353</v>
      </c>
      <c r="E863" t="s">
        <v>1354</v>
      </c>
      <c r="F863">
        <v>4061</v>
      </c>
      <c r="G863" s="23" t="s">
        <v>3819</v>
      </c>
      <c r="H863" t="s">
        <v>3223</v>
      </c>
      <c r="I863" t="s">
        <v>3224</v>
      </c>
      <c r="K863" s="149">
        <v>0</v>
      </c>
      <c r="L863" s="149">
        <v>1202975</v>
      </c>
      <c r="M863" s="149">
        <v>228566</v>
      </c>
      <c r="N863" s="149">
        <v>1431541</v>
      </c>
      <c r="O863">
        <v>0</v>
      </c>
      <c r="P863">
        <v>0</v>
      </c>
      <c r="Q863">
        <v>0</v>
      </c>
      <c r="R863">
        <v>0</v>
      </c>
      <c r="S863">
        <v>0</v>
      </c>
      <c r="T863" t="s">
        <v>77</v>
      </c>
      <c r="U863">
        <v>0</v>
      </c>
      <c r="V863">
        <v>0</v>
      </c>
      <c r="W863">
        <v>0</v>
      </c>
      <c r="X863">
        <v>0</v>
      </c>
      <c r="Y863">
        <v>0</v>
      </c>
      <c r="AC863">
        <v>0</v>
      </c>
      <c r="AE863">
        <v>0</v>
      </c>
      <c r="AF863">
        <v>2</v>
      </c>
      <c r="AG863">
        <v>0</v>
      </c>
      <c r="AH863">
        <v>0</v>
      </c>
      <c r="AI863">
        <v>0</v>
      </c>
      <c r="AM863">
        <v>0</v>
      </c>
      <c r="AR863" t="s">
        <v>3249</v>
      </c>
      <c r="AS863" t="s">
        <v>1680</v>
      </c>
      <c r="AT863">
        <v>2025</v>
      </c>
      <c r="AU863">
        <v>5</v>
      </c>
      <c r="AV863" t="s">
        <v>78</v>
      </c>
      <c r="AX863" t="s">
        <v>3333</v>
      </c>
    </row>
    <row r="864" spans="1:50">
      <c r="A864">
        <v>85</v>
      </c>
      <c r="B864">
        <v>33</v>
      </c>
      <c r="C864" t="s">
        <v>74</v>
      </c>
      <c r="D864" t="s">
        <v>1564</v>
      </c>
      <c r="E864" t="s">
        <v>1565</v>
      </c>
      <c r="F864">
        <v>4062</v>
      </c>
      <c r="G864" s="23" t="s">
        <v>3819</v>
      </c>
      <c r="H864" t="s">
        <v>3225</v>
      </c>
      <c r="I864" s="2" t="s">
        <v>3226</v>
      </c>
      <c r="K864" s="149">
        <v>0</v>
      </c>
      <c r="L864" s="149">
        <v>371732</v>
      </c>
      <c r="M864" s="149">
        <v>70629</v>
      </c>
      <c r="N864" s="149">
        <v>442361</v>
      </c>
      <c r="O864">
        <v>0</v>
      </c>
      <c r="P864">
        <v>0</v>
      </c>
      <c r="Q864">
        <v>0</v>
      </c>
      <c r="R864">
        <v>0</v>
      </c>
      <c r="S864">
        <v>0</v>
      </c>
      <c r="T864" t="s">
        <v>77</v>
      </c>
      <c r="U864">
        <v>0</v>
      </c>
      <c r="V864">
        <v>0</v>
      </c>
      <c r="W864">
        <v>0</v>
      </c>
      <c r="X864">
        <v>0</v>
      </c>
      <c r="Y864">
        <v>0</v>
      </c>
      <c r="AC864">
        <v>0</v>
      </c>
      <c r="AE864">
        <v>0</v>
      </c>
      <c r="AF864">
        <v>2</v>
      </c>
      <c r="AG864">
        <v>0</v>
      </c>
      <c r="AH864">
        <v>0</v>
      </c>
      <c r="AI864">
        <v>0</v>
      </c>
      <c r="AM864">
        <v>0</v>
      </c>
      <c r="AR864" t="s">
        <v>3249</v>
      </c>
      <c r="AS864" t="s">
        <v>1680</v>
      </c>
      <c r="AT864">
        <v>2025</v>
      </c>
      <c r="AU864">
        <v>5</v>
      </c>
      <c r="AV864" t="s">
        <v>78</v>
      </c>
      <c r="AX864" t="s">
        <v>3334</v>
      </c>
    </row>
    <row r="865" spans="1:50">
      <c r="A865">
        <v>86</v>
      </c>
      <c r="B865">
        <v>33</v>
      </c>
      <c r="C865" t="s">
        <v>74</v>
      </c>
      <c r="D865" t="s">
        <v>1564</v>
      </c>
      <c r="E865" t="s">
        <v>1565</v>
      </c>
      <c r="F865">
        <v>4063</v>
      </c>
      <c r="G865" s="23" t="s">
        <v>3819</v>
      </c>
      <c r="H865" t="s">
        <v>3227</v>
      </c>
      <c r="I865" t="s">
        <v>3226</v>
      </c>
      <c r="K865" s="149">
        <v>0</v>
      </c>
      <c r="L865" s="149">
        <v>18820</v>
      </c>
      <c r="M865" s="149">
        <v>3576</v>
      </c>
      <c r="N865" s="149">
        <v>22396</v>
      </c>
      <c r="O865">
        <v>0</v>
      </c>
      <c r="P865">
        <v>0</v>
      </c>
      <c r="Q865">
        <v>0</v>
      </c>
      <c r="R865">
        <v>0</v>
      </c>
      <c r="S865">
        <v>0</v>
      </c>
      <c r="T865" t="s">
        <v>77</v>
      </c>
      <c r="U865">
        <v>0</v>
      </c>
      <c r="V865">
        <v>0</v>
      </c>
      <c r="W865">
        <v>0</v>
      </c>
      <c r="X865">
        <v>0</v>
      </c>
      <c r="Y865">
        <v>0</v>
      </c>
      <c r="AC865">
        <v>0</v>
      </c>
      <c r="AE865">
        <v>0</v>
      </c>
      <c r="AF865">
        <v>2</v>
      </c>
      <c r="AG865">
        <v>0</v>
      </c>
      <c r="AH865">
        <v>0</v>
      </c>
      <c r="AI865">
        <v>0</v>
      </c>
      <c r="AM865">
        <v>0</v>
      </c>
      <c r="AR865" t="s">
        <v>3249</v>
      </c>
      <c r="AS865" t="s">
        <v>1680</v>
      </c>
      <c r="AT865">
        <v>2025</v>
      </c>
      <c r="AU865">
        <v>5</v>
      </c>
      <c r="AV865" t="s">
        <v>78</v>
      </c>
      <c r="AX865" t="s">
        <v>3335</v>
      </c>
    </row>
    <row r="866" spans="1:50">
      <c r="A866">
        <v>87</v>
      </c>
      <c r="B866">
        <v>33</v>
      </c>
      <c r="C866" t="s">
        <v>74</v>
      </c>
      <c r="D866" t="s">
        <v>1588</v>
      </c>
      <c r="E866" t="s">
        <v>1589</v>
      </c>
      <c r="F866">
        <v>4064</v>
      </c>
      <c r="G866" s="23" t="s">
        <v>3819</v>
      </c>
      <c r="H866" t="s">
        <v>3228</v>
      </c>
      <c r="I866" s="2" t="s">
        <v>3229</v>
      </c>
      <c r="K866" s="149">
        <v>0</v>
      </c>
      <c r="L866" s="149">
        <v>2685545</v>
      </c>
      <c r="M866" s="149">
        <v>510254</v>
      </c>
      <c r="N866" s="149">
        <v>3195799</v>
      </c>
      <c r="O866">
        <v>0</v>
      </c>
      <c r="P866">
        <v>0</v>
      </c>
      <c r="Q866">
        <v>0</v>
      </c>
      <c r="R866">
        <v>0</v>
      </c>
      <c r="S866">
        <v>0</v>
      </c>
      <c r="T866" t="s">
        <v>77</v>
      </c>
      <c r="U866">
        <v>0</v>
      </c>
      <c r="V866">
        <v>0</v>
      </c>
      <c r="W866">
        <v>0</v>
      </c>
      <c r="X866">
        <v>0</v>
      </c>
      <c r="Y866">
        <v>0</v>
      </c>
      <c r="AC866">
        <v>0</v>
      </c>
      <c r="AE866">
        <v>0</v>
      </c>
      <c r="AF866">
        <v>2</v>
      </c>
      <c r="AG866">
        <v>0</v>
      </c>
      <c r="AH866">
        <v>0</v>
      </c>
      <c r="AI866">
        <v>0</v>
      </c>
      <c r="AM866">
        <v>0</v>
      </c>
      <c r="AR866" t="s">
        <v>3249</v>
      </c>
      <c r="AS866" t="s">
        <v>1680</v>
      </c>
      <c r="AT866">
        <v>2025</v>
      </c>
      <c r="AU866">
        <v>5</v>
      </c>
      <c r="AV866" t="s">
        <v>78</v>
      </c>
      <c r="AX866" t="s">
        <v>3336</v>
      </c>
    </row>
    <row r="867" spans="1:50">
      <c r="A867">
        <v>88</v>
      </c>
      <c r="B867">
        <v>33</v>
      </c>
      <c r="C867" t="s">
        <v>74</v>
      </c>
      <c r="D867" t="s">
        <v>1573</v>
      </c>
      <c r="E867" t="s">
        <v>1574</v>
      </c>
      <c r="F867">
        <v>4065</v>
      </c>
      <c r="G867" s="23" t="s">
        <v>3819</v>
      </c>
      <c r="H867" t="s">
        <v>3230</v>
      </c>
      <c r="I867" t="s">
        <v>3205</v>
      </c>
      <c r="K867" s="149">
        <v>0</v>
      </c>
      <c r="L867" s="149">
        <v>447279</v>
      </c>
      <c r="M867" s="149">
        <v>84982</v>
      </c>
      <c r="N867" s="149">
        <v>532261</v>
      </c>
      <c r="O867">
        <v>0</v>
      </c>
      <c r="P867">
        <v>0</v>
      </c>
      <c r="Q867">
        <v>0</v>
      </c>
      <c r="R867">
        <v>0</v>
      </c>
      <c r="S867">
        <v>0</v>
      </c>
      <c r="T867" t="s">
        <v>77</v>
      </c>
      <c r="U867">
        <v>0</v>
      </c>
      <c r="V867">
        <v>0</v>
      </c>
      <c r="W867">
        <v>0</v>
      </c>
      <c r="X867">
        <v>0</v>
      </c>
      <c r="Y867">
        <v>0</v>
      </c>
      <c r="AC867">
        <v>0</v>
      </c>
      <c r="AE867">
        <v>0</v>
      </c>
      <c r="AF867">
        <v>2</v>
      </c>
      <c r="AG867">
        <v>0</v>
      </c>
      <c r="AH867">
        <v>0</v>
      </c>
      <c r="AI867">
        <v>0</v>
      </c>
      <c r="AM867">
        <v>0</v>
      </c>
      <c r="AR867" t="s">
        <v>3249</v>
      </c>
      <c r="AS867" t="s">
        <v>1680</v>
      </c>
      <c r="AT867">
        <v>2025</v>
      </c>
      <c r="AU867">
        <v>5</v>
      </c>
      <c r="AV867" t="s">
        <v>78</v>
      </c>
      <c r="AX867" t="s">
        <v>3337</v>
      </c>
    </row>
    <row r="868" spans="1:50">
      <c r="A868">
        <v>89</v>
      </c>
      <c r="B868">
        <v>33</v>
      </c>
      <c r="C868" t="s">
        <v>74</v>
      </c>
      <c r="D868" t="s">
        <v>1571</v>
      </c>
      <c r="E868" t="s">
        <v>1572</v>
      </c>
      <c r="F868">
        <v>4066</v>
      </c>
      <c r="G868" s="23" t="s">
        <v>1510</v>
      </c>
      <c r="H868" t="s">
        <v>3231</v>
      </c>
      <c r="I868" s="2"/>
      <c r="J868" s="2">
        <v>45783.000810185185</v>
      </c>
      <c r="K868" s="149">
        <v>0</v>
      </c>
      <c r="L868" s="149">
        <v>5824082</v>
      </c>
      <c r="M868" s="149">
        <v>1106576</v>
      </c>
      <c r="N868" s="149">
        <v>6930658</v>
      </c>
      <c r="O868">
        <v>0</v>
      </c>
      <c r="P868">
        <v>0</v>
      </c>
      <c r="Q868">
        <v>0</v>
      </c>
      <c r="R868">
        <v>0</v>
      </c>
      <c r="S868">
        <v>0</v>
      </c>
      <c r="T868" t="s">
        <v>77</v>
      </c>
      <c r="U868">
        <v>0</v>
      </c>
      <c r="V868">
        <v>0</v>
      </c>
      <c r="W868">
        <v>0</v>
      </c>
      <c r="X868">
        <v>0</v>
      </c>
      <c r="AC868">
        <v>0</v>
      </c>
      <c r="AE868">
        <v>0</v>
      </c>
      <c r="AF868">
        <v>2</v>
      </c>
      <c r="AG868">
        <v>0</v>
      </c>
      <c r="AH868">
        <v>0</v>
      </c>
      <c r="AI868">
        <v>0</v>
      </c>
      <c r="AM868">
        <v>0</v>
      </c>
      <c r="AR868" t="s">
        <v>3249</v>
      </c>
      <c r="AS868" t="s">
        <v>1680</v>
      </c>
      <c r="AT868">
        <v>2025</v>
      </c>
      <c r="AU868">
        <v>5</v>
      </c>
      <c r="AV868" t="s">
        <v>78</v>
      </c>
      <c r="AX868" t="s">
        <v>3338</v>
      </c>
    </row>
    <row r="869" spans="1:50">
      <c r="A869">
        <v>90</v>
      </c>
      <c r="B869">
        <v>33</v>
      </c>
      <c r="C869" t="s">
        <v>74</v>
      </c>
      <c r="D869" t="s">
        <v>1571</v>
      </c>
      <c r="E869" t="s">
        <v>1572</v>
      </c>
      <c r="F869">
        <v>4067</v>
      </c>
      <c r="G869" s="23" t="s">
        <v>1510</v>
      </c>
      <c r="H869" t="s">
        <v>3232</v>
      </c>
      <c r="I869" t="s">
        <v>3233</v>
      </c>
      <c r="K869" s="149">
        <v>0</v>
      </c>
      <c r="L869" s="149">
        <v>6541500</v>
      </c>
      <c r="M869" s="149">
        <v>1242885</v>
      </c>
      <c r="N869" s="149">
        <v>7784385</v>
      </c>
      <c r="O869">
        <v>0</v>
      </c>
      <c r="P869">
        <v>0</v>
      </c>
      <c r="Q869">
        <v>0</v>
      </c>
      <c r="R869">
        <v>0</v>
      </c>
      <c r="S869">
        <v>0</v>
      </c>
      <c r="T869" t="s">
        <v>77</v>
      </c>
      <c r="U869">
        <v>0</v>
      </c>
      <c r="V869">
        <v>0</v>
      </c>
      <c r="W869">
        <v>0</v>
      </c>
      <c r="X869">
        <v>0</v>
      </c>
      <c r="AC869">
        <v>0</v>
      </c>
      <c r="AE869">
        <v>0</v>
      </c>
      <c r="AF869">
        <v>2</v>
      </c>
      <c r="AG869">
        <v>0</v>
      </c>
      <c r="AH869">
        <v>0</v>
      </c>
      <c r="AI869">
        <v>0</v>
      </c>
      <c r="AM869">
        <v>0</v>
      </c>
      <c r="AR869" t="s">
        <v>3249</v>
      </c>
      <c r="AS869" t="s">
        <v>1680</v>
      </c>
      <c r="AT869">
        <v>2025</v>
      </c>
      <c r="AU869">
        <v>5</v>
      </c>
      <c r="AV869" t="s">
        <v>78</v>
      </c>
      <c r="AX869" t="s">
        <v>3339</v>
      </c>
    </row>
    <row r="870" spans="1:50">
      <c r="A870">
        <v>91</v>
      </c>
      <c r="B870">
        <v>33</v>
      </c>
      <c r="C870" t="s">
        <v>74</v>
      </c>
      <c r="D870" t="s">
        <v>1571</v>
      </c>
      <c r="E870" t="s">
        <v>1572</v>
      </c>
      <c r="F870">
        <v>4068</v>
      </c>
      <c r="G870" s="23" t="s">
        <v>1514</v>
      </c>
      <c r="H870" t="s">
        <v>3234</v>
      </c>
      <c r="I870" s="2" t="s">
        <v>3235</v>
      </c>
      <c r="K870" s="149">
        <v>0</v>
      </c>
      <c r="L870" s="149">
        <v>3926212</v>
      </c>
      <c r="M870" s="149">
        <v>745981</v>
      </c>
      <c r="N870" s="149">
        <v>4672193</v>
      </c>
      <c r="O870">
        <v>0</v>
      </c>
      <c r="P870">
        <v>0</v>
      </c>
      <c r="Q870">
        <v>0</v>
      </c>
      <c r="R870">
        <v>0</v>
      </c>
      <c r="S870">
        <v>0</v>
      </c>
      <c r="T870" t="s">
        <v>77</v>
      </c>
      <c r="U870">
        <v>0</v>
      </c>
      <c r="V870">
        <v>0</v>
      </c>
      <c r="W870">
        <v>0</v>
      </c>
      <c r="X870">
        <v>0</v>
      </c>
      <c r="AC870">
        <v>0</v>
      </c>
      <c r="AE870">
        <v>0</v>
      </c>
      <c r="AF870">
        <v>2</v>
      </c>
      <c r="AG870">
        <v>0</v>
      </c>
      <c r="AH870">
        <v>0</v>
      </c>
      <c r="AI870">
        <v>0</v>
      </c>
      <c r="AM870">
        <v>0</v>
      </c>
      <c r="AR870" t="s">
        <v>3249</v>
      </c>
      <c r="AS870" t="s">
        <v>1680</v>
      </c>
      <c r="AT870">
        <v>2025</v>
      </c>
      <c r="AU870">
        <v>5</v>
      </c>
      <c r="AV870" t="s">
        <v>78</v>
      </c>
      <c r="AX870" t="s">
        <v>3340</v>
      </c>
    </row>
    <row r="871" spans="1:50">
      <c r="A871">
        <v>92</v>
      </c>
      <c r="B871">
        <v>33</v>
      </c>
      <c r="C871" t="s">
        <v>74</v>
      </c>
      <c r="D871" t="s">
        <v>1222</v>
      </c>
      <c r="E871" t="s">
        <v>1223</v>
      </c>
      <c r="F871">
        <v>4074</v>
      </c>
      <c r="G871" s="23" t="s">
        <v>1514</v>
      </c>
      <c r="H871" t="s">
        <v>3236</v>
      </c>
      <c r="I871" s="2">
        <v>45722.461354166669</v>
      </c>
      <c r="K871" s="149">
        <v>0</v>
      </c>
      <c r="L871" s="149">
        <v>5154320</v>
      </c>
      <c r="M871" s="149">
        <v>979321</v>
      </c>
      <c r="N871" s="149">
        <v>6133641</v>
      </c>
      <c r="O871">
        <v>0</v>
      </c>
      <c r="P871">
        <v>0</v>
      </c>
      <c r="Q871">
        <v>0</v>
      </c>
      <c r="R871">
        <v>0</v>
      </c>
      <c r="S871">
        <v>0</v>
      </c>
      <c r="T871" t="s">
        <v>77</v>
      </c>
      <c r="U871">
        <v>0</v>
      </c>
      <c r="V871">
        <v>0</v>
      </c>
      <c r="W871">
        <v>0</v>
      </c>
      <c r="X871">
        <v>0</v>
      </c>
      <c r="AC871">
        <v>0</v>
      </c>
      <c r="AE871">
        <v>0</v>
      </c>
      <c r="AF871">
        <v>2</v>
      </c>
      <c r="AG871">
        <v>0</v>
      </c>
      <c r="AH871">
        <v>0</v>
      </c>
      <c r="AI871">
        <v>0</v>
      </c>
      <c r="AM871">
        <v>0</v>
      </c>
      <c r="AR871" t="s">
        <v>3249</v>
      </c>
      <c r="AS871" t="s">
        <v>1680</v>
      </c>
      <c r="AT871">
        <v>2025</v>
      </c>
      <c r="AU871">
        <v>5</v>
      </c>
      <c r="AV871" t="s">
        <v>78</v>
      </c>
      <c r="AX871" t="s">
        <v>3341</v>
      </c>
    </row>
    <row r="872" spans="1:50">
      <c r="A872">
        <v>93</v>
      </c>
      <c r="B872">
        <v>61</v>
      </c>
      <c r="C872" t="s">
        <v>74</v>
      </c>
      <c r="D872" t="s">
        <v>1592</v>
      </c>
      <c r="E872" t="s">
        <v>1593</v>
      </c>
      <c r="F872">
        <v>815</v>
      </c>
      <c r="G872" s="23">
        <v>45783</v>
      </c>
      <c r="H872" s="2">
        <v>45813.509016203701</v>
      </c>
      <c r="K872" s="149">
        <v>0</v>
      </c>
      <c r="L872" s="149">
        <v>-18270</v>
      </c>
      <c r="M872" s="149">
        <v>-3471</v>
      </c>
      <c r="N872" s="149">
        <v>-21741</v>
      </c>
      <c r="O872">
        <v>0</v>
      </c>
      <c r="P872">
        <v>0</v>
      </c>
      <c r="Q872">
        <v>0</v>
      </c>
      <c r="R872">
        <v>0</v>
      </c>
      <c r="S872">
        <v>0</v>
      </c>
      <c r="T872" t="s">
        <v>77</v>
      </c>
      <c r="U872">
        <v>0</v>
      </c>
      <c r="V872">
        <v>0</v>
      </c>
      <c r="W872">
        <v>0</v>
      </c>
      <c r="X872">
        <v>0</v>
      </c>
      <c r="Y872">
        <v>33</v>
      </c>
      <c r="Z872">
        <v>3917</v>
      </c>
      <c r="AC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M872">
        <v>0</v>
      </c>
      <c r="AR872" t="s">
        <v>3249</v>
      </c>
      <c r="AS872" t="s">
        <v>1680</v>
      </c>
      <c r="AT872">
        <v>2025</v>
      </c>
      <c r="AU872">
        <v>5</v>
      </c>
      <c r="AV872" t="s">
        <v>318</v>
      </c>
      <c r="AX872" t="s">
        <v>3342</v>
      </c>
    </row>
    <row r="873" spans="1:50">
      <c r="A873">
        <v>94</v>
      </c>
      <c r="B873">
        <v>61</v>
      </c>
      <c r="C873" t="s">
        <v>74</v>
      </c>
      <c r="D873" t="s">
        <v>1581</v>
      </c>
      <c r="E873" t="s">
        <v>1582</v>
      </c>
      <c r="F873">
        <v>816</v>
      </c>
      <c r="G873" s="23">
        <v>45784</v>
      </c>
      <c r="H873" s="2">
        <v>45843.678055555552</v>
      </c>
      <c r="I873" s="2"/>
      <c r="J873" t="s">
        <v>3134</v>
      </c>
      <c r="K873" s="149">
        <v>0</v>
      </c>
      <c r="L873" s="149">
        <v>-26300</v>
      </c>
      <c r="M873" s="149">
        <v>-4997</v>
      </c>
      <c r="N873" s="149">
        <v>-31297</v>
      </c>
      <c r="O873">
        <v>0</v>
      </c>
      <c r="P873">
        <v>0</v>
      </c>
      <c r="Q873">
        <v>0</v>
      </c>
      <c r="R873">
        <v>0</v>
      </c>
      <c r="S873">
        <v>0</v>
      </c>
      <c r="T873" t="s">
        <v>77</v>
      </c>
      <c r="U873">
        <v>0</v>
      </c>
      <c r="V873">
        <v>0</v>
      </c>
      <c r="W873">
        <v>0</v>
      </c>
      <c r="X873">
        <v>0</v>
      </c>
      <c r="Y873">
        <v>33</v>
      </c>
      <c r="Z873">
        <v>3992</v>
      </c>
      <c r="AC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M873">
        <v>0</v>
      </c>
      <c r="AR873" t="s">
        <v>3249</v>
      </c>
      <c r="AS873" t="s">
        <v>1680</v>
      </c>
      <c r="AT873">
        <v>2025</v>
      </c>
      <c r="AU873">
        <v>5</v>
      </c>
      <c r="AV873" t="s">
        <v>318</v>
      </c>
      <c r="AX873" t="s">
        <v>3343</v>
      </c>
    </row>
    <row r="874" spans="1:50">
      <c r="A874">
        <v>95</v>
      </c>
      <c r="B874">
        <v>61</v>
      </c>
      <c r="C874" t="s">
        <v>74</v>
      </c>
      <c r="D874" t="s">
        <v>1785</v>
      </c>
      <c r="E874" t="s">
        <v>1786</v>
      </c>
      <c r="F874">
        <v>817</v>
      </c>
      <c r="G874" s="23">
        <v>45785</v>
      </c>
      <c r="H874" s="2">
        <v>45874.53738425926</v>
      </c>
      <c r="K874" s="149">
        <v>0</v>
      </c>
      <c r="L874" s="149">
        <v>-253086</v>
      </c>
      <c r="M874" s="149">
        <v>-48085</v>
      </c>
      <c r="N874" s="149">
        <v>-301171</v>
      </c>
      <c r="O874">
        <v>0</v>
      </c>
      <c r="P874">
        <v>0</v>
      </c>
      <c r="Q874">
        <v>0</v>
      </c>
      <c r="R874">
        <v>0</v>
      </c>
      <c r="S874">
        <v>0</v>
      </c>
      <c r="T874" t="s">
        <v>77</v>
      </c>
      <c r="U874">
        <v>0</v>
      </c>
      <c r="V874">
        <v>0</v>
      </c>
      <c r="W874">
        <v>0</v>
      </c>
      <c r="X874">
        <v>0</v>
      </c>
      <c r="Y874">
        <v>33</v>
      </c>
      <c r="Z874">
        <v>3997</v>
      </c>
      <c r="AC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M874">
        <v>0</v>
      </c>
      <c r="AR874" t="s">
        <v>3249</v>
      </c>
      <c r="AS874" t="s">
        <v>1680</v>
      </c>
      <c r="AT874">
        <v>2025</v>
      </c>
      <c r="AU874">
        <v>5</v>
      </c>
      <c r="AV874" t="s">
        <v>318</v>
      </c>
      <c r="AX874" t="s">
        <v>3344</v>
      </c>
    </row>
    <row r="875" spans="1:50">
      <c r="A875">
        <v>96</v>
      </c>
      <c r="B875">
        <v>61</v>
      </c>
      <c r="C875" t="s">
        <v>74</v>
      </c>
      <c r="D875" t="s">
        <v>2825</v>
      </c>
      <c r="E875" t="s">
        <v>2826</v>
      </c>
      <c r="F875">
        <v>818</v>
      </c>
      <c r="G875" s="23">
        <v>45785</v>
      </c>
      <c r="H875" s="2">
        <v>45874.641215277778</v>
      </c>
      <c r="I875" s="2"/>
      <c r="K875" s="149">
        <v>0</v>
      </c>
      <c r="L875" s="149">
        <v>-275940</v>
      </c>
      <c r="M875" s="149">
        <v>-52429</v>
      </c>
      <c r="N875" s="149">
        <v>-328369</v>
      </c>
      <c r="O875">
        <v>0</v>
      </c>
      <c r="P875">
        <v>0</v>
      </c>
      <c r="Q875">
        <v>0</v>
      </c>
      <c r="R875">
        <v>0</v>
      </c>
      <c r="S875">
        <v>0</v>
      </c>
      <c r="T875" t="s">
        <v>77</v>
      </c>
      <c r="U875">
        <v>0</v>
      </c>
      <c r="V875">
        <v>0</v>
      </c>
      <c r="W875">
        <v>0</v>
      </c>
      <c r="X875">
        <v>0</v>
      </c>
      <c r="Y875">
        <v>33</v>
      </c>
      <c r="Z875">
        <v>3981</v>
      </c>
      <c r="AC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M875">
        <v>0</v>
      </c>
      <c r="AR875" t="s">
        <v>3249</v>
      </c>
      <c r="AS875" t="s">
        <v>1680</v>
      </c>
      <c r="AT875">
        <v>2025</v>
      </c>
      <c r="AU875">
        <v>5</v>
      </c>
      <c r="AV875" t="s">
        <v>318</v>
      </c>
      <c r="AX875" t="s">
        <v>3345</v>
      </c>
    </row>
    <row r="876" spans="1:50">
      <c r="A876">
        <v>97</v>
      </c>
      <c r="B876">
        <v>61</v>
      </c>
      <c r="C876" t="s">
        <v>74</v>
      </c>
      <c r="D876" t="s">
        <v>1612</v>
      </c>
      <c r="E876" t="s">
        <v>1613</v>
      </c>
      <c r="F876">
        <v>819</v>
      </c>
      <c r="G876" s="23">
        <v>45789</v>
      </c>
      <c r="H876" s="2">
        <v>45996.396423611113</v>
      </c>
      <c r="I876" s="2"/>
      <c r="K876" s="149">
        <v>0</v>
      </c>
      <c r="L876" s="149">
        <v>-39526</v>
      </c>
      <c r="M876" s="149">
        <v>-7510</v>
      </c>
      <c r="N876" s="149">
        <v>-47036</v>
      </c>
      <c r="O876">
        <v>0</v>
      </c>
      <c r="P876">
        <v>0</v>
      </c>
      <c r="Q876">
        <v>0</v>
      </c>
      <c r="R876">
        <v>0</v>
      </c>
      <c r="S876">
        <v>0</v>
      </c>
      <c r="T876" t="s">
        <v>77</v>
      </c>
      <c r="U876">
        <v>0</v>
      </c>
      <c r="V876">
        <v>0</v>
      </c>
      <c r="W876">
        <v>0</v>
      </c>
      <c r="X876">
        <v>0</v>
      </c>
      <c r="Y876">
        <v>33</v>
      </c>
      <c r="Z876">
        <v>3994</v>
      </c>
      <c r="AC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M876">
        <v>0</v>
      </c>
      <c r="AR876" t="s">
        <v>3249</v>
      </c>
      <c r="AS876" t="s">
        <v>1680</v>
      </c>
      <c r="AT876">
        <v>2025</v>
      </c>
      <c r="AU876">
        <v>5</v>
      </c>
      <c r="AV876" t="s">
        <v>318</v>
      </c>
      <c r="AX876" t="s">
        <v>3346</v>
      </c>
    </row>
    <row r="877" spans="1:50">
      <c r="A877">
        <v>98</v>
      </c>
      <c r="B877">
        <v>61</v>
      </c>
      <c r="C877" t="s">
        <v>74</v>
      </c>
      <c r="D877" t="s">
        <v>1222</v>
      </c>
      <c r="E877" t="s">
        <v>1223</v>
      </c>
      <c r="F877">
        <v>820</v>
      </c>
      <c r="G877" s="23">
        <v>45789</v>
      </c>
      <c r="H877" s="2">
        <v>45996.765196759261</v>
      </c>
      <c r="I877" s="2"/>
      <c r="K877" s="149">
        <v>0</v>
      </c>
      <c r="L877" s="149">
        <v>-1266690</v>
      </c>
      <c r="M877" s="149">
        <v>-240671</v>
      </c>
      <c r="N877" s="149">
        <v>-1507361</v>
      </c>
      <c r="O877">
        <v>0</v>
      </c>
      <c r="P877">
        <v>0</v>
      </c>
      <c r="Q877">
        <v>0</v>
      </c>
      <c r="R877">
        <v>0</v>
      </c>
      <c r="S877">
        <v>0</v>
      </c>
      <c r="T877" t="s">
        <v>77</v>
      </c>
      <c r="U877">
        <v>0</v>
      </c>
      <c r="V877">
        <v>0</v>
      </c>
      <c r="W877">
        <v>0</v>
      </c>
      <c r="X877">
        <v>0</v>
      </c>
      <c r="Y877">
        <v>33</v>
      </c>
      <c r="Z877">
        <v>3967</v>
      </c>
      <c r="AC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M877">
        <v>0</v>
      </c>
      <c r="AR877" t="s">
        <v>3249</v>
      </c>
      <c r="AS877" t="s">
        <v>1680</v>
      </c>
      <c r="AT877">
        <v>2025</v>
      </c>
      <c r="AU877">
        <v>5</v>
      </c>
      <c r="AV877" t="s">
        <v>318</v>
      </c>
      <c r="AX877" t="s">
        <v>3347</v>
      </c>
    </row>
    <row r="878" spans="1:50">
      <c r="A878">
        <v>99</v>
      </c>
      <c r="B878">
        <v>61</v>
      </c>
      <c r="C878" t="s">
        <v>74</v>
      </c>
      <c r="D878" t="s">
        <v>1988</v>
      </c>
      <c r="E878" t="s">
        <v>1989</v>
      </c>
      <c r="F878">
        <v>821</v>
      </c>
      <c r="G878" s="23" t="s">
        <v>1509</v>
      </c>
      <c r="H878" t="s">
        <v>3237</v>
      </c>
      <c r="I878" s="2"/>
      <c r="J878" t="s">
        <v>3137</v>
      </c>
      <c r="K878" s="149">
        <v>0</v>
      </c>
      <c r="L878" s="149">
        <v>-837800</v>
      </c>
      <c r="M878" s="149">
        <v>-159182</v>
      </c>
      <c r="N878" s="149">
        <v>-996982</v>
      </c>
      <c r="O878">
        <v>0</v>
      </c>
      <c r="P878">
        <v>0</v>
      </c>
      <c r="Q878">
        <v>0</v>
      </c>
      <c r="R878">
        <v>0</v>
      </c>
      <c r="S878">
        <v>0</v>
      </c>
      <c r="T878" t="s">
        <v>77</v>
      </c>
      <c r="U878">
        <v>0</v>
      </c>
      <c r="V878">
        <v>0</v>
      </c>
      <c r="W878">
        <v>0</v>
      </c>
      <c r="X878">
        <v>0</v>
      </c>
      <c r="Y878">
        <v>33</v>
      </c>
      <c r="Z878">
        <v>4000</v>
      </c>
      <c r="AC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M878">
        <v>0</v>
      </c>
      <c r="AR878" t="s">
        <v>3249</v>
      </c>
      <c r="AS878" t="s">
        <v>1680</v>
      </c>
      <c r="AT878">
        <v>2025</v>
      </c>
      <c r="AU878">
        <v>5</v>
      </c>
      <c r="AV878" t="s">
        <v>318</v>
      </c>
      <c r="AX878" t="s">
        <v>3348</v>
      </c>
    </row>
    <row r="879" spans="1:50">
      <c r="A879">
        <v>100</v>
      </c>
      <c r="B879">
        <v>61</v>
      </c>
      <c r="C879" t="s">
        <v>74</v>
      </c>
      <c r="D879" t="s">
        <v>1353</v>
      </c>
      <c r="E879" t="s">
        <v>1354</v>
      </c>
      <c r="F879">
        <v>822</v>
      </c>
      <c r="G879" s="23" t="s">
        <v>1509</v>
      </c>
      <c r="H879" t="s">
        <v>3238</v>
      </c>
      <c r="I879" s="2"/>
      <c r="K879" s="149">
        <v>0</v>
      </c>
      <c r="L879" s="149">
        <v>-39720</v>
      </c>
      <c r="M879" s="149">
        <v>-7547</v>
      </c>
      <c r="N879" s="149">
        <v>-47267</v>
      </c>
      <c r="O879">
        <v>0</v>
      </c>
      <c r="P879">
        <v>0</v>
      </c>
      <c r="Q879">
        <v>0</v>
      </c>
      <c r="R879">
        <v>0</v>
      </c>
      <c r="S879">
        <v>0</v>
      </c>
      <c r="T879" t="s">
        <v>77</v>
      </c>
      <c r="U879">
        <v>0</v>
      </c>
      <c r="V879">
        <v>0</v>
      </c>
      <c r="W879">
        <v>0</v>
      </c>
      <c r="X879">
        <v>0</v>
      </c>
      <c r="Y879">
        <v>33</v>
      </c>
      <c r="Z879">
        <v>3985</v>
      </c>
      <c r="AC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M879">
        <v>0</v>
      </c>
      <c r="AR879" t="s">
        <v>3249</v>
      </c>
      <c r="AS879" t="s">
        <v>1680</v>
      </c>
      <c r="AT879">
        <v>2025</v>
      </c>
      <c r="AU879">
        <v>5</v>
      </c>
      <c r="AV879" t="s">
        <v>318</v>
      </c>
      <c r="AX879" t="s">
        <v>3349</v>
      </c>
    </row>
    <row r="880" spans="1:50">
      <c r="A880">
        <v>101</v>
      </c>
      <c r="B880">
        <v>61</v>
      </c>
      <c r="C880" t="s">
        <v>74</v>
      </c>
      <c r="D880" t="s">
        <v>2825</v>
      </c>
      <c r="E880" t="s">
        <v>2826</v>
      </c>
      <c r="F880">
        <v>823</v>
      </c>
      <c r="G880" s="23" t="s">
        <v>3817</v>
      </c>
      <c r="H880" t="s">
        <v>3239</v>
      </c>
      <c r="K880" s="149">
        <v>0</v>
      </c>
      <c r="L880" s="149">
        <v>-1044288</v>
      </c>
      <c r="M880" s="149">
        <v>-198415</v>
      </c>
      <c r="N880" s="149">
        <v>-1242703</v>
      </c>
      <c r="O880">
        <v>0</v>
      </c>
      <c r="P880">
        <v>0</v>
      </c>
      <c r="Q880">
        <v>0</v>
      </c>
      <c r="R880">
        <v>0</v>
      </c>
      <c r="S880">
        <v>0</v>
      </c>
      <c r="T880" t="s">
        <v>77</v>
      </c>
      <c r="U880">
        <v>0</v>
      </c>
      <c r="V880">
        <v>0</v>
      </c>
      <c r="W880">
        <v>0</v>
      </c>
      <c r="X880">
        <v>0</v>
      </c>
      <c r="Y880">
        <v>33</v>
      </c>
      <c r="Z880">
        <v>4034</v>
      </c>
      <c r="AC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M880">
        <v>0</v>
      </c>
      <c r="AR880" t="s">
        <v>3249</v>
      </c>
      <c r="AS880" t="s">
        <v>1680</v>
      </c>
      <c r="AT880">
        <v>2025</v>
      </c>
      <c r="AU880">
        <v>5</v>
      </c>
      <c r="AV880" t="s">
        <v>318</v>
      </c>
      <c r="AX880" t="s">
        <v>3350</v>
      </c>
    </row>
    <row r="881" spans="1:50">
      <c r="A881">
        <v>102</v>
      </c>
      <c r="B881">
        <v>61</v>
      </c>
      <c r="C881" t="s">
        <v>74</v>
      </c>
      <c r="D881" t="s">
        <v>2825</v>
      </c>
      <c r="E881" t="s">
        <v>2826</v>
      </c>
      <c r="F881">
        <v>824</v>
      </c>
      <c r="G881" s="23" t="s">
        <v>1514</v>
      </c>
      <c r="H881" t="s">
        <v>3240</v>
      </c>
      <c r="I881" s="2"/>
      <c r="K881" s="149">
        <v>0</v>
      </c>
      <c r="L881" s="149">
        <v>-37640</v>
      </c>
      <c r="M881" s="149">
        <v>-7152</v>
      </c>
      <c r="N881" s="149">
        <v>-44792</v>
      </c>
      <c r="O881">
        <v>0</v>
      </c>
      <c r="P881">
        <v>0</v>
      </c>
      <c r="Q881">
        <v>0</v>
      </c>
      <c r="R881">
        <v>0</v>
      </c>
      <c r="S881">
        <v>0</v>
      </c>
      <c r="T881" t="s">
        <v>77</v>
      </c>
      <c r="U881">
        <v>0</v>
      </c>
      <c r="V881">
        <v>0</v>
      </c>
      <c r="W881">
        <v>0</v>
      </c>
      <c r="X881">
        <v>0</v>
      </c>
      <c r="Y881">
        <v>33</v>
      </c>
      <c r="Z881">
        <v>4035</v>
      </c>
      <c r="AC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M881">
        <v>0</v>
      </c>
      <c r="AR881" t="s">
        <v>3249</v>
      </c>
      <c r="AS881" t="s">
        <v>1680</v>
      </c>
      <c r="AT881">
        <v>2025</v>
      </c>
      <c r="AU881">
        <v>5</v>
      </c>
      <c r="AV881" t="s">
        <v>318</v>
      </c>
      <c r="AX881" t="s">
        <v>3351</v>
      </c>
    </row>
    <row r="882" spans="1:50">
      <c r="A882">
        <v>103</v>
      </c>
      <c r="B882">
        <v>61</v>
      </c>
      <c r="C882" t="s">
        <v>74</v>
      </c>
      <c r="D882" t="s">
        <v>1561</v>
      </c>
      <c r="E882" t="s">
        <v>1562</v>
      </c>
      <c r="F882">
        <v>825</v>
      </c>
      <c r="G882" s="23" t="s">
        <v>1514</v>
      </c>
      <c r="H882" t="s">
        <v>3241</v>
      </c>
      <c r="I882" s="2"/>
      <c r="K882" s="149">
        <v>0</v>
      </c>
      <c r="L882" s="149">
        <v>-1825000</v>
      </c>
      <c r="M882" s="149">
        <v>-346750</v>
      </c>
      <c r="N882" s="149">
        <v>-2171750</v>
      </c>
      <c r="O882">
        <v>0</v>
      </c>
      <c r="P882">
        <v>0</v>
      </c>
      <c r="Q882">
        <v>0</v>
      </c>
      <c r="R882">
        <v>0</v>
      </c>
      <c r="S882">
        <v>0</v>
      </c>
      <c r="T882" t="s">
        <v>77</v>
      </c>
      <c r="U882">
        <v>0</v>
      </c>
      <c r="V882">
        <v>0</v>
      </c>
      <c r="W882">
        <v>0</v>
      </c>
      <c r="X882">
        <v>0</v>
      </c>
      <c r="Y882">
        <v>33</v>
      </c>
      <c r="Z882">
        <v>4007</v>
      </c>
      <c r="AC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M882">
        <v>0</v>
      </c>
      <c r="AR882" t="s">
        <v>3249</v>
      </c>
      <c r="AS882" t="s">
        <v>1680</v>
      </c>
      <c r="AT882">
        <v>2025</v>
      </c>
      <c r="AU882">
        <v>5</v>
      </c>
      <c r="AV882" t="s">
        <v>318</v>
      </c>
      <c r="AX882" t="s">
        <v>3352</v>
      </c>
    </row>
    <row r="883" spans="1:50">
      <c r="A883">
        <v>104</v>
      </c>
      <c r="B883">
        <v>61</v>
      </c>
      <c r="C883" t="s">
        <v>74</v>
      </c>
      <c r="D883" t="s">
        <v>3211</v>
      </c>
      <c r="E883" t="s">
        <v>3212</v>
      </c>
      <c r="F883">
        <v>826</v>
      </c>
      <c r="G883" s="23" t="s">
        <v>3818</v>
      </c>
      <c r="H883" t="s">
        <v>3242</v>
      </c>
      <c r="I883" s="2"/>
      <c r="J883" t="s">
        <v>3214</v>
      </c>
      <c r="K883" s="149">
        <v>0</v>
      </c>
      <c r="L883" s="149">
        <v>-411840</v>
      </c>
      <c r="M883" s="149">
        <v>-78250</v>
      </c>
      <c r="N883" s="149">
        <v>-490090</v>
      </c>
      <c r="O883">
        <v>0</v>
      </c>
      <c r="P883">
        <v>0</v>
      </c>
      <c r="Q883">
        <v>0</v>
      </c>
      <c r="R883">
        <v>0</v>
      </c>
      <c r="S883">
        <v>0</v>
      </c>
      <c r="T883" t="s">
        <v>77</v>
      </c>
      <c r="U883">
        <v>0</v>
      </c>
      <c r="V883">
        <v>0</v>
      </c>
      <c r="W883">
        <v>0</v>
      </c>
      <c r="X883">
        <v>0</v>
      </c>
      <c r="Y883">
        <v>33</v>
      </c>
      <c r="Z883">
        <v>4054</v>
      </c>
      <c r="AC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M883">
        <v>0</v>
      </c>
      <c r="AR883" t="s">
        <v>3249</v>
      </c>
      <c r="AS883" t="s">
        <v>1680</v>
      </c>
      <c r="AT883">
        <v>2025</v>
      </c>
      <c r="AU883">
        <v>5</v>
      </c>
      <c r="AV883" t="s">
        <v>318</v>
      </c>
      <c r="AX883" t="s">
        <v>3353</v>
      </c>
    </row>
    <row r="884" spans="1:50">
      <c r="A884">
        <v>105</v>
      </c>
      <c r="B884">
        <v>61</v>
      </c>
      <c r="C884" t="s">
        <v>74</v>
      </c>
      <c r="D884" t="s">
        <v>1222</v>
      </c>
      <c r="E884" t="s">
        <v>1223</v>
      </c>
      <c r="F884">
        <v>827</v>
      </c>
      <c r="G884" s="23" t="s">
        <v>1515</v>
      </c>
      <c r="H884" t="s">
        <v>3243</v>
      </c>
      <c r="I884" s="2" t="s">
        <v>3184</v>
      </c>
      <c r="K884" s="149">
        <v>0</v>
      </c>
      <c r="L884" s="149">
        <v>-48300</v>
      </c>
      <c r="M884" s="149">
        <v>-9177</v>
      </c>
      <c r="N884" s="149">
        <v>-57477</v>
      </c>
      <c r="O884">
        <v>0</v>
      </c>
      <c r="P884">
        <v>0</v>
      </c>
      <c r="Q884">
        <v>0</v>
      </c>
      <c r="R884">
        <v>0</v>
      </c>
      <c r="S884">
        <v>0</v>
      </c>
      <c r="T884" t="s">
        <v>77</v>
      </c>
      <c r="U884">
        <v>0</v>
      </c>
      <c r="V884">
        <v>0</v>
      </c>
      <c r="W884">
        <v>0</v>
      </c>
      <c r="X884">
        <v>0</v>
      </c>
      <c r="Y884">
        <v>33</v>
      </c>
      <c r="Z884">
        <v>4039</v>
      </c>
      <c r="AC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M884">
        <v>0</v>
      </c>
      <c r="AR884" t="s">
        <v>3249</v>
      </c>
      <c r="AS884" t="s">
        <v>1680</v>
      </c>
      <c r="AT884">
        <v>2025</v>
      </c>
      <c r="AU884">
        <v>5</v>
      </c>
      <c r="AV884" t="s">
        <v>318</v>
      </c>
      <c r="AX884" t="s">
        <v>3354</v>
      </c>
    </row>
    <row r="885" spans="1:50">
      <c r="A885">
        <v>106</v>
      </c>
      <c r="B885">
        <v>61</v>
      </c>
      <c r="C885" t="s">
        <v>74</v>
      </c>
      <c r="D885" t="s">
        <v>1222</v>
      </c>
      <c r="E885" t="s">
        <v>1223</v>
      </c>
      <c r="F885">
        <v>828</v>
      </c>
      <c r="G885" s="23" t="s">
        <v>1515</v>
      </c>
      <c r="H885" t="s">
        <v>3244</v>
      </c>
      <c r="I885" s="2" t="s">
        <v>3210</v>
      </c>
      <c r="K885" s="149">
        <v>0</v>
      </c>
      <c r="L885" s="149">
        <v>-2728620</v>
      </c>
      <c r="M885" s="149">
        <v>-518438</v>
      </c>
      <c r="N885" s="149">
        <v>-3247058</v>
      </c>
      <c r="O885">
        <v>0</v>
      </c>
      <c r="P885">
        <v>0</v>
      </c>
      <c r="Q885">
        <v>0</v>
      </c>
      <c r="R885">
        <v>0</v>
      </c>
      <c r="S885">
        <v>0</v>
      </c>
      <c r="T885" t="s">
        <v>77</v>
      </c>
      <c r="U885">
        <v>0</v>
      </c>
      <c r="V885">
        <v>0</v>
      </c>
      <c r="W885">
        <v>0</v>
      </c>
      <c r="X885">
        <v>0</v>
      </c>
      <c r="Y885">
        <v>33</v>
      </c>
      <c r="Z885">
        <v>4053</v>
      </c>
      <c r="AC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M885">
        <v>0</v>
      </c>
      <c r="AR885" t="s">
        <v>3249</v>
      </c>
      <c r="AS885" t="s">
        <v>1680</v>
      </c>
      <c r="AT885">
        <v>2025</v>
      </c>
      <c r="AU885">
        <v>5</v>
      </c>
      <c r="AV885" t="s">
        <v>318</v>
      </c>
      <c r="AX885" t="s">
        <v>3355</v>
      </c>
    </row>
    <row r="886" spans="1:50">
      <c r="A886">
        <v>107</v>
      </c>
      <c r="B886">
        <v>61</v>
      </c>
      <c r="C886" t="s">
        <v>74</v>
      </c>
      <c r="D886" t="s">
        <v>1571</v>
      </c>
      <c r="E886" t="s">
        <v>1572</v>
      </c>
      <c r="F886">
        <v>829</v>
      </c>
      <c r="G886" s="23" t="s">
        <v>3819</v>
      </c>
      <c r="H886" t="s">
        <v>3245</v>
      </c>
      <c r="K886" s="149">
        <v>0</v>
      </c>
      <c r="L886" s="149">
        <v>-5933702</v>
      </c>
      <c r="M886" s="149">
        <v>-1127404</v>
      </c>
      <c r="N886" s="149">
        <v>-7061106</v>
      </c>
      <c r="O886">
        <v>0</v>
      </c>
      <c r="P886">
        <v>0</v>
      </c>
      <c r="Q886">
        <v>0</v>
      </c>
      <c r="R886">
        <v>0</v>
      </c>
      <c r="S886">
        <v>0</v>
      </c>
      <c r="T886" t="s">
        <v>77</v>
      </c>
      <c r="U886">
        <v>0</v>
      </c>
      <c r="V886">
        <v>0</v>
      </c>
      <c r="W886">
        <v>0</v>
      </c>
      <c r="X886">
        <v>0</v>
      </c>
      <c r="Y886">
        <v>33</v>
      </c>
      <c r="Z886">
        <v>4012</v>
      </c>
      <c r="AC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M886">
        <v>0</v>
      </c>
      <c r="AR886" t="s">
        <v>3249</v>
      </c>
      <c r="AS886" t="s">
        <v>1680</v>
      </c>
      <c r="AT886">
        <v>2025</v>
      </c>
      <c r="AU886">
        <v>5</v>
      </c>
      <c r="AV886" t="s">
        <v>318</v>
      </c>
      <c r="AX886" t="s">
        <v>3356</v>
      </c>
    </row>
    <row r="887" spans="1:50">
      <c r="A887">
        <v>108</v>
      </c>
      <c r="B887">
        <v>61</v>
      </c>
      <c r="C887" t="s">
        <v>74</v>
      </c>
      <c r="D887" t="s">
        <v>1571</v>
      </c>
      <c r="E887" t="s">
        <v>1572</v>
      </c>
      <c r="F887">
        <v>830</v>
      </c>
      <c r="G887" s="23" t="s">
        <v>3819</v>
      </c>
      <c r="H887" t="s">
        <v>3246</v>
      </c>
      <c r="I887" s="2"/>
      <c r="K887" s="149">
        <v>0</v>
      </c>
      <c r="L887" s="149">
        <v>-11803260</v>
      </c>
      <c r="M887" s="149">
        <v>-2242619</v>
      </c>
      <c r="N887" s="149">
        <v>-14045879</v>
      </c>
      <c r="O887">
        <v>0</v>
      </c>
      <c r="P887">
        <v>0</v>
      </c>
      <c r="Q887">
        <v>0</v>
      </c>
      <c r="R887">
        <v>0</v>
      </c>
      <c r="S887">
        <v>0</v>
      </c>
      <c r="T887" t="s">
        <v>77</v>
      </c>
      <c r="U887">
        <v>0</v>
      </c>
      <c r="V887">
        <v>0</v>
      </c>
      <c r="W887">
        <v>0</v>
      </c>
      <c r="X887">
        <v>0</v>
      </c>
      <c r="Y887">
        <v>33</v>
      </c>
      <c r="Z887">
        <v>4013</v>
      </c>
      <c r="AC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M887">
        <v>0</v>
      </c>
      <c r="AR887" t="s">
        <v>3249</v>
      </c>
      <c r="AS887" t="s">
        <v>1680</v>
      </c>
      <c r="AT887">
        <v>2025</v>
      </c>
      <c r="AU887">
        <v>5</v>
      </c>
      <c r="AV887" t="s">
        <v>318</v>
      </c>
      <c r="AX887" t="s">
        <v>3357</v>
      </c>
    </row>
    <row r="888" spans="1:50">
      <c r="A888">
        <v>109</v>
      </c>
      <c r="B888">
        <v>61</v>
      </c>
      <c r="C888" t="s">
        <v>74</v>
      </c>
      <c r="D888" t="s">
        <v>1571</v>
      </c>
      <c r="E888" t="s">
        <v>1572</v>
      </c>
      <c r="F888">
        <v>831</v>
      </c>
      <c r="G888" s="23" t="s">
        <v>3819</v>
      </c>
      <c r="H888" s="2" t="s">
        <v>3247</v>
      </c>
      <c r="I888" s="2"/>
      <c r="J888" t="s">
        <v>3188</v>
      </c>
      <c r="K888" s="149">
        <v>0</v>
      </c>
      <c r="L888" s="149">
        <v>-6301312</v>
      </c>
      <c r="M888" s="149">
        <v>-1197250</v>
      </c>
      <c r="N888" s="149">
        <v>-7498562</v>
      </c>
      <c r="O888">
        <v>0</v>
      </c>
      <c r="P888">
        <v>0</v>
      </c>
      <c r="Q888">
        <v>0</v>
      </c>
      <c r="R888">
        <v>0</v>
      </c>
      <c r="S888">
        <v>0</v>
      </c>
      <c r="T888" t="s">
        <v>77</v>
      </c>
      <c r="U888">
        <v>0</v>
      </c>
      <c r="V888">
        <v>0</v>
      </c>
      <c r="W888">
        <v>0</v>
      </c>
      <c r="X888">
        <v>0</v>
      </c>
      <c r="Y888">
        <v>33</v>
      </c>
      <c r="Z888">
        <v>4041</v>
      </c>
      <c r="AC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M888">
        <v>0</v>
      </c>
      <c r="AR888" t="s">
        <v>3249</v>
      </c>
      <c r="AS888" t="s">
        <v>1680</v>
      </c>
      <c r="AT888">
        <v>2025</v>
      </c>
      <c r="AU888">
        <v>5</v>
      </c>
      <c r="AV888" t="s">
        <v>318</v>
      </c>
      <c r="AX888" t="s">
        <v>3358</v>
      </c>
    </row>
    <row r="889" spans="1:50">
      <c r="A889">
        <v>110</v>
      </c>
      <c r="B889">
        <v>61</v>
      </c>
      <c r="C889" t="s">
        <v>74</v>
      </c>
      <c r="D889" t="s">
        <v>1222</v>
      </c>
      <c r="E889" t="s">
        <v>1223</v>
      </c>
      <c r="F889">
        <v>832</v>
      </c>
      <c r="G889" s="23" t="s">
        <v>1516</v>
      </c>
      <c r="H889" s="2" t="s">
        <v>3248</v>
      </c>
      <c r="I889" t="s">
        <v>3210</v>
      </c>
      <c r="K889" s="149">
        <v>0</v>
      </c>
      <c r="L889" s="149">
        <v>-3390800</v>
      </c>
      <c r="M889" s="149">
        <v>-644252</v>
      </c>
      <c r="N889" s="149">
        <v>-4035052</v>
      </c>
      <c r="O889">
        <v>0</v>
      </c>
      <c r="P889">
        <v>0</v>
      </c>
      <c r="Q889">
        <v>0</v>
      </c>
      <c r="R889">
        <v>0</v>
      </c>
      <c r="S889">
        <v>0</v>
      </c>
      <c r="T889" t="s">
        <v>77</v>
      </c>
      <c r="U889">
        <v>0</v>
      </c>
      <c r="V889">
        <v>0</v>
      </c>
      <c r="W889">
        <v>0</v>
      </c>
      <c r="X889">
        <v>0</v>
      </c>
      <c r="Y889">
        <v>33</v>
      </c>
      <c r="Z889">
        <v>4053</v>
      </c>
      <c r="AC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M889">
        <v>0</v>
      </c>
      <c r="AR889" t="s">
        <v>3249</v>
      </c>
      <c r="AS889" t="s">
        <v>1680</v>
      </c>
      <c r="AT889">
        <v>2025</v>
      </c>
      <c r="AU889">
        <v>5</v>
      </c>
      <c r="AV889" t="s">
        <v>318</v>
      </c>
      <c r="AX889" t="s">
        <v>3359</v>
      </c>
    </row>
    <row r="890" spans="1:50">
      <c r="A890">
        <v>1</v>
      </c>
      <c r="B890">
        <v>33</v>
      </c>
      <c r="C890" t="s">
        <v>74</v>
      </c>
      <c r="D890" t="s">
        <v>1222</v>
      </c>
      <c r="E890" t="s">
        <v>1223</v>
      </c>
      <c r="F890">
        <v>4069</v>
      </c>
      <c r="G890" s="23">
        <v>45810</v>
      </c>
      <c r="H890" s="2" t="s">
        <v>3360</v>
      </c>
      <c r="I890" s="2">
        <v>45753.774594907409</v>
      </c>
      <c r="K890" s="149">
        <v>0</v>
      </c>
      <c r="L890" s="149">
        <v>3327780</v>
      </c>
      <c r="M890" s="149">
        <v>632277</v>
      </c>
      <c r="N890" s="149">
        <v>3960057</v>
      </c>
      <c r="O890">
        <v>0</v>
      </c>
      <c r="P890">
        <v>0</v>
      </c>
      <c r="Q890">
        <v>0</v>
      </c>
      <c r="R890">
        <v>0</v>
      </c>
      <c r="S890">
        <v>0</v>
      </c>
      <c r="T890" t="s">
        <v>77</v>
      </c>
      <c r="U890">
        <v>0</v>
      </c>
      <c r="V890">
        <v>0</v>
      </c>
      <c r="W890">
        <v>0</v>
      </c>
      <c r="X890">
        <v>0</v>
      </c>
      <c r="AC890">
        <v>0</v>
      </c>
      <c r="AE890">
        <v>0</v>
      </c>
      <c r="AF890">
        <v>2</v>
      </c>
      <c r="AG890">
        <v>0</v>
      </c>
      <c r="AH890">
        <v>0</v>
      </c>
      <c r="AI890">
        <v>0</v>
      </c>
      <c r="AM890">
        <v>0</v>
      </c>
      <c r="AR890" t="s">
        <v>3451</v>
      </c>
      <c r="AS890" t="s">
        <v>1680</v>
      </c>
      <c r="AT890">
        <v>2025</v>
      </c>
      <c r="AU890">
        <v>6</v>
      </c>
      <c r="AV890" t="s">
        <v>78</v>
      </c>
      <c r="AX890" t="s">
        <v>3452</v>
      </c>
    </row>
    <row r="891" spans="1:50">
      <c r="A891">
        <v>2</v>
      </c>
      <c r="B891">
        <v>33</v>
      </c>
      <c r="C891" t="s">
        <v>74</v>
      </c>
      <c r="D891" t="s">
        <v>1222</v>
      </c>
      <c r="E891" t="s">
        <v>1223</v>
      </c>
      <c r="F891">
        <v>4070</v>
      </c>
      <c r="G891" s="23">
        <v>45810</v>
      </c>
      <c r="H891" s="2" t="s">
        <v>3361</v>
      </c>
      <c r="I891" s="2">
        <v>45753.749861111108</v>
      </c>
      <c r="K891" s="149">
        <v>0</v>
      </c>
      <c r="L891" s="149">
        <v>5661620</v>
      </c>
      <c r="M891" s="149">
        <v>1075708</v>
      </c>
      <c r="N891" s="149">
        <v>6737328</v>
      </c>
      <c r="O891">
        <v>0</v>
      </c>
      <c r="P891">
        <v>0</v>
      </c>
      <c r="Q891">
        <v>0</v>
      </c>
      <c r="R891">
        <v>0</v>
      </c>
      <c r="S891">
        <v>0</v>
      </c>
      <c r="T891" t="s">
        <v>77</v>
      </c>
      <c r="U891">
        <v>0</v>
      </c>
      <c r="V891">
        <v>0</v>
      </c>
      <c r="W891">
        <v>0</v>
      </c>
      <c r="X891">
        <v>0</v>
      </c>
      <c r="AC891">
        <v>0</v>
      </c>
      <c r="AE891">
        <v>0</v>
      </c>
      <c r="AF891">
        <v>2</v>
      </c>
      <c r="AG891">
        <v>0</v>
      </c>
      <c r="AH891">
        <v>0</v>
      </c>
      <c r="AI891">
        <v>0</v>
      </c>
      <c r="AM891">
        <v>0</v>
      </c>
      <c r="AR891" t="s">
        <v>3451</v>
      </c>
      <c r="AS891" t="s">
        <v>1680</v>
      </c>
      <c r="AT891">
        <v>2025</v>
      </c>
      <c r="AU891">
        <v>6</v>
      </c>
      <c r="AV891" t="s">
        <v>78</v>
      </c>
      <c r="AX891" t="s">
        <v>3453</v>
      </c>
    </row>
    <row r="892" spans="1:50">
      <c r="A892">
        <v>3</v>
      </c>
      <c r="B892">
        <v>33</v>
      </c>
      <c r="C892" t="s">
        <v>74</v>
      </c>
      <c r="D892" t="s">
        <v>1555</v>
      </c>
      <c r="E892" t="s">
        <v>1556</v>
      </c>
      <c r="F892">
        <v>4071</v>
      </c>
      <c r="G892" s="23">
        <v>45811</v>
      </c>
      <c r="H892" s="2" t="s">
        <v>3362</v>
      </c>
      <c r="I892" s="2">
        <v>45753.749120370368</v>
      </c>
      <c r="K892" s="149">
        <v>0</v>
      </c>
      <c r="L892" s="149">
        <v>2094500</v>
      </c>
      <c r="M892" s="149">
        <v>397955</v>
      </c>
      <c r="N892" s="149">
        <v>2492455</v>
      </c>
      <c r="O892">
        <v>0</v>
      </c>
      <c r="P892">
        <v>0</v>
      </c>
      <c r="Q892">
        <v>0</v>
      </c>
      <c r="R892">
        <v>0</v>
      </c>
      <c r="S892">
        <v>0</v>
      </c>
      <c r="T892" t="s">
        <v>77</v>
      </c>
      <c r="U892">
        <v>0</v>
      </c>
      <c r="V892">
        <v>0</v>
      </c>
      <c r="W892">
        <v>0</v>
      </c>
      <c r="X892">
        <v>0</v>
      </c>
      <c r="AC892">
        <v>0</v>
      </c>
      <c r="AE892">
        <v>0</v>
      </c>
      <c r="AF892">
        <v>2</v>
      </c>
      <c r="AG892">
        <v>0</v>
      </c>
      <c r="AH892">
        <v>0</v>
      </c>
      <c r="AI892">
        <v>0</v>
      </c>
      <c r="AM892">
        <v>0</v>
      </c>
      <c r="AR892" t="s">
        <v>3451</v>
      </c>
      <c r="AS892" t="s">
        <v>1680</v>
      </c>
      <c r="AT892">
        <v>2025</v>
      </c>
      <c r="AU892">
        <v>6</v>
      </c>
      <c r="AV892" t="s">
        <v>78</v>
      </c>
      <c r="AX892" t="s">
        <v>3454</v>
      </c>
    </row>
    <row r="893" spans="1:50">
      <c r="A893">
        <v>4</v>
      </c>
      <c r="B893">
        <v>33</v>
      </c>
      <c r="C893" t="s">
        <v>74</v>
      </c>
      <c r="D893" t="s">
        <v>2329</v>
      </c>
      <c r="E893" t="s">
        <v>2330</v>
      </c>
      <c r="F893">
        <v>4072</v>
      </c>
      <c r="G893" s="23">
        <v>45811</v>
      </c>
      <c r="H893" s="2" t="s">
        <v>3363</v>
      </c>
      <c r="I893" s="2"/>
      <c r="K893" s="149">
        <v>0</v>
      </c>
      <c r="L893" s="149">
        <v>280000</v>
      </c>
      <c r="M893" s="149">
        <v>53200</v>
      </c>
      <c r="N893" s="149">
        <v>333200</v>
      </c>
      <c r="O893">
        <v>0</v>
      </c>
      <c r="P893">
        <v>0</v>
      </c>
      <c r="Q893">
        <v>0</v>
      </c>
      <c r="R893">
        <v>0</v>
      </c>
      <c r="S893">
        <v>0</v>
      </c>
      <c r="T893" t="s">
        <v>77</v>
      </c>
      <c r="U893">
        <v>0</v>
      </c>
      <c r="V893">
        <v>0</v>
      </c>
      <c r="W893">
        <v>0</v>
      </c>
      <c r="X893">
        <v>0</v>
      </c>
      <c r="Y893">
        <v>0</v>
      </c>
      <c r="AC893">
        <v>0</v>
      </c>
      <c r="AE893">
        <v>0</v>
      </c>
      <c r="AF893">
        <v>2</v>
      </c>
      <c r="AG893">
        <v>0</v>
      </c>
      <c r="AH893">
        <v>0</v>
      </c>
      <c r="AI893">
        <v>0</v>
      </c>
      <c r="AM893">
        <v>0</v>
      </c>
      <c r="AR893" t="s">
        <v>3451</v>
      </c>
      <c r="AS893" t="s">
        <v>1680</v>
      </c>
      <c r="AT893">
        <v>2025</v>
      </c>
      <c r="AU893">
        <v>6</v>
      </c>
      <c r="AV893" t="s">
        <v>78</v>
      </c>
      <c r="AX893" t="s">
        <v>3455</v>
      </c>
    </row>
    <row r="894" spans="1:50">
      <c r="A894">
        <v>5</v>
      </c>
      <c r="B894">
        <v>33</v>
      </c>
      <c r="C894" t="s">
        <v>74</v>
      </c>
      <c r="D894" t="s">
        <v>1567</v>
      </c>
      <c r="E894" t="s">
        <v>1568</v>
      </c>
      <c r="F894">
        <v>4073</v>
      </c>
      <c r="G894" s="23">
        <v>45811</v>
      </c>
      <c r="H894" s="2" t="s">
        <v>3364</v>
      </c>
      <c r="I894" s="2">
        <v>45694.364282407405</v>
      </c>
      <c r="K894" s="149">
        <v>0</v>
      </c>
      <c r="L894" s="149">
        <v>917660</v>
      </c>
      <c r="M894" s="149">
        <v>174355</v>
      </c>
      <c r="N894" s="149">
        <v>1092015</v>
      </c>
      <c r="O894">
        <v>0</v>
      </c>
      <c r="P894">
        <v>0</v>
      </c>
      <c r="Q894">
        <v>0</v>
      </c>
      <c r="R894">
        <v>0</v>
      </c>
      <c r="S894">
        <v>0</v>
      </c>
      <c r="T894" t="s">
        <v>77</v>
      </c>
      <c r="U894">
        <v>0</v>
      </c>
      <c r="V894">
        <v>0</v>
      </c>
      <c r="W894">
        <v>0</v>
      </c>
      <c r="X894">
        <v>0</v>
      </c>
      <c r="Y894">
        <v>0</v>
      </c>
      <c r="AC894">
        <v>0</v>
      </c>
      <c r="AE894">
        <v>0</v>
      </c>
      <c r="AF894">
        <v>2</v>
      </c>
      <c r="AG894">
        <v>0</v>
      </c>
      <c r="AH894">
        <v>0</v>
      </c>
      <c r="AI894">
        <v>0</v>
      </c>
      <c r="AM894">
        <v>0</v>
      </c>
      <c r="AR894" t="s">
        <v>3451</v>
      </c>
      <c r="AS894" t="s">
        <v>1680</v>
      </c>
      <c r="AT894">
        <v>2025</v>
      </c>
      <c r="AU894">
        <v>6</v>
      </c>
      <c r="AV894" t="s">
        <v>78</v>
      </c>
      <c r="AX894" t="s">
        <v>3456</v>
      </c>
    </row>
    <row r="895" spans="1:50">
      <c r="A895">
        <v>6</v>
      </c>
      <c r="B895">
        <v>33</v>
      </c>
      <c r="C895" t="s">
        <v>74</v>
      </c>
      <c r="D895" t="s">
        <v>1631</v>
      </c>
      <c r="E895" t="s">
        <v>1632</v>
      </c>
      <c r="F895">
        <v>4075</v>
      </c>
      <c r="G895" s="23">
        <v>45811</v>
      </c>
      <c r="H895" s="2" t="s">
        <v>3365</v>
      </c>
      <c r="K895" s="149">
        <v>0</v>
      </c>
      <c r="L895" s="149">
        <v>257400</v>
      </c>
      <c r="M895" s="149">
        <v>48906</v>
      </c>
      <c r="N895" s="149">
        <v>306306</v>
      </c>
      <c r="O895">
        <v>0</v>
      </c>
      <c r="P895">
        <v>0</v>
      </c>
      <c r="Q895">
        <v>0</v>
      </c>
      <c r="R895">
        <v>0</v>
      </c>
      <c r="S895">
        <v>0</v>
      </c>
      <c r="T895" t="s">
        <v>77</v>
      </c>
      <c r="U895">
        <v>0</v>
      </c>
      <c r="V895">
        <v>0</v>
      </c>
      <c r="W895">
        <v>0</v>
      </c>
      <c r="X895">
        <v>0</v>
      </c>
      <c r="Y895">
        <v>0</v>
      </c>
      <c r="AC895">
        <v>0</v>
      </c>
      <c r="AE895">
        <v>0</v>
      </c>
      <c r="AF895">
        <v>2</v>
      </c>
      <c r="AG895">
        <v>0</v>
      </c>
      <c r="AH895">
        <v>0</v>
      </c>
      <c r="AI895">
        <v>0</v>
      </c>
      <c r="AM895">
        <v>0</v>
      </c>
      <c r="AR895" t="s">
        <v>3451</v>
      </c>
      <c r="AS895" t="s">
        <v>1680</v>
      </c>
      <c r="AT895">
        <v>2025</v>
      </c>
      <c r="AU895">
        <v>6</v>
      </c>
      <c r="AV895" t="s">
        <v>78</v>
      </c>
      <c r="AX895" t="s">
        <v>3457</v>
      </c>
    </row>
    <row r="896" spans="1:50">
      <c r="A896">
        <v>7</v>
      </c>
      <c r="B896">
        <v>33</v>
      </c>
      <c r="C896" t="s">
        <v>74</v>
      </c>
      <c r="D896" t="s">
        <v>1631</v>
      </c>
      <c r="E896" t="s">
        <v>1632</v>
      </c>
      <c r="F896">
        <v>4076</v>
      </c>
      <c r="G896" s="23">
        <v>45811</v>
      </c>
      <c r="H896" s="2">
        <v>45694.512835648151</v>
      </c>
      <c r="K896" s="149">
        <v>0</v>
      </c>
      <c r="L896" s="149">
        <v>36640</v>
      </c>
      <c r="M896" s="149">
        <v>6962</v>
      </c>
      <c r="N896" s="149">
        <v>43602</v>
      </c>
      <c r="O896">
        <v>0</v>
      </c>
      <c r="P896">
        <v>0</v>
      </c>
      <c r="Q896">
        <v>0</v>
      </c>
      <c r="R896">
        <v>0</v>
      </c>
      <c r="S896">
        <v>0</v>
      </c>
      <c r="T896" t="s">
        <v>77</v>
      </c>
      <c r="U896">
        <v>0</v>
      </c>
      <c r="V896">
        <v>0</v>
      </c>
      <c r="W896">
        <v>0</v>
      </c>
      <c r="X896">
        <v>0</v>
      </c>
      <c r="Y896">
        <v>0</v>
      </c>
      <c r="AC896">
        <v>0</v>
      </c>
      <c r="AE896">
        <v>0</v>
      </c>
      <c r="AF896">
        <v>2</v>
      </c>
      <c r="AG896">
        <v>0</v>
      </c>
      <c r="AH896">
        <v>0</v>
      </c>
      <c r="AI896">
        <v>0</v>
      </c>
      <c r="AM896">
        <v>0</v>
      </c>
      <c r="AR896" t="s">
        <v>3451</v>
      </c>
      <c r="AS896" t="s">
        <v>1680</v>
      </c>
      <c r="AT896">
        <v>2025</v>
      </c>
      <c r="AU896">
        <v>6</v>
      </c>
      <c r="AV896" t="s">
        <v>78</v>
      </c>
      <c r="AX896" t="s">
        <v>3458</v>
      </c>
    </row>
    <row r="897" spans="1:50">
      <c r="A897">
        <v>8</v>
      </c>
      <c r="B897">
        <v>33</v>
      </c>
      <c r="C897" t="s">
        <v>74</v>
      </c>
      <c r="D897" t="s">
        <v>1581</v>
      </c>
      <c r="E897" t="s">
        <v>1582</v>
      </c>
      <c r="F897">
        <v>4077</v>
      </c>
      <c r="G897" s="23">
        <v>45811</v>
      </c>
      <c r="H897" s="2">
        <v>45694.514884259261</v>
      </c>
      <c r="I897" s="2">
        <v>45783.553819444445</v>
      </c>
      <c r="K897" s="149">
        <v>0</v>
      </c>
      <c r="L897" s="149">
        <v>456775</v>
      </c>
      <c r="M897" s="149">
        <v>86787</v>
      </c>
      <c r="N897" s="149">
        <v>543562</v>
      </c>
      <c r="O897">
        <v>0</v>
      </c>
      <c r="P897">
        <v>0</v>
      </c>
      <c r="Q897">
        <v>0</v>
      </c>
      <c r="R897">
        <v>0</v>
      </c>
      <c r="S897">
        <v>0</v>
      </c>
      <c r="T897" t="s">
        <v>77</v>
      </c>
      <c r="U897">
        <v>0</v>
      </c>
      <c r="V897">
        <v>0</v>
      </c>
      <c r="W897">
        <v>0</v>
      </c>
      <c r="X897">
        <v>0</v>
      </c>
      <c r="Y897">
        <v>0</v>
      </c>
      <c r="AC897">
        <v>0</v>
      </c>
      <c r="AE897">
        <v>0</v>
      </c>
      <c r="AF897">
        <v>2</v>
      </c>
      <c r="AG897">
        <v>0</v>
      </c>
      <c r="AH897">
        <v>0</v>
      </c>
      <c r="AI897">
        <v>0</v>
      </c>
      <c r="AM897">
        <v>0</v>
      </c>
      <c r="AR897" t="s">
        <v>3451</v>
      </c>
      <c r="AS897" t="s">
        <v>1680</v>
      </c>
      <c r="AT897">
        <v>2025</v>
      </c>
      <c r="AU897">
        <v>6</v>
      </c>
      <c r="AV897" t="s">
        <v>78</v>
      </c>
      <c r="AX897" t="s">
        <v>3459</v>
      </c>
    </row>
    <row r="898" spans="1:50">
      <c r="A898">
        <v>9</v>
      </c>
      <c r="B898">
        <v>33</v>
      </c>
      <c r="C898" t="s">
        <v>74</v>
      </c>
      <c r="D898" t="s">
        <v>1581</v>
      </c>
      <c r="E898" t="s">
        <v>1582</v>
      </c>
      <c r="F898">
        <v>4078</v>
      </c>
      <c r="G898" s="23">
        <v>45811</v>
      </c>
      <c r="H898" s="2">
        <v>45694.600972222222</v>
      </c>
      <c r="I898" s="2">
        <v>45783.553819444445</v>
      </c>
      <c r="K898" s="149">
        <v>0</v>
      </c>
      <c r="L898" s="149">
        <v>1177580</v>
      </c>
      <c r="M898" s="149">
        <v>223741</v>
      </c>
      <c r="N898" s="149">
        <v>1401321</v>
      </c>
      <c r="O898">
        <v>0</v>
      </c>
      <c r="P898">
        <v>0</v>
      </c>
      <c r="Q898">
        <v>0</v>
      </c>
      <c r="R898">
        <v>0</v>
      </c>
      <c r="S898">
        <v>0</v>
      </c>
      <c r="T898" t="s">
        <v>77</v>
      </c>
      <c r="U898">
        <v>0</v>
      </c>
      <c r="V898">
        <v>0</v>
      </c>
      <c r="W898">
        <v>0</v>
      </c>
      <c r="X898">
        <v>0</v>
      </c>
      <c r="Y898">
        <v>0</v>
      </c>
      <c r="AC898">
        <v>0</v>
      </c>
      <c r="AE898">
        <v>0</v>
      </c>
      <c r="AF898">
        <v>2</v>
      </c>
      <c r="AG898">
        <v>0</v>
      </c>
      <c r="AH898">
        <v>0</v>
      </c>
      <c r="AI898">
        <v>0</v>
      </c>
      <c r="AM898">
        <v>0</v>
      </c>
      <c r="AR898" t="s">
        <v>3451</v>
      </c>
      <c r="AS898" t="s">
        <v>1680</v>
      </c>
      <c r="AT898">
        <v>2025</v>
      </c>
      <c r="AU898">
        <v>6</v>
      </c>
      <c r="AV898" t="s">
        <v>78</v>
      </c>
      <c r="AX898" t="s">
        <v>3460</v>
      </c>
    </row>
    <row r="899" spans="1:50">
      <c r="A899">
        <v>10</v>
      </c>
      <c r="B899">
        <v>33</v>
      </c>
      <c r="C899" t="s">
        <v>74</v>
      </c>
      <c r="D899" t="s">
        <v>1569</v>
      </c>
      <c r="E899" t="s">
        <v>1570</v>
      </c>
      <c r="F899">
        <v>4079</v>
      </c>
      <c r="G899" s="23">
        <v>45811</v>
      </c>
      <c r="H899" s="2">
        <v>45694.607511574075</v>
      </c>
      <c r="I899" s="2">
        <v>45783.719039351854</v>
      </c>
      <c r="K899" s="149">
        <v>0</v>
      </c>
      <c r="L899" s="149">
        <v>371484</v>
      </c>
      <c r="M899" s="149">
        <v>70582</v>
      </c>
      <c r="N899" s="149">
        <v>442066</v>
      </c>
      <c r="O899">
        <v>0</v>
      </c>
      <c r="P899">
        <v>0</v>
      </c>
      <c r="Q899">
        <v>0</v>
      </c>
      <c r="R899">
        <v>0</v>
      </c>
      <c r="S899">
        <v>0</v>
      </c>
      <c r="T899" t="s">
        <v>77</v>
      </c>
      <c r="U899">
        <v>0</v>
      </c>
      <c r="V899">
        <v>0</v>
      </c>
      <c r="W899">
        <v>0</v>
      </c>
      <c r="X899">
        <v>0</v>
      </c>
      <c r="Y899">
        <v>0</v>
      </c>
      <c r="AC899">
        <v>0</v>
      </c>
      <c r="AE899">
        <v>0</v>
      </c>
      <c r="AF899">
        <v>2</v>
      </c>
      <c r="AG899">
        <v>0</v>
      </c>
      <c r="AH899">
        <v>0</v>
      </c>
      <c r="AI899">
        <v>0</v>
      </c>
      <c r="AM899">
        <v>0</v>
      </c>
      <c r="AR899" t="s">
        <v>3451</v>
      </c>
      <c r="AS899" t="s">
        <v>1680</v>
      </c>
      <c r="AT899">
        <v>2025</v>
      </c>
      <c r="AU899">
        <v>6</v>
      </c>
      <c r="AV899" t="s">
        <v>78</v>
      </c>
      <c r="AX899" t="s">
        <v>3461</v>
      </c>
    </row>
    <row r="900" spans="1:50">
      <c r="A900">
        <v>11</v>
      </c>
      <c r="B900">
        <v>33</v>
      </c>
      <c r="C900" t="s">
        <v>74</v>
      </c>
      <c r="D900" t="s">
        <v>3211</v>
      </c>
      <c r="E900" t="s">
        <v>3212</v>
      </c>
      <c r="F900">
        <v>4080</v>
      </c>
      <c r="G900" s="23">
        <v>45813</v>
      </c>
      <c r="H900" s="2">
        <v>45694.777268518519</v>
      </c>
      <c r="I900" s="2">
        <v>45814.629988425928</v>
      </c>
      <c r="K900" s="149">
        <v>0</v>
      </c>
      <c r="L900" s="149">
        <v>363000</v>
      </c>
      <c r="M900" s="149">
        <v>68970</v>
      </c>
      <c r="N900" s="149">
        <v>431970</v>
      </c>
      <c r="O900">
        <v>0</v>
      </c>
      <c r="P900">
        <v>0</v>
      </c>
      <c r="Q900">
        <v>0</v>
      </c>
      <c r="R900">
        <v>0</v>
      </c>
      <c r="S900">
        <v>0</v>
      </c>
      <c r="T900" t="s">
        <v>77</v>
      </c>
      <c r="U900">
        <v>0</v>
      </c>
      <c r="V900">
        <v>0</v>
      </c>
      <c r="W900">
        <v>0</v>
      </c>
      <c r="X900">
        <v>0</v>
      </c>
      <c r="Y900">
        <v>0</v>
      </c>
      <c r="AC900">
        <v>0</v>
      </c>
      <c r="AE900">
        <v>0</v>
      </c>
      <c r="AF900">
        <v>2</v>
      </c>
      <c r="AG900">
        <v>0</v>
      </c>
      <c r="AH900">
        <v>0</v>
      </c>
      <c r="AI900">
        <v>0</v>
      </c>
      <c r="AM900">
        <v>0</v>
      </c>
      <c r="AR900" t="s">
        <v>3451</v>
      </c>
      <c r="AS900" t="s">
        <v>1680</v>
      </c>
      <c r="AT900">
        <v>2025</v>
      </c>
      <c r="AU900">
        <v>6</v>
      </c>
      <c r="AV900" t="s">
        <v>78</v>
      </c>
      <c r="AX900" t="s">
        <v>3462</v>
      </c>
    </row>
    <row r="901" spans="1:50">
      <c r="A901">
        <v>12</v>
      </c>
      <c r="B901">
        <v>33</v>
      </c>
      <c r="C901" t="s">
        <v>74</v>
      </c>
      <c r="D901" t="s">
        <v>1561</v>
      </c>
      <c r="E901" t="s">
        <v>1562</v>
      </c>
      <c r="F901">
        <v>4081</v>
      </c>
      <c r="G901" s="23">
        <v>45812</v>
      </c>
      <c r="H901" s="2">
        <v>45722.515115740738</v>
      </c>
      <c r="I901" s="2">
        <v>45967.637569444443</v>
      </c>
      <c r="K901" s="149">
        <v>0</v>
      </c>
      <c r="L901" s="149">
        <v>21226800</v>
      </c>
      <c r="M901" s="149">
        <v>4033092</v>
      </c>
      <c r="N901" s="149">
        <v>25259892</v>
      </c>
      <c r="O901">
        <v>0</v>
      </c>
      <c r="P901">
        <v>0</v>
      </c>
      <c r="Q901">
        <v>0</v>
      </c>
      <c r="R901">
        <v>0</v>
      </c>
      <c r="S901">
        <v>0</v>
      </c>
      <c r="T901" t="s">
        <v>77</v>
      </c>
      <c r="U901">
        <v>0</v>
      </c>
      <c r="V901">
        <v>0</v>
      </c>
      <c r="W901">
        <v>0</v>
      </c>
      <c r="X901">
        <v>0</v>
      </c>
      <c r="AC901">
        <v>0</v>
      </c>
      <c r="AE901">
        <v>0</v>
      </c>
      <c r="AF901">
        <v>2</v>
      </c>
      <c r="AG901">
        <v>0</v>
      </c>
      <c r="AH901">
        <v>0</v>
      </c>
      <c r="AI901">
        <v>0</v>
      </c>
      <c r="AM901">
        <v>0</v>
      </c>
      <c r="AR901" t="s">
        <v>3451</v>
      </c>
      <c r="AS901" t="s">
        <v>1680</v>
      </c>
      <c r="AT901">
        <v>2025</v>
      </c>
      <c r="AU901">
        <v>6</v>
      </c>
      <c r="AV901" t="s">
        <v>78</v>
      </c>
      <c r="AX901" t="s">
        <v>3463</v>
      </c>
    </row>
    <row r="902" spans="1:50">
      <c r="A902">
        <v>13</v>
      </c>
      <c r="B902">
        <v>33</v>
      </c>
      <c r="C902" t="s">
        <v>74</v>
      </c>
      <c r="D902" t="s">
        <v>1561</v>
      </c>
      <c r="E902" t="s">
        <v>1562</v>
      </c>
      <c r="F902">
        <v>4082</v>
      </c>
      <c r="G902" s="23">
        <v>45812</v>
      </c>
      <c r="H902" s="2">
        <v>45722.52034722222</v>
      </c>
      <c r="I902" s="2">
        <v>45967.641018518516</v>
      </c>
      <c r="K902" s="149">
        <v>0</v>
      </c>
      <c r="L902" s="149">
        <v>5475000</v>
      </c>
      <c r="M902" s="149">
        <v>1040250</v>
      </c>
      <c r="N902" s="149">
        <v>6515250</v>
      </c>
      <c r="O902">
        <v>0</v>
      </c>
      <c r="P902">
        <v>0</v>
      </c>
      <c r="Q902">
        <v>0</v>
      </c>
      <c r="R902">
        <v>0</v>
      </c>
      <c r="S902">
        <v>0</v>
      </c>
      <c r="T902" t="s">
        <v>77</v>
      </c>
      <c r="U902">
        <v>0</v>
      </c>
      <c r="V902">
        <v>0</v>
      </c>
      <c r="W902">
        <v>0</v>
      </c>
      <c r="X902">
        <v>0</v>
      </c>
      <c r="AC902">
        <v>0</v>
      </c>
      <c r="AE902">
        <v>0</v>
      </c>
      <c r="AF902">
        <v>2</v>
      </c>
      <c r="AG902">
        <v>0</v>
      </c>
      <c r="AH902">
        <v>0</v>
      </c>
      <c r="AI902">
        <v>0</v>
      </c>
      <c r="AM902">
        <v>0</v>
      </c>
      <c r="AR902" t="s">
        <v>3451</v>
      </c>
      <c r="AS902" t="s">
        <v>1680</v>
      </c>
      <c r="AT902">
        <v>2025</v>
      </c>
      <c r="AU902">
        <v>6</v>
      </c>
      <c r="AV902" t="s">
        <v>78</v>
      </c>
      <c r="AX902" t="s">
        <v>3464</v>
      </c>
    </row>
    <row r="903" spans="1:50">
      <c r="A903">
        <v>14</v>
      </c>
      <c r="B903">
        <v>33</v>
      </c>
      <c r="C903" t="s">
        <v>74</v>
      </c>
      <c r="D903" t="s">
        <v>1222</v>
      </c>
      <c r="E903" t="s">
        <v>1223</v>
      </c>
      <c r="F903">
        <v>4083</v>
      </c>
      <c r="G903" s="23">
        <v>45813</v>
      </c>
      <c r="H903" s="2">
        <v>45753.4453587963</v>
      </c>
      <c r="J903" s="2">
        <v>45906.71125</v>
      </c>
      <c r="K903" s="149">
        <v>0</v>
      </c>
      <c r="L903" s="149">
        <v>15831300</v>
      </c>
      <c r="M903" s="149">
        <v>3007947</v>
      </c>
      <c r="N903" s="149">
        <v>18839247</v>
      </c>
      <c r="O903">
        <v>0</v>
      </c>
      <c r="P903">
        <v>0</v>
      </c>
      <c r="Q903">
        <v>0</v>
      </c>
      <c r="R903">
        <v>0</v>
      </c>
      <c r="S903">
        <v>0</v>
      </c>
      <c r="T903" t="s">
        <v>77</v>
      </c>
      <c r="U903">
        <v>0</v>
      </c>
      <c r="V903">
        <v>0</v>
      </c>
      <c r="W903">
        <v>0</v>
      </c>
      <c r="X903">
        <v>0</v>
      </c>
      <c r="AC903">
        <v>0</v>
      </c>
      <c r="AE903">
        <v>0</v>
      </c>
      <c r="AF903">
        <v>2</v>
      </c>
      <c r="AG903">
        <v>0</v>
      </c>
      <c r="AH903">
        <v>0</v>
      </c>
      <c r="AI903">
        <v>0</v>
      </c>
      <c r="AM903">
        <v>0</v>
      </c>
      <c r="AR903" t="s">
        <v>3451</v>
      </c>
      <c r="AS903" t="s">
        <v>1680</v>
      </c>
      <c r="AT903">
        <v>2025</v>
      </c>
      <c r="AU903">
        <v>6</v>
      </c>
      <c r="AV903" t="s">
        <v>78</v>
      </c>
      <c r="AX903" t="s">
        <v>3465</v>
      </c>
    </row>
    <row r="904" spans="1:50">
      <c r="A904">
        <v>15</v>
      </c>
      <c r="B904">
        <v>33</v>
      </c>
      <c r="C904" t="s">
        <v>74</v>
      </c>
      <c r="D904" t="s">
        <v>1222</v>
      </c>
      <c r="E904" t="s">
        <v>1223</v>
      </c>
      <c r="F904">
        <v>4084</v>
      </c>
      <c r="G904" s="23">
        <v>45813</v>
      </c>
      <c r="H904" s="2">
        <v>45753.463356481479</v>
      </c>
      <c r="I904" s="2">
        <v>45906.658148148148</v>
      </c>
      <c r="J904" s="2"/>
      <c r="K904" s="149">
        <v>0</v>
      </c>
      <c r="L904" s="149">
        <v>1569792</v>
      </c>
      <c r="M904" s="149">
        <v>298261</v>
      </c>
      <c r="N904" s="149">
        <v>1868053</v>
      </c>
      <c r="O904">
        <v>0</v>
      </c>
      <c r="P904">
        <v>0</v>
      </c>
      <c r="Q904">
        <v>0</v>
      </c>
      <c r="R904">
        <v>0</v>
      </c>
      <c r="S904">
        <v>0</v>
      </c>
      <c r="T904" t="s">
        <v>77</v>
      </c>
      <c r="U904">
        <v>0</v>
      </c>
      <c r="V904">
        <v>0</v>
      </c>
      <c r="W904">
        <v>0</v>
      </c>
      <c r="X904">
        <v>0</v>
      </c>
      <c r="AC904">
        <v>0</v>
      </c>
      <c r="AE904">
        <v>0</v>
      </c>
      <c r="AF904">
        <v>2</v>
      </c>
      <c r="AG904">
        <v>0</v>
      </c>
      <c r="AH904">
        <v>0</v>
      </c>
      <c r="AI904">
        <v>0</v>
      </c>
      <c r="AM904">
        <v>0</v>
      </c>
      <c r="AR904" t="s">
        <v>3451</v>
      </c>
      <c r="AS904" t="s">
        <v>1680</v>
      </c>
      <c r="AT904">
        <v>2025</v>
      </c>
      <c r="AU904">
        <v>6</v>
      </c>
      <c r="AV904" t="s">
        <v>78</v>
      </c>
      <c r="AX904" t="s">
        <v>3466</v>
      </c>
    </row>
    <row r="905" spans="1:50">
      <c r="A905">
        <v>16</v>
      </c>
      <c r="B905">
        <v>33</v>
      </c>
      <c r="C905" t="s">
        <v>74</v>
      </c>
      <c r="D905" t="s">
        <v>3366</v>
      </c>
      <c r="E905" t="s">
        <v>3367</v>
      </c>
      <c r="F905">
        <v>4085</v>
      </c>
      <c r="G905" s="23">
        <v>45813</v>
      </c>
      <c r="H905" s="2">
        <v>45753.616203703707</v>
      </c>
      <c r="K905" s="149">
        <v>0</v>
      </c>
      <c r="L905" s="149">
        <v>509824</v>
      </c>
      <c r="M905" s="149">
        <v>96867</v>
      </c>
      <c r="N905" s="149">
        <v>606691</v>
      </c>
      <c r="O905">
        <v>0</v>
      </c>
      <c r="P905">
        <v>0</v>
      </c>
      <c r="Q905">
        <v>0</v>
      </c>
      <c r="R905">
        <v>0</v>
      </c>
      <c r="S905">
        <v>0</v>
      </c>
      <c r="T905" t="s">
        <v>77</v>
      </c>
      <c r="U905">
        <v>0</v>
      </c>
      <c r="V905">
        <v>0</v>
      </c>
      <c r="W905">
        <v>0</v>
      </c>
      <c r="X905">
        <v>0</v>
      </c>
      <c r="Y905">
        <v>0</v>
      </c>
      <c r="AC905">
        <v>0</v>
      </c>
      <c r="AE905">
        <v>0</v>
      </c>
      <c r="AF905">
        <v>2</v>
      </c>
      <c r="AG905">
        <v>0</v>
      </c>
      <c r="AH905">
        <v>0</v>
      </c>
      <c r="AI905">
        <v>0</v>
      </c>
      <c r="AM905">
        <v>0</v>
      </c>
      <c r="AR905" t="s">
        <v>3451</v>
      </c>
      <c r="AS905" t="s">
        <v>1680</v>
      </c>
      <c r="AT905">
        <v>2025</v>
      </c>
      <c r="AU905">
        <v>6</v>
      </c>
      <c r="AV905" t="s">
        <v>78</v>
      </c>
      <c r="AX905" t="s">
        <v>3467</v>
      </c>
    </row>
    <row r="906" spans="1:50">
      <c r="A906">
        <v>17</v>
      </c>
      <c r="B906">
        <v>33</v>
      </c>
      <c r="C906" t="s">
        <v>74</v>
      </c>
      <c r="D906" t="s">
        <v>1569</v>
      </c>
      <c r="E906" t="s">
        <v>1570</v>
      </c>
      <c r="F906">
        <v>4086</v>
      </c>
      <c r="G906" s="23">
        <v>45813</v>
      </c>
      <c r="H906" s="2">
        <v>45753.623668981483</v>
      </c>
      <c r="I906" s="2">
        <v>45783.718900462962</v>
      </c>
      <c r="K906" s="149">
        <v>0</v>
      </c>
      <c r="L906" s="149">
        <v>141488</v>
      </c>
      <c r="M906" s="149">
        <v>26883</v>
      </c>
      <c r="N906" s="149">
        <v>168371</v>
      </c>
      <c r="O906">
        <v>0</v>
      </c>
      <c r="P906">
        <v>0</v>
      </c>
      <c r="Q906">
        <v>0</v>
      </c>
      <c r="R906">
        <v>0</v>
      </c>
      <c r="S906">
        <v>0</v>
      </c>
      <c r="T906" t="s">
        <v>77</v>
      </c>
      <c r="U906">
        <v>0</v>
      </c>
      <c r="V906">
        <v>0</v>
      </c>
      <c r="W906">
        <v>0</v>
      </c>
      <c r="X906">
        <v>0</v>
      </c>
      <c r="Y906">
        <v>0</v>
      </c>
      <c r="AC906">
        <v>0</v>
      </c>
      <c r="AE906">
        <v>0</v>
      </c>
      <c r="AF906">
        <v>2</v>
      </c>
      <c r="AG906">
        <v>0</v>
      </c>
      <c r="AH906">
        <v>0</v>
      </c>
      <c r="AI906">
        <v>0</v>
      </c>
      <c r="AM906">
        <v>0</v>
      </c>
      <c r="AR906" t="s">
        <v>3451</v>
      </c>
      <c r="AS906" t="s">
        <v>1680</v>
      </c>
      <c r="AT906">
        <v>2025</v>
      </c>
      <c r="AU906">
        <v>6</v>
      </c>
      <c r="AV906" t="s">
        <v>78</v>
      </c>
      <c r="AX906" t="s">
        <v>3468</v>
      </c>
    </row>
    <row r="907" spans="1:50">
      <c r="A907">
        <v>18</v>
      </c>
      <c r="B907">
        <v>33</v>
      </c>
      <c r="C907" t="s">
        <v>74</v>
      </c>
      <c r="D907" t="s">
        <v>1567</v>
      </c>
      <c r="E907" t="s">
        <v>1568</v>
      </c>
      <c r="F907">
        <v>4087</v>
      </c>
      <c r="G907" s="23">
        <v>45814</v>
      </c>
      <c r="H907" s="2">
        <v>45783.559583333335</v>
      </c>
      <c r="I907" s="2">
        <v>45814.365219907406</v>
      </c>
      <c r="K907" s="149">
        <v>0</v>
      </c>
      <c r="L907" s="149">
        <v>941006</v>
      </c>
      <c r="M907" s="149">
        <v>178792</v>
      </c>
      <c r="N907" s="149">
        <v>1119798</v>
      </c>
      <c r="O907">
        <v>0</v>
      </c>
      <c r="P907">
        <v>0</v>
      </c>
      <c r="Q907">
        <v>0</v>
      </c>
      <c r="R907">
        <v>0</v>
      </c>
      <c r="S907">
        <v>0</v>
      </c>
      <c r="T907" t="s">
        <v>77</v>
      </c>
      <c r="U907">
        <v>0</v>
      </c>
      <c r="V907">
        <v>0</v>
      </c>
      <c r="W907">
        <v>0</v>
      </c>
      <c r="X907">
        <v>0</v>
      </c>
      <c r="Y907">
        <v>0</v>
      </c>
      <c r="AC907">
        <v>0</v>
      </c>
      <c r="AE907">
        <v>0</v>
      </c>
      <c r="AF907">
        <v>2</v>
      </c>
      <c r="AG907">
        <v>0</v>
      </c>
      <c r="AH907">
        <v>0</v>
      </c>
      <c r="AI907">
        <v>0</v>
      </c>
      <c r="AM907">
        <v>0</v>
      </c>
      <c r="AR907" t="s">
        <v>3451</v>
      </c>
      <c r="AS907" t="s">
        <v>1680</v>
      </c>
      <c r="AT907">
        <v>2025</v>
      </c>
      <c r="AU907">
        <v>6</v>
      </c>
      <c r="AV907" t="s">
        <v>78</v>
      </c>
      <c r="AX907" t="s">
        <v>3469</v>
      </c>
    </row>
    <row r="908" spans="1:50">
      <c r="A908">
        <v>19</v>
      </c>
      <c r="B908">
        <v>33</v>
      </c>
      <c r="C908" t="s">
        <v>74</v>
      </c>
      <c r="D908" t="s">
        <v>2825</v>
      </c>
      <c r="E908" t="s">
        <v>2826</v>
      </c>
      <c r="F908">
        <v>4088</v>
      </c>
      <c r="G908" s="23">
        <v>45814</v>
      </c>
      <c r="H908" s="2">
        <v>45783.561863425923</v>
      </c>
      <c r="I908" s="2"/>
      <c r="K908" s="149">
        <v>0</v>
      </c>
      <c r="L908" s="149">
        <v>487200</v>
      </c>
      <c r="M908" s="149">
        <v>92568</v>
      </c>
      <c r="N908" s="149">
        <v>579768</v>
      </c>
      <c r="O908">
        <v>0</v>
      </c>
      <c r="P908">
        <v>0</v>
      </c>
      <c r="Q908">
        <v>0</v>
      </c>
      <c r="R908">
        <v>0</v>
      </c>
      <c r="S908">
        <v>0</v>
      </c>
      <c r="T908" t="s">
        <v>77</v>
      </c>
      <c r="U908">
        <v>0</v>
      </c>
      <c r="V908">
        <v>0</v>
      </c>
      <c r="W908">
        <v>0</v>
      </c>
      <c r="X908">
        <v>0</v>
      </c>
      <c r="Y908">
        <v>0</v>
      </c>
      <c r="AC908">
        <v>0</v>
      </c>
      <c r="AE908">
        <v>0</v>
      </c>
      <c r="AF908">
        <v>2</v>
      </c>
      <c r="AG908">
        <v>0</v>
      </c>
      <c r="AH908">
        <v>0</v>
      </c>
      <c r="AI908">
        <v>0</v>
      </c>
      <c r="AM908">
        <v>0</v>
      </c>
      <c r="AR908" t="s">
        <v>3451</v>
      </c>
      <c r="AS908" t="s">
        <v>1680</v>
      </c>
      <c r="AT908">
        <v>2025</v>
      </c>
      <c r="AU908">
        <v>6</v>
      </c>
      <c r="AV908" t="s">
        <v>78</v>
      </c>
      <c r="AX908" t="s">
        <v>3470</v>
      </c>
    </row>
    <row r="909" spans="1:50">
      <c r="A909">
        <v>20</v>
      </c>
      <c r="B909">
        <v>33</v>
      </c>
      <c r="C909" t="s">
        <v>74</v>
      </c>
      <c r="D909" t="s">
        <v>1573</v>
      </c>
      <c r="E909" t="s">
        <v>1574</v>
      </c>
      <c r="F909">
        <v>4089</v>
      </c>
      <c r="G909" s="23">
        <v>45814</v>
      </c>
      <c r="H909" s="2">
        <v>45783.583784722221</v>
      </c>
      <c r="I909" s="2"/>
      <c r="K909" s="149">
        <v>0</v>
      </c>
      <c r="L909" s="149">
        <v>270600</v>
      </c>
      <c r="M909" s="149">
        <v>51414</v>
      </c>
      <c r="N909" s="149">
        <v>322014</v>
      </c>
      <c r="O909">
        <v>0</v>
      </c>
      <c r="P909">
        <v>0</v>
      </c>
      <c r="Q909">
        <v>0</v>
      </c>
      <c r="R909">
        <v>0</v>
      </c>
      <c r="S909">
        <v>0</v>
      </c>
      <c r="T909" t="s">
        <v>77</v>
      </c>
      <c r="U909">
        <v>0</v>
      </c>
      <c r="V909">
        <v>0</v>
      </c>
      <c r="W909">
        <v>0</v>
      </c>
      <c r="X909">
        <v>0</v>
      </c>
      <c r="Y909">
        <v>0</v>
      </c>
      <c r="AC909">
        <v>0</v>
      </c>
      <c r="AE909">
        <v>0</v>
      </c>
      <c r="AF909">
        <v>2</v>
      </c>
      <c r="AG909">
        <v>0</v>
      </c>
      <c r="AH909">
        <v>0</v>
      </c>
      <c r="AI909">
        <v>0</v>
      </c>
      <c r="AM909">
        <v>0</v>
      </c>
      <c r="AR909" t="s">
        <v>3451</v>
      </c>
      <c r="AS909" t="s">
        <v>1680</v>
      </c>
      <c r="AT909">
        <v>2025</v>
      </c>
      <c r="AU909">
        <v>6</v>
      </c>
      <c r="AV909" t="s">
        <v>78</v>
      </c>
      <c r="AX909" t="s">
        <v>3471</v>
      </c>
    </row>
    <row r="910" spans="1:50">
      <c r="A910">
        <v>21</v>
      </c>
      <c r="B910">
        <v>33</v>
      </c>
      <c r="C910" t="s">
        <v>74</v>
      </c>
      <c r="D910" t="s">
        <v>1564</v>
      </c>
      <c r="E910" t="s">
        <v>1565</v>
      </c>
      <c r="F910">
        <v>4090</v>
      </c>
      <c r="G910" s="23">
        <v>45814</v>
      </c>
      <c r="H910" s="2">
        <v>45783.586435185185</v>
      </c>
      <c r="K910" s="149">
        <v>0</v>
      </c>
      <c r="L910" s="149">
        <v>373000</v>
      </c>
      <c r="M910" s="149">
        <v>70870</v>
      </c>
      <c r="N910" s="149">
        <v>443870</v>
      </c>
      <c r="O910">
        <v>0</v>
      </c>
      <c r="P910">
        <v>0</v>
      </c>
      <c r="Q910">
        <v>0</v>
      </c>
      <c r="R910">
        <v>0</v>
      </c>
      <c r="S910">
        <v>0</v>
      </c>
      <c r="T910" t="s">
        <v>77</v>
      </c>
      <c r="U910">
        <v>0</v>
      </c>
      <c r="V910">
        <v>0</v>
      </c>
      <c r="W910">
        <v>0</v>
      </c>
      <c r="X910">
        <v>0</v>
      </c>
      <c r="Y910">
        <v>0</v>
      </c>
      <c r="AC910">
        <v>0</v>
      </c>
      <c r="AE910">
        <v>0</v>
      </c>
      <c r="AF910">
        <v>2</v>
      </c>
      <c r="AG910">
        <v>0</v>
      </c>
      <c r="AH910">
        <v>0</v>
      </c>
      <c r="AI910">
        <v>0</v>
      </c>
      <c r="AM910">
        <v>0</v>
      </c>
      <c r="AR910" t="s">
        <v>3451</v>
      </c>
      <c r="AS910" t="s">
        <v>1680</v>
      </c>
      <c r="AT910">
        <v>2025</v>
      </c>
      <c r="AU910">
        <v>6</v>
      </c>
      <c r="AV910" t="s">
        <v>78</v>
      </c>
      <c r="AX910" t="s">
        <v>3472</v>
      </c>
    </row>
    <row r="911" spans="1:50">
      <c r="A911">
        <v>22</v>
      </c>
      <c r="B911">
        <v>33</v>
      </c>
      <c r="C911" t="s">
        <v>74</v>
      </c>
      <c r="D911" t="s">
        <v>1353</v>
      </c>
      <c r="E911" t="s">
        <v>1354</v>
      </c>
      <c r="F911">
        <v>4091</v>
      </c>
      <c r="G911" s="23">
        <v>45814</v>
      </c>
      <c r="H911" s="2">
        <v>45783.595370370371</v>
      </c>
      <c r="I911" s="2">
        <v>45814.497361111113</v>
      </c>
      <c r="K911" s="149">
        <v>0</v>
      </c>
      <c r="L911" s="149">
        <v>5378975</v>
      </c>
      <c r="M911" s="149">
        <v>1022005</v>
      </c>
      <c r="N911" s="149">
        <v>6400980</v>
      </c>
      <c r="O911">
        <v>0</v>
      </c>
      <c r="P911">
        <v>0</v>
      </c>
      <c r="Q911">
        <v>0</v>
      </c>
      <c r="R911">
        <v>0</v>
      </c>
      <c r="S911">
        <v>0</v>
      </c>
      <c r="T911" t="s">
        <v>77</v>
      </c>
      <c r="U911">
        <v>0</v>
      </c>
      <c r="V911">
        <v>0</v>
      </c>
      <c r="W911">
        <v>0</v>
      </c>
      <c r="X911">
        <v>0</v>
      </c>
      <c r="Y911">
        <v>0</v>
      </c>
      <c r="AC911">
        <v>0</v>
      </c>
      <c r="AE911">
        <v>0</v>
      </c>
      <c r="AF911">
        <v>2</v>
      </c>
      <c r="AG911">
        <v>0</v>
      </c>
      <c r="AH911">
        <v>0</v>
      </c>
      <c r="AI911">
        <v>0</v>
      </c>
      <c r="AM911">
        <v>0</v>
      </c>
      <c r="AR911" t="s">
        <v>3451</v>
      </c>
      <c r="AS911" t="s">
        <v>1680</v>
      </c>
      <c r="AT911">
        <v>2025</v>
      </c>
      <c r="AU911">
        <v>6</v>
      </c>
      <c r="AV911" t="s">
        <v>78</v>
      </c>
      <c r="AX911" t="s">
        <v>3473</v>
      </c>
    </row>
    <row r="912" spans="1:50">
      <c r="A912">
        <v>23</v>
      </c>
      <c r="B912">
        <v>33</v>
      </c>
      <c r="C912" t="s">
        <v>74</v>
      </c>
      <c r="D912" t="s">
        <v>1571</v>
      </c>
      <c r="E912" t="s">
        <v>1572</v>
      </c>
      <c r="F912">
        <v>4092</v>
      </c>
      <c r="G912" s="23">
        <v>45815</v>
      </c>
      <c r="H912" s="2">
        <v>45783.735474537039</v>
      </c>
      <c r="J912" s="2">
        <v>45997.341689814813</v>
      </c>
      <c r="K912" s="149">
        <v>0</v>
      </c>
      <c r="L912" s="149">
        <v>13102421</v>
      </c>
      <c r="M912" s="149">
        <v>2489462</v>
      </c>
      <c r="N912" s="149">
        <v>15591883</v>
      </c>
      <c r="O912">
        <v>0</v>
      </c>
      <c r="P912">
        <v>0</v>
      </c>
      <c r="Q912">
        <v>0</v>
      </c>
      <c r="R912">
        <v>0</v>
      </c>
      <c r="S912">
        <v>0</v>
      </c>
      <c r="T912" t="s">
        <v>77</v>
      </c>
      <c r="U912">
        <v>0</v>
      </c>
      <c r="V912">
        <v>0</v>
      </c>
      <c r="W912">
        <v>0</v>
      </c>
      <c r="X912">
        <v>0</v>
      </c>
      <c r="AC912">
        <v>0</v>
      </c>
      <c r="AE912">
        <v>0</v>
      </c>
      <c r="AF912">
        <v>2</v>
      </c>
      <c r="AG912">
        <v>0</v>
      </c>
      <c r="AH912">
        <v>0</v>
      </c>
      <c r="AI912">
        <v>0</v>
      </c>
      <c r="AM912">
        <v>0</v>
      </c>
      <c r="AR912" t="s">
        <v>3451</v>
      </c>
      <c r="AS912" t="s">
        <v>1680</v>
      </c>
      <c r="AT912">
        <v>2025</v>
      </c>
      <c r="AU912">
        <v>6</v>
      </c>
      <c r="AV912" t="s">
        <v>78</v>
      </c>
      <c r="AX912" t="s">
        <v>3474</v>
      </c>
    </row>
    <row r="913" spans="1:50">
      <c r="A913">
        <v>24</v>
      </c>
      <c r="B913">
        <v>33</v>
      </c>
      <c r="C913" t="s">
        <v>74</v>
      </c>
      <c r="D913" t="s">
        <v>1222</v>
      </c>
      <c r="E913" t="s">
        <v>1223</v>
      </c>
      <c r="F913">
        <v>4093</v>
      </c>
      <c r="G913" s="23">
        <v>45817</v>
      </c>
      <c r="H913" s="2">
        <v>45814.539699074077</v>
      </c>
      <c r="I913" s="2">
        <v>45967.56554398148</v>
      </c>
      <c r="K913" s="149">
        <v>0</v>
      </c>
      <c r="L913" s="149">
        <v>11023660</v>
      </c>
      <c r="M913" s="149">
        <v>2094495</v>
      </c>
      <c r="N913" s="149">
        <v>13118155</v>
      </c>
      <c r="O913">
        <v>0</v>
      </c>
      <c r="P913">
        <v>0</v>
      </c>
      <c r="Q913">
        <v>0</v>
      </c>
      <c r="R913">
        <v>0</v>
      </c>
      <c r="S913">
        <v>0</v>
      </c>
      <c r="T913" t="s">
        <v>77</v>
      </c>
      <c r="U913">
        <v>0</v>
      </c>
      <c r="V913">
        <v>0</v>
      </c>
      <c r="W913">
        <v>0</v>
      </c>
      <c r="X913">
        <v>0</v>
      </c>
      <c r="AC913">
        <v>0</v>
      </c>
      <c r="AE913">
        <v>0</v>
      </c>
      <c r="AF913">
        <v>2</v>
      </c>
      <c r="AG913">
        <v>0</v>
      </c>
      <c r="AH913">
        <v>0</v>
      </c>
      <c r="AI913">
        <v>0</v>
      </c>
      <c r="AM913">
        <v>0</v>
      </c>
      <c r="AR913" t="s">
        <v>3451</v>
      </c>
      <c r="AS913" t="s">
        <v>1680</v>
      </c>
      <c r="AT913">
        <v>2025</v>
      </c>
      <c r="AU913">
        <v>6</v>
      </c>
      <c r="AV913" t="s">
        <v>78</v>
      </c>
      <c r="AX913" t="s">
        <v>3475</v>
      </c>
    </row>
    <row r="914" spans="1:50">
      <c r="A914">
        <v>25</v>
      </c>
      <c r="B914">
        <v>33</v>
      </c>
      <c r="C914" t="s">
        <v>74</v>
      </c>
      <c r="D914" t="s">
        <v>1581</v>
      </c>
      <c r="E914" t="s">
        <v>1582</v>
      </c>
      <c r="F914">
        <v>4094</v>
      </c>
      <c r="G914" s="23">
        <v>45817</v>
      </c>
      <c r="H914" s="2">
        <v>45814.559976851851</v>
      </c>
      <c r="I914" s="2">
        <v>45936.396793981483</v>
      </c>
      <c r="K914" s="149">
        <v>0</v>
      </c>
      <c r="L914" s="149">
        <v>975612</v>
      </c>
      <c r="M914" s="149">
        <v>185367</v>
      </c>
      <c r="N914" s="149">
        <v>1160979</v>
      </c>
      <c r="O914">
        <v>0</v>
      </c>
      <c r="P914">
        <v>0</v>
      </c>
      <c r="Q914">
        <v>0</v>
      </c>
      <c r="R914">
        <v>0</v>
      </c>
      <c r="S914">
        <v>0</v>
      </c>
      <c r="T914" t="s">
        <v>77</v>
      </c>
      <c r="U914">
        <v>0</v>
      </c>
      <c r="V914">
        <v>0</v>
      </c>
      <c r="W914">
        <v>0</v>
      </c>
      <c r="X914">
        <v>0</v>
      </c>
      <c r="Y914">
        <v>0</v>
      </c>
      <c r="AC914">
        <v>0</v>
      </c>
      <c r="AE914">
        <v>0</v>
      </c>
      <c r="AF914">
        <v>2</v>
      </c>
      <c r="AG914">
        <v>0</v>
      </c>
      <c r="AH914">
        <v>0</v>
      </c>
      <c r="AI914">
        <v>0</v>
      </c>
      <c r="AM914">
        <v>0</v>
      </c>
      <c r="AR914" t="s">
        <v>3451</v>
      </c>
      <c r="AS914" t="s">
        <v>1680</v>
      </c>
      <c r="AT914">
        <v>2025</v>
      </c>
      <c r="AU914">
        <v>6</v>
      </c>
      <c r="AV914" t="s">
        <v>78</v>
      </c>
      <c r="AX914" t="s">
        <v>3476</v>
      </c>
    </row>
    <row r="915" spans="1:50">
      <c r="A915">
        <v>26</v>
      </c>
      <c r="B915">
        <v>33</v>
      </c>
      <c r="C915" t="s">
        <v>74</v>
      </c>
      <c r="D915" t="s">
        <v>1988</v>
      </c>
      <c r="E915" t="s">
        <v>1989</v>
      </c>
      <c r="F915">
        <v>4095</v>
      </c>
      <c r="G915" s="23">
        <v>45818</v>
      </c>
      <c r="H915" s="2">
        <v>45814.571053240739</v>
      </c>
      <c r="I915" s="2" t="s">
        <v>3368</v>
      </c>
      <c r="K915" s="149">
        <v>0</v>
      </c>
      <c r="L915" s="149">
        <v>1675600</v>
      </c>
      <c r="M915" s="149">
        <v>318364</v>
      </c>
      <c r="N915" s="149">
        <v>1993964</v>
      </c>
      <c r="O915">
        <v>0</v>
      </c>
      <c r="P915">
        <v>0</v>
      </c>
      <c r="Q915">
        <v>0</v>
      </c>
      <c r="R915">
        <v>0</v>
      </c>
      <c r="S915">
        <v>0</v>
      </c>
      <c r="T915" t="s">
        <v>77</v>
      </c>
      <c r="U915">
        <v>0</v>
      </c>
      <c r="V915">
        <v>0</v>
      </c>
      <c r="W915">
        <v>0</v>
      </c>
      <c r="X915">
        <v>0</v>
      </c>
      <c r="AC915">
        <v>0</v>
      </c>
      <c r="AE915">
        <v>0</v>
      </c>
      <c r="AF915">
        <v>2</v>
      </c>
      <c r="AG915">
        <v>0</v>
      </c>
      <c r="AH915">
        <v>0</v>
      </c>
      <c r="AI915">
        <v>0</v>
      </c>
      <c r="AM915">
        <v>0</v>
      </c>
      <c r="AR915" t="s">
        <v>3451</v>
      </c>
      <c r="AS915" t="s">
        <v>1680</v>
      </c>
      <c r="AT915">
        <v>2025</v>
      </c>
      <c r="AU915">
        <v>6</v>
      </c>
      <c r="AV915" t="s">
        <v>78</v>
      </c>
      <c r="AX915" t="s">
        <v>3477</v>
      </c>
    </row>
    <row r="916" spans="1:50">
      <c r="A916">
        <v>27</v>
      </c>
      <c r="B916">
        <v>33</v>
      </c>
      <c r="C916" t="s">
        <v>74</v>
      </c>
      <c r="D916" t="s">
        <v>2329</v>
      </c>
      <c r="E916" t="s">
        <v>2330</v>
      </c>
      <c r="F916">
        <v>4096</v>
      </c>
      <c r="G916" s="23">
        <v>45818</v>
      </c>
      <c r="H916" s="2">
        <v>45906.476574074077</v>
      </c>
      <c r="I916" s="2">
        <v>45967.631516203706</v>
      </c>
      <c r="K916" s="149">
        <v>0</v>
      </c>
      <c r="L916" s="149">
        <v>280000</v>
      </c>
      <c r="M916" s="149">
        <v>53200</v>
      </c>
      <c r="N916" s="149">
        <v>333200</v>
      </c>
      <c r="O916">
        <v>0</v>
      </c>
      <c r="P916">
        <v>0</v>
      </c>
      <c r="Q916">
        <v>0</v>
      </c>
      <c r="R916">
        <v>0</v>
      </c>
      <c r="S916">
        <v>0</v>
      </c>
      <c r="T916" t="s">
        <v>77</v>
      </c>
      <c r="U916">
        <v>0</v>
      </c>
      <c r="V916">
        <v>0</v>
      </c>
      <c r="W916">
        <v>0</v>
      </c>
      <c r="X916">
        <v>0</v>
      </c>
      <c r="Y916">
        <v>0</v>
      </c>
      <c r="AC916">
        <v>0</v>
      </c>
      <c r="AE916">
        <v>0</v>
      </c>
      <c r="AF916">
        <v>2</v>
      </c>
      <c r="AG916">
        <v>0</v>
      </c>
      <c r="AH916">
        <v>0</v>
      </c>
      <c r="AI916">
        <v>0</v>
      </c>
      <c r="AM916">
        <v>0</v>
      </c>
      <c r="AR916" t="s">
        <v>3451</v>
      </c>
      <c r="AS916" t="s">
        <v>1680</v>
      </c>
      <c r="AT916">
        <v>2025</v>
      </c>
      <c r="AU916">
        <v>6</v>
      </c>
      <c r="AV916" t="s">
        <v>78</v>
      </c>
      <c r="AX916" t="s">
        <v>3478</v>
      </c>
    </row>
    <row r="917" spans="1:50">
      <c r="A917">
        <v>28</v>
      </c>
      <c r="B917">
        <v>33</v>
      </c>
      <c r="C917" t="s">
        <v>74</v>
      </c>
      <c r="D917" t="s">
        <v>1600</v>
      </c>
      <c r="E917" t="s">
        <v>1601</v>
      </c>
      <c r="F917">
        <v>4097</v>
      </c>
      <c r="G917" s="23">
        <v>45818</v>
      </c>
      <c r="H917" s="2">
        <v>45906.52270833333</v>
      </c>
      <c r="I917" s="2"/>
      <c r="K917" s="149">
        <v>0</v>
      </c>
      <c r="L917" s="149">
        <v>128240</v>
      </c>
      <c r="M917" s="149">
        <v>24366</v>
      </c>
      <c r="N917" s="149">
        <v>152606</v>
      </c>
      <c r="O917">
        <v>0</v>
      </c>
      <c r="P917">
        <v>0</v>
      </c>
      <c r="Q917">
        <v>0</v>
      </c>
      <c r="R917">
        <v>0</v>
      </c>
      <c r="S917">
        <v>0</v>
      </c>
      <c r="T917" t="s">
        <v>77</v>
      </c>
      <c r="U917">
        <v>0</v>
      </c>
      <c r="V917">
        <v>0</v>
      </c>
      <c r="W917">
        <v>0</v>
      </c>
      <c r="X917">
        <v>0</v>
      </c>
      <c r="Y917">
        <v>0</v>
      </c>
      <c r="AC917">
        <v>0</v>
      </c>
      <c r="AE917">
        <v>0</v>
      </c>
      <c r="AF917">
        <v>2</v>
      </c>
      <c r="AG917">
        <v>0</v>
      </c>
      <c r="AH917">
        <v>0</v>
      </c>
      <c r="AI917">
        <v>0</v>
      </c>
      <c r="AM917">
        <v>0</v>
      </c>
      <c r="AR917" t="s">
        <v>3451</v>
      </c>
      <c r="AS917" t="s">
        <v>1680</v>
      </c>
      <c r="AT917">
        <v>2025</v>
      </c>
      <c r="AU917">
        <v>6</v>
      </c>
      <c r="AV917" t="s">
        <v>78</v>
      </c>
      <c r="AX917" t="s">
        <v>3479</v>
      </c>
    </row>
    <row r="918" spans="1:50">
      <c r="A918">
        <v>29</v>
      </c>
      <c r="B918">
        <v>33</v>
      </c>
      <c r="C918" t="s">
        <v>74</v>
      </c>
      <c r="D918" t="s">
        <v>1222</v>
      </c>
      <c r="E918" t="s">
        <v>1223</v>
      </c>
      <c r="F918">
        <v>4098</v>
      </c>
      <c r="G918" s="23">
        <v>45820</v>
      </c>
      <c r="H918" s="2">
        <v>45936.473483796297</v>
      </c>
      <c r="I918" t="s">
        <v>3369</v>
      </c>
      <c r="K918" s="149">
        <v>0</v>
      </c>
      <c r="L918" s="149">
        <v>2886060</v>
      </c>
      <c r="M918" s="149">
        <v>548351</v>
      </c>
      <c r="N918" s="149">
        <v>3434411</v>
      </c>
      <c r="O918">
        <v>0</v>
      </c>
      <c r="P918">
        <v>0</v>
      </c>
      <c r="Q918">
        <v>0</v>
      </c>
      <c r="R918">
        <v>0</v>
      </c>
      <c r="S918">
        <v>0</v>
      </c>
      <c r="T918" t="s">
        <v>77</v>
      </c>
      <c r="U918">
        <v>0</v>
      </c>
      <c r="V918">
        <v>0</v>
      </c>
      <c r="W918">
        <v>0</v>
      </c>
      <c r="X918">
        <v>0</v>
      </c>
      <c r="AC918">
        <v>0</v>
      </c>
      <c r="AE918">
        <v>0</v>
      </c>
      <c r="AF918">
        <v>2</v>
      </c>
      <c r="AG918">
        <v>0</v>
      </c>
      <c r="AH918">
        <v>0</v>
      </c>
      <c r="AI918">
        <v>0</v>
      </c>
      <c r="AM918">
        <v>0</v>
      </c>
      <c r="AR918" t="s">
        <v>3451</v>
      </c>
      <c r="AS918" t="s">
        <v>1680</v>
      </c>
      <c r="AT918">
        <v>2025</v>
      </c>
      <c r="AU918">
        <v>6</v>
      </c>
      <c r="AV918" t="s">
        <v>78</v>
      </c>
      <c r="AX918" t="s">
        <v>3480</v>
      </c>
    </row>
    <row r="919" spans="1:50">
      <c r="A919">
        <v>30</v>
      </c>
      <c r="B919">
        <v>33</v>
      </c>
      <c r="C919" t="s">
        <v>74</v>
      </c>
      <c r="D919" t="s">
        <v>1222</v>
      </c>
      <c r="E919" t="s">
        <v>1223</v>
      </c>
      <c r="F919">
        <v>4099</v>
      </c>
      <c r="G919" s="23">
        <v>45820</v>
      </c>
      <c r="H919" s="2">
        <v>45936.477465277778</v>
      </c>
      <c r="I919" s="2" t="s">
        <v>3369</v>
      </c>
      <c r="K919" s="149">
        <v>0</v>
      </c>
      <c r="L919" s="149">
        <v>1482912</v>
      </c>
      <c r="M919" s="149">
        <v>281754</v>
      </c>
      <c r="N919" s="149">
        <v>1764666</v>
      </c>
      <c r="O919">
        <v>0</v>
      </c>
      <c r="P919">
        <v>0</v>
      </c>
      <c r="Q919">
        <v>0</v>
      </c>
      <c r="R919">
        <v>0</v>
      </c>
      <c r="S919">
        <v>0</v>
      </c>
      <c r="T919" t="s">
        <v>77</v>
      </c>
      <c r="U919">
        <v>0</v>
      </c>
      <c r="V919">
        <v>0</v>
      </c>
      <c r="W919">
        <v>0</v>
      </c>
      <c r="X919">
        <v>0</v>
      </c>
      <c r="AC919">
        <v>0</v>
      </c>
      <c r="AE919">
        <v>0</v>
      </c>
      <c r="AF919">
        <v>2</v>
      </c>
      <c r="AG919">
        <v>0</v>
      </c>
      <c r="AH919">
        <v>0</v>
      </c>
      <c r="AI919">
        <v>0</v>
      </c>
      <c r="AM919">
        <v>0</v>
      </c>
      <c r="AR919" t="s">
        <v>3451</v>
      </c>
      <c r="AS919" t="s">
        <v>1680</v>
      </c>
      <c r="AT919">
        <v>2025</v>
      </c>
      <c r="AU919">
        <v>6</v>
      </c>
      <c r="AV919" t="s">
        <v>78</v>
      </c>
      <c r="AX919" t="s">
        <v>3481</v>
      </c>
    </row>
    <row r="920" spans="1:50">
      <c r="A920">
        <v>31</v>
      </c>
      <c r="B920">
        <v>33</v>
      </c>
      <c r="C920" t="s">
        <v>74</v>
      </c>
      <c r="D920" t="s">
        <v>1222</v>
      </c>
      <c r="E920" t="s">
        <v>1223</v>
      </c>
      <c r="F920">
        <v>4100</v>
      </c>
      <c r="G920" s="23">
        <v>45820</v>
      </c>
      <c r="H920" s="2">
        <v>45936.486527777779</v>
      </c>
      <c r="I920" t="s">
        <v>3369</v>
      </c>
      <c r="K920" s="149">
        <v>0</v>
      </c>
      <c r="L920" s="149">
        <v>15667760</v>
      </c>
      <c r="M920" s="149">
        <v>2976875</v>
      </c>
      <c r="N920" s="149">
        <v>18644635</v>
      </c>
      <c r="O920">
        <v>0</v>
      </c>
      <c r="P920">
        <v>0</v>
      </c>
      <c r="Q920">
        <v>0</v>
      </c>
      <c r="R920">
        <v>0</v>
      </c>
      <c r="S920">
        <v>0</v>
      </c>
      <c r="T920" t="s">
        <v>77</v>
      </c>
      <c r="U920">
        <v>0</v>
      </c>
      <c r="V920">
        <v>0</v>
      </c>
      <c r="W920">
        <v>0</v>
      </c>
      <c r="X920">
        <v>0</v>
      </c>
      <c r="AC920">
        <v>0</v>
      </c>
      <c r="AE920">
        <v>0</v>
      </c>
      <c r="AF920">
        <v>2</v>
      </c>
      <c r="AG920">
        <v>0</v>
      </c>
      <c r="AH920">
        <v>0</v>
      </c>
      <c r="AI920">
        <v>0</v>
      </c>
      <c r="AM920">
        <v>0</v>
      </c>
      <c r="AR920" t="s">
        <v>3451</v>
      </c>
      <c r="AS920" t="s">
        <v>1680</v>
      </c>
      <c r="AT920">
        <v>2025</v>
      </c>
      <c r="AU920">
        <v>6</v>
      </c>
      <c r="AV920" t="s">
        <v>78</v>
      </c>
      <c r="AX920" t="s">
        <v>3482</v>
      </c>
    </row>
    <row r="921" spans="1:50">
      <c r="A921">
        <v>32</v>
      </c>
      <c r="B921">
        <v>33</v>
      </c>
      <c r="C921" t="s">
        <v>74</v>
      </c>
      <c r="D921" t="s">
        <v>3211</v>
      </c>
      <c r="E921" t="s">
        <v>3212</v>
      </c>
      <c r="F921">
        <v>4101</v>
      </c>
      <c r="G921" s="23">
        <v>45820</v>
      </c>
      <c r="H921" s="2">
        <v>45936.507534722223</v>
      </c>
      <c r="I921" t="s">
        <v>3370</v>
      </c>
      <c r="K921" s="149">
        <v>0</v>
      </c>
      <c r="L921" s="149">
        <v>363000</v>
      </c>
      <c r="M921" s="149">
        <v>68970</v>
      </c>
      <c r="N921" s="149">
        <v>431970</v>
      </c>
      <c r="O921">
        <v>0</v>
      </c>
      <c r="P921">
        <v>0</v>
      </c>
      <c r="Q921">
        <v>0</v>
      </c>
      <c r="R921">
        <v>0</v>
      </c>
      <c r="S921">
        <v>0</v>
      </c>
      <c r="T921" t="s">
        <v>77</v>
      </c>
      <c r="U921">
        <v>0</v>
      </c>
      <c r="V921">
        <v>0</v>
      </c>
      <c r="W921">
        <v>0</v>
      </c>
      <c r="X921">
        <v>0</v>
      </c>
      <c r="Y921">
        <v>0</v>
      </c>
      <c r="AC921">
        <v>0</v>
      </c>
      <c r="AE921">
        <v>0</v>
      </c>
      <c r="AF921">
        <v>2</v>
      </c>
      <c r="AG921">
        <v>0</v>
      </c>
      <c r="AH921">
        <v>0</v>
      </c>
      <c r="AI921">
        <v>0</v>
      </c>
      <c r="AM921">
        <v>0</v>
      </c>
      <c r="AR921" t="s">
        <v>3451</v>
      </c>
      <c r="AS921" t="s">
        <v>1680</v>
      </c>
      <c r="AT921">
        <v>2025</v>
      </c>
      <c r="AU921">
        <v>6</v>
      </c>
      <c r="AV921" t="s">
        <v>78</v>
      </c>
      <c r="AX921" t="s">
        <v>3483</v>
      </c>
    </row>
    <row r="922" spans="1:50">
      <c r="A922">
        <v>33</v>
      </c>
      <c r="B922">
        <v>33</v>
      </c>
      <c r="C922" t="s">
        <v>74</v>
      </c>
      <c r="D922" t="s">
        <v>1680</v>
      </c>
      <c r="E922" t="s">
        <v>3139</v>
      </c>
      <c r="F922">
        <v>4102</v>
      </c>
      <c r="G922" s="23">
        <v>45820</v>
      </c>
      <c r="H922" s="2">
        <v>45967.581712962965</v>
      </c>
      <c r="I922" s="2"/>
      <c r="K922" s="149">
        <v>0</v>
      </c>
      <c r="L922" s="149">
        <v>106200</v>
      </c>
      <c r="M922" s="149">
        <v>20178</v>
      </c>
      <c r="N922" s="149">
        <v>126378</v>
      </c>
      <c r="O922">
        <v>0</v>
      </c>
      <c r="P922">
        <v>0</v>
      </c>
      <c r="Q922">
        <v>0</v>
      </c>
      <c r="R922">
        <v>0</v>
      </c>
      <c r="S922">
        <v>0</v>
      </c>
      <c r="T922" t="s">
        <v>77</v>
      </c>
      <c r="U922">
        <v>0</v>
      </c>
      <c r="V922">
        <v>0</v>
      </c>
      <c r="W922">
        <v>0</v>
      </c>
      <c r="X922">
        <v>0</v>
      </c>
      <c r="Y922">
        <v>0</v>
      </c>
      <c r="AC922">
        <v>0</v>
      </c>
      <c r="AE922">
        <v>0</v>
      </c>
      <c r="AF922">
        <v>2</v>
      </c>
      <c r="AG922">
        <v>0</v>
      </c>
      <c r="AH922">
        <v>0</v>
      </c>
      <c r="AI922">
        <v>0</v>
      </c>
      <c r="AM922">
        <v>0</v>
      </c>
      <c r="AR922" t="s">
        <v>3451</v>
      </c>
      <c r="AS922" t="s">
        <v>1680</v>
      </c>
      <c r="AT922">
        <v>2025</v>
      </c>
      <c r="AU922">
        <v>6</v>
      </c>
      <c r="AV922" t="s">
        <v>78</v>
      </c>
      <c r="AX922" t="s">
        <v>3484</v>
      </c>
    </row>
    <row r="923" spans="1:50">
      <c r="A923">
        <v>34</v>
      </c>
      <c r="B923">
        <v>33</v>
      </c>
      <c r="C923" t="s">
        <v>74</v>
      </c>
      <c r="D923" t="s">
        <v>1588</v>
      </c>
      <c r="E923" t="s">
        <v>1589</v>
      </c>
      <c r="F923">
        <v>4103</v>
      </c>
      <c r="G923" s="23">
        <v>45820</v>
      </c>
      <c r="H923" s="2">
        <v>45967.593275462961</v>
      </c>
      <c r="K923" s="149">
        <v>0</v>
      </c>
      <c r="L923" s="149">
        <v>2611441</v>
      </c>
      <c r="M923" s="149">
        <v>496174</v>
      </c>
      <c r="N923" s="149">
        <v>3107615</v>
      </c>
      <c r="O923">
        <v>0</v>
      </c>
      <c r="P923">
        <v>0</v>
      </c>
      <c r="Q923">
        <v>0</v>
      </c>
      <c r="R923">
        <v>0</v>
      </c>
      <c r="S923">
        <v>0</v>
      </c>
      <c r="T923" t="s">
        <v>77</v>
      </c>
      <c r="U923">
        <v>0</v>
      </c>
      <c r="V923">
        <v>0</v>
      </c>
      <c r="W923">
        <v>0</v>
      </c>
      <c r="X923">
        <v>0</v>
      </c>
      <c r="Y923">
        <v>0</v>
      </c>
      <c r="AC923">
        <v>0</v>
      </c>
      <c r="AE923">
        <v>0</v>
      </c>
      <c r="AF923">
        <v>2</v>
      </c>
      <c r="AG923">
        <v>0</v>
      </c>
      <c r="AH923">
        <v>0</v>
      </c>
      <c r="AI923">
        <v>0</v>
      </c>
      <c r="AM923">
        <v>0</v>
      </c>
      <c r="AR923" t="s">
        <v>3451</v>
      </c>
      <c r="AS923" t="s">
        <v>1680</v>
      </c>
      <c r="AT923">
        <v>2025</v>
      </c>
      <c r="AU923">
        <v>6</v>
      </c>
      <c r="AV923" t="s">
        <v>78</v>
      </c>
      <c r="AX923" t="s">
        <v>3485</v>
      </c>
    </row>
    <row r="924" spans="1:50">
      <c r="A924">
        <v>35</v>
      </c>
      <c r="B924">
        <v>33</v>
      </c>
      <c r="C924" t="s">
        <v>74</v>
      </c>
      <c r="D924" t="s">
        <v>1353</v>
      </c>
      <c r="E924" t="s">
        <v>1354</v>
      </c>
      <c r="F924">
        <v>4104</v>
      </c>
      <c r="G924" s="23">
        <v>45820</v>
      </c>
      <c r="H924" s="2">
        <v>45967.617152777777</v>
      </c>
      <c r="I924" t="s">
        <v>3371</v>
      </c>
      <c r="K924" s="149">
        <v>0</v>
      </c>
      <c r="L924" s="149">
        <v>3454480</v>
      </c>
      <c r="M924" s="149">
        <v>656351</v>
      </c>
      <c r="N924" s="149">
        <v>4110831</v>
      </c>
      <c r="O924">
        <v>0</v>
      </c>
      <c r="P924">
        <v>0</v>
      </c>
      <c r="Q924">
        <v>0</v>
      </c>
      <c r="R924">
        <v>0</v>
      </c>
      <c r="S924">
        <v>0</v>
      </c>
      <c r="T924" t="s">
        <v>77</v>
      </c>
      <c r="U924">
        <v>0</v>
      </c>
      <c r="V924">
        <v>0</v>
      </c>
      <c r="W924">
        <v>0</v>
      </c>
      <c r="X924">
        <v>0</v>
      </c>
      <c r="Y924">
        <v>0</v>
      </c>
      <c r="AC924">
        <v>0</v>
      </c>
      <c r="AE924">
        <v>0</v>
      </c>
      <c r="AF924">
        <v>2</v>
      </c>
      <c r="AG924">
        <v>0</v>
      </c>
      <c r="AH924">
        <v>0</v>
      </c>
      <c r="AI924">
        <v>0</v>
      </c>
      <c r="AM924">
        <v>0</v>
      </c>
      <c r="AR924" t="s">
        <v>3451</v>
      </c>
      <c r="AS924" t="s">
        <v>1680</v>
      </c>
      <c r="AT924">
        <v>2025</v>
      </c>
      <c r="AU924">
        <v>6</v>
      </c>
      <c r="AV924" t="s">
        <v>78</v>
      </c>
      <c r="AX924" t="s">
        <v>3486</v>
      </c>
    </row>
    <row r="925" spans="1:50">
      <c r="A925">
        <v>36</v>
      </c>
      <c r="B925">
        <v>33</v>
      </c>
      <c r="C925" t="s">
        <v>74</v>
      </c>
      <c r="D925" t="s">
        <v>1581</v>
      </c>
      <c r="E925" t="s">
        <v>1582</v>
      </c>
      <c r="F925">
        <v>4105</v>
      </c>
      <c r="G925" s="23">
        <v>45820</v>
      </c>
      <c r="H925" s="2">
        <v>45967.647685185184</v>
      </c>
      <c r="I925" t="s">
        <v>3372</v>
      </c>
      <c r="K925" s="149">
        <v>0</v>
      </c>
      <c r="L925" s="149">
        <v>603900</v>
      </c>
      <c r="M925" s="149">
        <v>114742</v>
      </c>
      <c r="N925" s="149">
        <v>718642</v>
      </c>
      <c r="O925">
        <v>0</v>
      </c>
      <c r="P925">
        <v>0</v>
      </c>
      <c r="Q925">
        <v>0</v>
      </c>
      <c r="R925">
        <v>0</v>
      </c>
      <c r="S925">
        <v>0</v>
      </c>
      <c r="T925" t="s">
        <v>77</v>
      </c>
      <c r="U925">
        <v>0</v>
      </c>
      <c r="V925">
        <v>0</v>
      </c>
      <c r="W925">
        <v>0</v>
      </c>
      <c r="X925">
        <v>0</v>
      </c>
      <c r="Y925">
        <v>0</v>
      </c>
      <c r="AC925">
        <v>0</v>
      </c>
      <c r="AE925">
        <v>0</v>
      </c>
      <c r="AF925">
        <v>2</v>
      </c>
      <c r="AG925">
        <v>0</v>
      </c>
      <c r="AH925">
        <v>0</v>
      </c>
      <c r="AI925">
        <v>0</v>
      </c>
      <c r="AM925">
        <v>0</v>
      </c>
      <c r="AR925" t="s">
        <v>3451</v>
      </c>
      <c r="AS925" t="s">
        <v>1680</v>
      </c>
      <c r="AT925">
        <v>2025</v>
      </c>
      <c r="AU925">
        <v>6</v>
      </c>
      <c r="AV925" t="s">
        <v>78</v>
      </c>
      <c r="AX925" t="s">
        <v>3487</v>
      </c>
    </row>
    <row r="926" spans="1:50">
      <c r="A926">
        <v>37</v>
      </c>
      <c r="B926">
        <v>33</v>
      </c>
      <c r="C926" t="s">
        <v>74</v>
      </c>
      <c r="D926" t="s">
        <v>1571</v>
      </c>
      <c r="E926" t="s">
        <v>1572</v>
      </c>
      <c r="F926">
        <v>4106</v>
      </c>
      <c r="G926" s="23" t="s">
        <v>3820</v>
      </c>
      <c r="H926" s="2">
        <v>45967.672430555554</v>
      </c>
      <c r="J926" t="s">
        <v>3373</v>
      </c>
      <c r="K926" s="149">
        <v>0</v>
      </c>
      <c r="L926" s="149">
        <v>21464519</v>
      </c>
      <c r="M926" s="149">
        <v>4078259</v>
      </c>
      <c r="N926" s="149">
        <v>25542778</v>
      </c>
      <c r="O926">
        <v>0</v>
      </c>
      <c r="P926">
        <v>0</v>
      </c>
      <c r="Q926">
        <v>0</v>
      </c>
      <c r="R926">
        <v>0</v>
      </c>
      <c r="S926">
        <v>0</v>
      </c>
      <c r="T926" t="s">
        <v>77</v>
      </c>
      <c r="U926">
        <v>0</v>
      </c>
      <c r="V926">
        <v>0</v>
      </c>
      <c r="W926">
        <v>0</v>
      </c>
      <c r="X926">
        <v>0</v>
      </c>
      <c r="AC926">
        <v>0</v>
      </c>
      <c r="AE926">
        <v>0</v>
      </c>
      <c r="AF926">
        <v>2</v>
      </c>
      <c r="AG926">
        <v>0</v>
      </c>
      <c r="AH926">
        <v>0</v>
      </c>
      <c r="AI926">
        <v>0</v>
      </c>
      <c r="AM926">
        <v>0</v>
      </c>
      <c r="AR926" t="s">
        <v>3451</v>
      </c>
      <c r="AS926" t="s">
        <v>1680</v>
      </c>
      <c r="AT926">
        <v>2025</v>
      </c>
      <c r="AU926">
        <v>6</v>
      </c>
      <c r="AV926" t="s">
        <v>78</v>
      </c>
      <c r="AX926" t="s">
        <v>3488</v>
      </c>
    </row>
    <row r="927" spans="1:50">
      <c r="A927">
        <v>38</v>
      </c>
      <c r="B927">
        <v>33</v>
      </c>
      <c r="C927" t="s">
        <v>74</v>
      </c>
      <c r="D927" t="s">
        <v>1571</v>
      </c>
      <c r="E927" t="s">
        <v>1572</v>
      </c>
      <c r="F927">
        <v>4107</v>
      </c>
      <c r="G927" s="23" t="s">
        <v>3820</v>
      </c>
      <c r="H927" s="2">
        <v>45997.670347222222</v>
      </c>
      <c r="J927" t="s">
        <v>3374</v>
      </c>
      <c r="K927" s="149">
        <v>0</v>
      </c>
      <c r="L927" s="149">
        <v>22145119</v>
      </c>
      <c r="M927" s="149">
        <v>4207573</v>
      </c>
      <c r="N927" s="149">
        <v>26352692</v>
      </c>
      <c r="O927">
        <v>0</v>
      </c>
      <c r="P927">
        <v>0</v>
      </c>
      <c r="Q927">
        <v>0</v>
      </c>
      <c r="R927">
        <v>0</v>
      </c>
      <c r="S927">
        <v>0</v>
      </c>
      <c r="T927" t="s">
        <v>77</v>
      </c>
      <c r="U927">
        <v>0</v>
      </c>
      <c r="V927">
        <v>0</v>
      </c>
      <c r="W927">
        <v>0</v>
      </c>
      <c r="X927">
        <v>0</v>
      </c>
      <c r="AC927">
        <v>0</v>
      </c>
      <c r="AE927">
        <v>0</v>
      </c>
      <c r="AF927">
        <v>2</v>
      </c>
      <c r="AG927">
        <v>0</v>
      </c>
      <c r="AH927">
        <v>0</v>
      </c>
      <c r="AI927">
        <v>0</v>
      </c>
      <c r="AM927">
        <v>0</v>
      </c>
      <c r="AR927" t="s">
        <v>3451</v>
      </c>
      <c r="AS927" t="s">
        <v>1680</v>
      </c>
      <c r="AT927">
        <v>2025</v>
      </c>
      <c r="AU927">
        <v>6</v>
      </c>
      <c r="AV927" t="s">
        <v>78</v>
      </c>
      <c r="AX927" t="s">
        <v>3489</v>
      </c>
    </row>
    <row r="928" spans="1:50">
      <c r="A928">
        <v>39</v>
      </c>
      <c r="B928">
        <v>33</v>
      </c>
      <c r="C928" t="s">
        <v>74</v>
      </c>
      <c r="D928" t="s">
        <v>1222</v>
      </c>
      <c r="E928" t="s">
        <v>1223</v>
      </c>
      <c r="F928">
        <v>4108</v>
      </c>
      <c r="G928" s="23" t="s">
        <v>1526</v>
      </c>
      <c r="H928" s="2" t="s">
        <v>3375</v>
      </c>
      <c r="I928" t="s">
        <v>3376</v>
      </c>
      <c r="K928" s="149">
        <v>0</v>
      </c>
      <c r="L928" s="149">
        <v>8184880</v>
      </c>
      <c r="M928" s="149">
        <v>1555127</v>
      </c>
      <c r="N928" s="149">
        <v>9740007</v>
      </c>
      <c r="O928">
        <v>0</v>
      </c>
      <c r="P928">
        <v>0</v>
      </c>
      <c r="Q928">
        <v>0</v>
      </c>
      <c r="R928">
        <v>0</v>
      </c>
      <c r="S928">
        <v>0</v>
      </c>
      <c r="T928" t="s">
        <v>77</v>
      </c>
      <c r="U928">
        <v>0</v>
      </c>
      <c r="V928">
        <v>0</v>
      </c>
      <c r="W928">
        <v>0</v>
      </c>
      <c r="X928">
        <v>0</v>
      </c>
      <c r="AC928">
        <v>0</v>
      </c>
      <c r="AE928">
        <v>0</v>
      </c>
      <c r="AF928">
        <v>2</v>
      </c>
      <c r="AG928">
        <v>0</v>
      </c>
      <c r="AH928">
        <v>0</v>
      </c>
      <c r="AI928">
        <v>0</v>
      </c>
      <c r="AM928">
        <v>0</v>
      </c>
      <c r="AR928" t="s">
        <v>3451</v>
      </c>
      <c r="AS928" t="s">
        <v>1680</v>
      </c>
      <c r="AT928">
        <v>2025</v>
      </c>
      <c r="AU928">
        <v>6</v>
      </c>
      <c r="AV928" t="s">
        <v>78</v>
      </c>
      <c r="AX928" t="s">
        <v>3490</v>
      </c>
    </row>
    <row r="929" spans="1:50">
      <c r="A929">
        <v>40</v>
      </c>
      <c r="B929">
        <v>33</v>
      </c>
      <c r="C929" t="s">
        <v>74</v>
      </c>
      <c r="D929" t="s">
        <v>1579</v>
      </c>
      <c r="E929" t="s">
        <v>1580</v>
      </c>
      <c r="F929">
        <v>4109</v>
      </c>
      <c r="G929" s="23" t="s">
        <v>1526</v>
      </c>
      <c r="H929" s="2" t="s">
        <v>3377</v>
      </c>
      <c r="I929" t="s">
        <v>3378</v>
      </c>
      <c r="K929" s="149">
        <v>0</v>
      </c>
      <c r="L929" s="149">
        <v>12952450</v>
      </c>
      <c r="M929" s="149">
        <v>2460966</v>
      </c>
      <c r="N929" s="149">
        <v>15413416</v>
      </c>
      <c r="O929">
        <v>0</v>
      </c>
      <c r="P929">
        <v>0</v>
      </c>
      <c r="Q929">
        <v>0</v>
      </c>
      <c r="R929">
        <v>0</v>
      </c>
      <c r="S929">
        <v>0</v>
      </c>
      <c r="T929" t="s">
        <v>77</v>
      </c>
      <c r="U929">
        <v>0</v>
      </c>
      <c r="V929">
        <v>0</v>
      </c>
      <c r="W929">
        <v>0</v>
      </c>
      <c r="X929">
        <v>0</v>
      </c>
      <c r="Y929">
        <v>0</v>
      </c>
      <c r="AC929">
        <v>0</v>
      </c>
      <c r="AE929">
        <v>0</v>
      </c>
      <c r="AF929">
        <v>2</v>
      </c>
      <c r="AG929">
        <v>0</v>
      </c>
      <c r="AH929">
        <v>0</v>
      </c>
      <c r="AI929">
        <v>0</v>
      </c>
      <c r="AM929">
        <v>0</v>
      </c>
      <c r="AR929" t="s">
        <v>3451</v>
      </c>
      <c r="AS929" t="s">
        <v>1680</v>
      </c>
      <c r="AT929">
        <v>2025</v>
      </c>
      <c r="AU929">
        <v>6</v>
      </c>
      <c r="AV929" t="s">
        <v>78</v>
      </c>
      <c r="AX929" t="s">
        <v>3491</v>
      </c>
    </row>
    <row r="930" spans="1:50">
      <c r="A930">
        <v>41</v>
      </c>
      <c r="B930">
        <v>33</v>
      </c>
      <c r="C930" t="s">
        <v>74</v>
      </c>
      <c r="D930" t="s">
        <v>1222</v>
      </c>
      <c r="E930" t="s">
        <v>1223</v>
      </c>
      <c r="F930">
        <v>4110</v>
      </c>
      <c r="G930" s="23" t="s">
        <v>3820</v>
      </c>
      <c r="H930" s="2" t="s">
        <v>3379</v>
      </c>
      <c r="I930" t="s">
        <v>3380</v>
      </c>
      <c r="K930" s="149">
        <v>0</v>
      </c>
      <c r="L930" s="149">
        <v>15783000</v>
      </c>
      <c r="M930" s="149">
        <v>2998770</v>
      </c>
      <c r="N930" s="149">
        <v>18781770</v>
      </c>
      <c r="O930">
        <v>0</v>
      </c>
      <c r="P930">
        <v>0</v>
      </c>
      <c r="Q930">
        <v>0</v>
      </c>
      <c r="R930">
        <v>0</v>
      </c>
      <c r="S930">
        <v>0</v>
      </c>
      <c r="T930" t="s">
        <v>77</v>
      </c>
      <c r="U930">
        <v>0</v>
      </c>
      <c r="V930">
        <v>0</v>
      </c>
      <c r="W930">
        <v>0</v>
      </c>
      <c r="X930">
        <v>0</v>
      </c>
      <c r="AC930">
        <v>0</v>
      </c>
      <c r="AE930">
        <v>0</v>
      </c>
      <c r="AF930">
        <v>2</v>
      </c>
      <c r="AG930">
        <v>0</v>
      </c>
      <c r="AH930">
        <v>0</v>
      </c>
      <c r="AI930">
        <v>0</v>
      </c>
      <c r="AM930">
        <v>0</v>
      </c>
      <c r="AR930" t="s">
        <v>3451</v>
      </c>
      <c r="AS930" t="s">
        <v>1680</v>
      </c>
      <c r="AT930">
        <v>2025</v>
      </c>
      <c r="AU930">
        <v>6</v>
      </c>
      <c r="AV930" t="s">
        <v>78</v>
      </c>
      <c r="AX930" t="s">
        <v>3492</v>
      </c>
    </row>
    <row r="931" spans="1:50">
      <c r="A931">
        <v>42</v>
      </c>
      <c r="B931">
        <v>33</v>
      </c>
      <c r="C931" t="s">
        <v>74</v>
      </c>
      <c r="D931" t="s">
        <v>2329</v>
      </c>
      <c r="E931" t="s">
        <v>2330</v>
      </c>
      <c r="F931">
        <v>4111</v>
      </c>
      <c r="G931" s="23" t="s">
        <v>1527</v>
      </c>
      <c r="H931" s="2" t="s">
        <v>3381</v>
      </c>
      <c r="I931" s="2" t="s">
        <v>3382</v>
      </c>
      <c r="K931" s="149">
        <v>0</v>
      </c>
      <c r="L931" s="149">
        <v>280000</v>
      </c>
      <c r="M931" s="149">
        <v>53200</v>
      </c>
      <c r="N931" s="149">
        <v>333200</v>
      </c>
      <c r="O931">
        <v>0</v>
      </c>
      <c r="P931">
        <v>0</v>
      </c>
      <c r="Q931">
        <v>0</v>
      </c>
      <c r="R931">
        <v>0</v>
      </c>
      <c r="S931">
        <v>0</v>
      </c>
      <c r="T931" t="s">
        <v>77</v>
      </c>
      <c r="U931">
        <v>0</v>
      </c>
      <c r="V931">
        <v>0</v>
      </c>
      <c r="W931">
        <v>0</v>
      </c>
      <c r="X931">
        <v>0</v>
      </c>
      <c r="Y931">
        <v>0</v>
      </c>
      <c r="AC931">
        <v>0</v>
      </c>
      <c r="AE931">
        <v>0</v>
      </c>
      <c r="AF931">
        <v>2</v>
      </c>
      <c r="AG931">
        <v>0</v>
      </c>
      <c r="AH931">
        <v>0</v>
      </c>
      <c r="AI931">
        <v>0</v>
      </c>
      <c r="AM931">
        <v>0</v>
      </c>
      <c r="AR931" t="s">
        <v>3451</v>
      </c>
      <c r="AS931" t="s">
        <v>1680</v>
      </c>
      <c r="AT931">
        <v>2025</v>
      </c>
      <c r="AU931">
        <v>6</v>
      </c>
      <c r="AV931" t="s">
        <v>78</v>
      </c>
      <c r="AX931" t="s">
        <v>3493</v>
      </c>
    </row>
    <row r="932" spans="1:50">
      <c r="A932">
        <v>43</v>
      </c>
      <c r="B932">
        <v>33</v>
      </c>
      <c r="C932" t="s">
        <v>74</v>
      </c>
      <c r="D932" t="s">
        <v>1631</v>
      </c>
      <c r="E932" t="s">
        <v>1632</v>
      </c>
      <c r="F932">
        <v>4112</v>
      </c>
      <c r="G932" s="23" t="s">
        <v>1527</v>
      </c>
      <c r="H932" s="2" t="s">
        <v>3383</v>
      </c>
      <c r="K932" s="149">
        <v>0</v>
      </c>
      <c r="L932" s="149">
        <v>261360</v>
      </c>
      <c r="M932" s="149">
        <v>49658</v>
      </c>
      <c r="N932" s="149">
        <v>311018</v>
      </c>
      <c r="O932">
        <v>0</v>
      </c>
      <c r="P932">
        <v>0</v>
      </c>
      <c r="Q932">
        <v>0</v>
      </c>
      <c r="R932">
        <v>0</v>
      </c>
      <c r="S932">
        <v>0</v>
      </c>
      <c r="T932" t="s">
        <v>77</v>
      </c>
      <c r="U932">
        <v>0</v>
      </c>
      <c r="V932">
        <v>0</v>
      </c>
      <c r="W932">
        <v>0</v>
      </c>
      <c r="X932">
        <v>0</v>
      </c>
      <c r="Y932">
        <v>0</v>
      </c>
      <c r="AC932">
        <v>0</v>
      </c>
      <c r="AE932">
        <v>0</v>
      </c>
      <c r="AF932">
        <v>2</v>
      </c>
      <c r="AG932">
        <v>0</v>
      </c>
      <c r="AH932">
        <v>0</v>
      </c>
      <c r="AI932">
        <v>0</v>
      </c>
      <c r="AM932">
        <v>0</v>
      </c>
      <c r="AR932" t="s">
        <v>3451</v>
      </c>
      <c r="AS932" t="s">
        <v>1680</v>
      </c>
      <c r="AT932">
        <v>2025</v>
      </c>
      <c r="AU932">
        <v>6</v>
      </c>
      <c r="AV932" t="s">
        <v>78</v>
      </c>
      <c r="AX932" t="s">
        <v>3494</v>
      </c>
    </row>
    <row r="933" spans="1:50">
      <c r="A933">
        <v>44</v>
      </c>
      <c r="B933">
        <v>33</v>
      </c>
      <c r="C933" t="s">
        <v>74</v>
      </c>
      <c r="D933" t="s">
        <v>1988</v>
      </c>
      <c r="E933" t="s">
        <v>1989</v>
      </c>
      <c r="F933">
        <v>4113</v>
      </c>
      <c r="G933" s="23" t="s">
        <v>1527</v>
      </c>
      <c r="H933" s="2" t="s">
        <v>3384</v>
      </c>
      <c r="I933" t="s">
        <v>3385</v>
      </c>
      <c r="K933" s="149">
        <v>0</v>
      </c>
      <c r="L933" s="149">
        <v>837800</v>
      </c>
      <c r="M933" s="149">
        <v>159182</v>
      </c>
      <c r="N933" s="149">
        <v>996982</v>
      </c>
      <c r="O933">
        <v>0</v>
      </c>
      <c r="P933">
        <v>0</v>
      </c>
      <c r="Q933">
        <v>0</v>
      </c>
      <c r="R933">
        <v>0</v>
      </c>
      <c r="S933">
        <v>0</v>
      </c>
      <c r="T933" t="s">
        <v>77</v>
      </c>
      <c r="U933">
        <v>0</v>
      </c>
      <c r="V933">
        <v>0</v>
      </c>
      <c r="W933">
        <v>0</v>
      </c>
      <c r="X933">
        <v>0</v>
      </c>
      <c r="AC933">
        <v>0</v>
      </c>
      <c r="AE933">
        <v>0</v>
      </c>
      <c r="AF933">
        <v>2</v>
      </c>
      <c r="AG933">
        <v>0</v>
      </c>
      <c r="AH933">
        <v>0</v>
      </c>
      <c r="AI933">
        <v>0</v>
      </c>
      <c r="AM933">
        <v>0</v>
      </c>
      <c r="AR933" t="s">
        <v>3451</v>
      </c>
      <c r="AS933" t="s">
        <v>1680</v>
      </c>
      <c r="AT933">
        <v>2025</v>
      </c>
      <c r="AU933">
        <v>6</v>
      </c>
      <c r="AV933" t="s">
        <v>78</v>
      </c>
      <c r="AX933" t="s">
        <v>3495</v>
      </c>
    </row>
    <row r="934" spans="1:50">
      <c r="A934">
        <v>45</v>
      </c>
      <c r="B934">
        <v>33</v>
      </c>
      <c r="C934" t="s">
        <v>74</v>
      </c>
      <c r="D934" t="s">
        <v>1564</v>
      </c>
      <c r="E934" t="s">
        <v>1565</v>
      </c>
      <c r="F934">
        <v>4114</v>
      </c>
      <c r="G934" s="23" t="s">
        <v>1527</v>
      </c>
      <c r="H934" s="2" t="s">
        <v>3386</v>
      </c>
      <c r="K934" s="149">
        <v>0</v>
      </c>
      <c r="L934" s="149">
        <v>449350</v>
      </c>
      <c r="M934" s="149">
        <v>85377</v>
      </c>
      <c r="N934" s="149">
        <v>534727</v>
      </c>
      <c r="O934">
        <v>0</v>
      </c>
      <c r="P934">
        <v>0</v>
      </c>
      <c r="Q934">
        <v>0</v>
      </c>
      <c r="R934">
        <v>0</v>
      </c>
      <c r="S934">
        <v>0</v>
      </c>
      <c r="T934" t="s">
        <v>77</v>
      </c>
      <c r="U934">
        <v>0</v>
      </c>
      <c r="V934">
        <v>0</v>
      </c>
      <c r="W934">
        <v>0</v>
      </c>
      <c r="X934">
        <v>0</v>
      </c>
      <c r="Y934">
        <v>0</v>
      </c>
      <c r="AC934">
        <v>0</v>
      </c>
      <c r="AE934">
        <v>0</v>
      </c>
      <c r="AF934">
        <v>2</v>
      </c>
      <c r="AG934">
        <v>0</v>
      </c>
      <c r="AH934">
        <v>0</v>
      </c>
      <c r="AI934">
        <v>0</v>
      </c>
      <c r="AM934">
        <v>0</v>
      </c>
      <c r="AR934" t="s">
        <v>3451</v>
      </c>
      <c r="AS934" t="s">
        <v>1680</v>
      </c>
      <c r="AT934">
        <v>2025</v>
      </c>
      <c r="AU934">
        <v>6</v>
      </c>
      <c r="AV934" t="s">
        <v>78</v>
      </c>
      <c r="AX934" t="s">
        <v>3496</v>
      </c>
    </row>
    <row r="935" spans="1:50">
      <c r="A935">
        <v>46</v>
      </c>
      <c r="B935">
        <v>33</v>
      </c>
      <c r="C935" t="s">
        <v>74</v>
      </c>
      <c r="D935" t="s">
        <v>1785</v>
      </c>
      <c r="E935" t="s">
        <v>1786</v>
      </c>
      <c r="F935">
        <v>4115</v>
      </c>
      <c r="G935" s="23" t="s">
        <v>1527</v>
      </c>
      <c r="H935" s="2" t="s">
        <v>3387</v>
      </c>
      <c r="K935" s="149">
        <v>0</v>
      </c>
      <c r="L935" s="149">
        <v>188200</v>
      </c>
      <c r="M935" s="149">
        <v>35757</v>
      </c>
      <c r="N935" s="149">
        <v>223957</v>
      </c>
      <c r="O935">
        <v>0</v>
      </c>
      <c r="P935">
        <v>0</v>
      </c>
      <c r="Q935">
        <v>0</v>
      </c>
      <c r="R935">
        <v>0</v>
      </c>
      <c r="S935">
        <v>0</v>
      </c>
      <c r="T935" t="s">
        <v>77</v>
      </c>
      <c r="U935">
        <v>0</v>
      </c>
      <c r="V935">
        <v>0</v>
      </c>
      <c r="W935">
        <v>0</v>
      </c>
      <c r="X935">
        <v>0</v>
      </c>
      <c r="Y935">
        <v>0</v>
      </c>
      <c r="AC935">
        <v>0</v>
      </c>
      <c r="AE935">
        <v>0</v>
      </c>
      <c r="AF935">
        <v>2</v>
      </c>
      <c r="AG935">
        <v>0</v>
      </c>
      <c r="AH935">
        <v>0</v>
      </c>
      <c r="AI935">
        <v>0</v>
      </c>
      <c r="AM935">
        <v>0</v>
      </c>
      <c r="AR935" t="s">
        <v>3451</v>
      </c>
      <c r="AS935" t="s">
        <v>1680</v>
      </c>
      <c r="AT935">
        <v>2025</v>
      </c>
      <c r="AU935">
        <v>6</v>
      </c>
      <c r="AV935" t="s">
        <v>78</v>
      </c>
      <c r="AX935" t="s">
        <v>3497</v>
      </c>
    </row>
    <row r="936" spans="1:50">
      <c r="A936">
        <v>47</v>
      </c>
      <c r="B936">
        <v>33</v>
      </c>
      <c r="C936" t="s">
        <v>74</v>
      </c>
      <c r="D936" t="s">
        <v>1573</v>
      </c>
      <c r="E936" t="s">
        <v>1574</v>
      </c>
      <c r="F936">
        <v>4116</v>
      </c>
      <c r="G936" s="23" t="s">
        <v>1527</v>
      </c>
      <c r="H936" s="2" t="s">
        <v>3388</v>
      </c>
      <c r="K936" s="149">
        <v>0</v>
      </c>
      <c r="L936" s="149">
        <v>362910</v>
      </c>
      <c r="M936" s="149">
        <v>68953</v>
      </c>
      <c r="N936" s="149">
        <v>431863</v>
      </c>
      <c r="O936">
        <v>0</v>
      </c>
      <c r="P936">
        <v>0</v>
      </c>
      <c r="Q936">
        <v>0</v>
      </c>
      <c r="R936">
        <v>0</v>
      </c>
      <c r="S936">
        <v>0</v>
      </c>
      <c r="T936" t="s">
        <v>77</v>
      </c>
      <c r="U936">
        <v>0</v>
      </c>
      <c r="V936">
        <v>0</v>
      </c>
      <c r="W936">
        <v>0</v>
      </c>
      <c r="X936">
        <v>0</v>
      </c>
      <c r="Y936">
        <v>0</v>
      </c>
      <c r="AC936">
        <v>0</v>
      </c>
      <c r="AE936">
        <v>0</v>
      </c>
      <c r="AF936">
        <v>2</v>
      </c>
      <c r="AG936">
        <v>0</v>
      </c>
      <c r="AH936">
        <v>0</v>
      </c>
      <c r="AI936">
        <v>0</v>
      </c>
      <c r="AM936">
        <v>0</v>
      </c>
      <c r="AR936" t="s">
        <v>3451</v>
      </c>
      <c r="AS936" t="s">
        <v>1680</v>
      </c>
      <c r="AT936">
        <v>2025</v>
      </c>
      <c r="AU936">
        <v>6</v>
      </c>
      <c r="AV936" t="s">
        <v>78</v>
      </c>
      <c r="AX936" t="s">
        <v>3498</v>
      </c>
    </row>
    <row r="937" spans="1:50">
      <c r="A937">
        <v>48</v>
      </c>
      <c r="B937">
        <v>33</v>
      </c>
      <c r="C937" t="s">
        <v>74</v>
      </c>
      <c r="D937" t="s">
        <v>1222</v>
      </c>
      <c r="E937" t="s">
        <v>1223</v>
      </c>
      <c r="F937">
        <v>4117</v>
      </c>
      <c r="G937" s="23" t="s">
        <v>3821</v>
      </c>
      <c r="H937" s="2" t="s">
        <v>3389</v>
      </c>
      <c r="I937" t="s">
        <v>3390</v>
      </c>
      <c r="K937" s="149">
        <v>0</v>
      </c>
      <c r="L937" s="149">
        <v>5979300</v>
      </c>
      <c r="M937" s="149">
        <v>1136068</v>
      </c>
      <c r="N937" s="149">
        <v>7115368</v>
      </c>
      <c r="O937">
        <v>0</v>
      </c>
      <c r="P937">
        <v>0</v>
      </c>
      <c r="Q937">
        <v>0</v>
      </c>
      <c r="R937">
        <v>0</v>
      </c>
      <c r="S937">
        <v>0</v>
      </c>
      <c r="T937" t="s">
        <v>77</v>
      </c>
      <c r="U937">
        <v>0</v>
      </c>
      <c r="V937">
        <v>0</v>
      </c>
      <c r="W937">
        <v>0</v>
      </c>
      <c r="X937">
        <v>0</v>
      </c>
      <c r="AC937">
        <v>0</v>
      </c>
      <c r="AE937">
        <v>0</v>
      </c>
      <c r="AF937">
        <v>2</v>
      </c>
      <c r="AG937">
        <v>0</v>
      </c>
      <c r="AH937">
        <v>0</v>
      </c>
      <c r="AI937">
        <v>0</v>
      </c>
      <c r="AM937">
        <v>0</v>
      </c>
      <c r="AR937" t="s">
        <v>3451</v>
      </c>
      <c r="AS937" t="s">
        <v>1680</v>
      </c>
      <c r="AT937">
        <v>2025</v>
      </c>
      <c r="AU937">
        <v>6</v>
      </c>
      <c r="AV937" t="s">
        <v>78</v>
      </c>
      <c r="AX937" t="s">
        <v>3499</v>
      </c>
    </row>
    <row r="938" spans="1:50">
      <c r="A938">
        <v>49</v>
      </c>
      <c r="B938">
        <v>33</v>
      </c>
      <c r="C938" t="s">
        <v>74</v>
      </c>
      <c r="D938" t="s">
        <v>1222</v>
      </c>
      <c r="E938" t="s">
        <v>1223</v>
      </c>
      <c r="F938">
        <v>4118</v>
      </c>
      <c r="G938" s="23" t="s">
        <v>3821</v>
      </c>
      <c r="H938" s="2" t="s">
        <v>3391</v>
      </c>
      <c r="I938" s="2" t="s">
        <v>3390</v>
      </c>
      <c r="K938" s="149">
        <v>0</v>
      </c>
      <c r="L938" s="149">
        <v>1107200</v>
      </c>
      <c r="M938" s="149">
        <v>210368</v>
      </c>
      <c r="N938" s="149">
        <v>1317568</v>
      </c>
      <c r="O938">
        <v>0</v>
      </c>
      <c r="P938">
        <v>0</v>
      </c>
      <c r="Q938">
        <v>0</v>
      </c>
      <c r="R938">
        <v>0</v>
      </c>
      <c r="S938">
        <v>0</v>
      </c>
      <c r="T938" t="s">
        <v>77</v>
      </c>
      <c r="U938">
        <v>0</v>
      </c>
      <c r="V938">
        <v>0</v>
      </c>
      <c r="W938">
        <v>0</v>
      </c>
      <c r="X938">
        <v>0</v>
      </c>
      <c r="AC938">
        <v>0</v>
      </c>
      <c r="AE938">
        <v>0</v>
      </c>
      <c r="AF938">
        <v>2</v>
      </c>
      <c r="AG938">
        <v>0</v>
      </c>
      <c r="AH938">
        <v>0</v>
      </c>
      <c r="AI938">
        <v>0</v>
      </c>
      <c r="AM938">
        <v>0</v>
      </c>
      <c r="AR938" t="s">
        <v>3451</v>
      </c>
      <c r="AS938" t="s">
        <v>1680</v>
      </c>
      <c r="AT938">
        <v>2025</v>
      </c>
      <c r="AU938">
        <v>6</v>
      </c>
      <c r="AV938" t="s">
        <v>78</v>
      </c>
      <c r="AX938" t="s">
        <v>3500</v>
      </c>
    </row>
    <row r="939" spans="1:50">
      <c r="A939">
        <v>50</v>
      </c>
      <c r="B939">
        <v>33</v>
      </c>
      <c r="C939" t="s">
        <v>74</v>
      </c>
      <c r="D939" t="s">
        <v>1222</v>
      </c>
      <c r="E939" t="s">
        <v>1223</v>
      </c>
      <c r="F939">
        <v>4119</v>
      </c>
      <c r="G939" s="23" t="s">
        <v>3821</v>
      </c>
      <c r="H939" s="2" t="s">
        <v>3392</v>
      </c>
      <c r="I939" t="s">
        <v>3390</v>
      </c>
      <c r="K939" s="149">
        <v>0</v>
      </c>
      <c r="L939" s="149">
        <v>17785920</v>
      </c>
      <c r="M939" s="149">
        <v>3379325</v>
      </c>
      <c r="N939" s="149">
        <v>21165245</v>
      </c>
      <c r="O939">
        <v>0</v>
      </c>
      <c r="P939">
        <v>0</v>
      </c>
      <c r="Q939">
        <v>0</v>
      </c>
      <c r="R939">
        <v>0</v>
      </c>
      <c r="S939">
        <v>0</v>
      </c>
      <c r="T939" t="s">
        <v>77</v>
      </c>
      <c r="U939">
        <v>0</v>
      </c>
      <c r="V939">
        <v>0</v>
      </c>
      <c r="W939">
        <v>0</v>
      </c>
      <c r="X939">
        <v>0</v>
      </c>
      <c r="AC939">
        <v>0</v>
      </c>
      <c r="AE939">
        <v>0</v>
      </c>
      <c r="AF939">
        <v>2</v>
      </c>
      <c r="AG939">
        <v>0</v>
      </c>
      <c r="AH939">
        <v>0</v>
      </c>
      <c r="AI939">
        <v>0</v>
      </c>
      <c r="AM939">
        <v>0</v>
      </c>
      <c r="AR939" t="s">
        <v>3451</v>
      </c>
      <c r="AS939" t="s">
        <v>1680</v>
      </c>
      <c r="AT939">
        <v>2025</v>
      </c>
      <c r="AU939">
        <v>6</v>
      </c>
      <c r="AV939" t="s">
        <v>78</v>
      </c>
      <c r="AX939" t="s">
        <v>3501</v>
      </c>
    </row>
    <row r="940" spans="1:50">
      <c r="A940">
        <v>51</v>
      </c>
      <c r="B940">
        <v>33</v>
      </c>
      <c r="C940" t="s">
        <v>74</v>
      </c>
      <c r="D940" t="s">
        <v>1353</v>
      </c>
      <c r="E940" t="s">
        <v>1354</v>
      </c>
      <c r="F940">
        <v>4120</v>
      </c>
      <c r="G940" s="23" t="s">
        <v>3821</v>
      </c>
      <c r="H940" s="2" t="s">
        <v>3393</v>
      </c>
      <c r="I940" t="s">
        <v>3394</v>
      </c>
      <c r="K940" s="149">
        <v>0</v>
      </c>
      <c r="L940" s="149">
        <v>4036140</v>
      </c>
      <c r="M940" s="149">
        <v>766867</v>
      </c>
      <c r="N940" s="149">
        <v>4803007</v>
      </c>
      <c r="O940">
        <v>0</v>
      </c>
      <c r="P940">
        <v>0</v>
      </c>
      <c r="Q940">
        <v>0</v>
      </c>
      <c r="R940">
        <v>0</v>
      </c>
      <c r="S940">
        <v>0</v>
      </c>
      <c r="T940" t="s">
        <v>77</v>
      </c>
      <c r="U940">
        <v>0</v>
      </c>
      <c r="V940">
        <v>0</v>
      </c>
      <c r="W940">
        <v>0</v>
      </c>
      <c r="X940">
        <v>0</v>
      </c>
      <c r="Y940">
        <v>0</v>
      </c>
      <c r="AC940">
        <v>0</v>
      </c>
      <c r="AE940">
        <v>0</v>
      </c>
      <c r="AF940">
        <v>2</v>
      </c>
      <c r="AG940">
        <v>0</v>
      </c>
      <c r="AH940">
        <v>0</v>
      </c>
      <c r="AI940">
        <v>0</v>
      </c>
      <c r="AM940">
        <v>0</v>
      </c>
      <c r="AR940" t="s">
        <v>3451</v>
      </c>
      <c r="AS940" t="s">
        <v>1680</v>
      </c>
      <c r="AT940">
        <v>2025</v>
      </c>
      <c r="AU940">
        <v>6</v>
      </c>
      <c r="AV940" t="s">
        <v>78</v>
      </c>
      <c r="AX940" t="s">
        <v>3502</v>
      </c>
    </row>
    <row r="941" spans="1:50">
      <c r="A941">
        <v>52</v>
      </c>
      <c r="B941">
        <v>33</v>
      </c>
      <c r="C941" t="s">
        <v>74</v>
      </c>
      <c r="D941" t="s">
        <v>1592</v>
      </c>
      <c r="E941" t="s">
        <v>1593</v>
      </c>
      <c r="F941">
        <v>4121</v>
      </c>
      <c r="G941" s="23" t="s">
        <v>3821</v>
      </c>
      <c r="H941" s="2" t="s">
        <v>3395</v>
      </c>
      <c r="K941" s="149">
        <v>0</v>
      </c>
      <c r="L941" s="149">
        <v>319132</v>
      </c>
      <c r="M941" s="149">
        <v>60636</v>
      </c>
      <c r="N941" s="149">
        <v>379768</v>
      </c>
      <c r="O941">
        <v>0</v>
      </c>
      <c r="P941">
        <v>0</v>
      </c>
      <c r="Q941">
        <v>0</v>
      </c>
      <c r="R941">
        <v>0</v>
      </c>
      <c r="S941">
        <v>0</v>
      </c>
      <c r="T941" t="s">
        <v>77</v>
      </c>
      <c r="U941">
        <v>0</v>
      </c>
      <c r="V941">
        <v>0</v>
      </c>
      <c r="W941">
        <v>0</v>
      </c>
      <c r="X941">
        <v>0</v>
      </c>
      <c r="Y941">
        <v>0</v>
      </c>
      <c r="AC941">
        <v>0</v>
      </c>
      <c r="AE941">
        <v>0</v>
      </c>
      <c r="AF941">
        <v>2</v>
      </c>
      <c r="AG941">
        <v>0</v>
      </c>
      <c r="AH941">
        <v>0</v>
      </c>
      <c r="AI941">
        <v>0</v>
      </c>
      <c r="AM941">
        <v>0</v>
      </c>
      <c r="AR941" t="s">
        <v>3451</v>
      </c>
      <c r="AS941" t="s">
        <v>1680</v>
      </c>
      <c r="AT941">
        <v>2025</v>
      </c>
      <c r="AU941">
        <v>6</v>
      </c>
      <c r="AV941" t="s">
        <v>78</v>
      </c>
      <c r="AX941" t="s">
        <v>3503</v>
      </c>
    </row>
    <row r="942" spans="1:50">
      <c r="A942">
        <v>53</v>
      </c>
      <c r="B942">
        <v>33</v>
      </c>
      <c r="C942" t="s">
        <v>74</v>
      </c>
      <c r="D942" t="s">
        <v>1571</v>
      </c>
      <c r="E942" t="s">
        <v>1572</v>
      </c>
      <c r="F942">
        <v>4122</v>
      </c>
      <c r="G942" s="23" t="s">
        <v>1527</v>
      </c>
      <c r="H942" s="2" t="s">
        <v>3396</v>
      </c>
      <c r="I942" t="s">
        <v>3397</v>
      </c>
      <c r="K942" s="149">
        <v>0</v>
      </c>
      <c r="L942" s="149">
        <v>5824082</v>
      </c>
      <c r="M942" s="149">
        <v>1106576</v>
      </c>
      <c r="N942" s="149">
        <v>6930658</v>
      </c>
      <c r="O942">
        <v>0</v>
      </c>
      <c r="P942">
        <v>0</v>
      </c>
      <c r="Q942">
        <v>0</v>
      </c>
      <c r="R942">
        <v>0</v>
      </c>
      <c r="S942">
        <v>0</v>
      </c>
      <c r="T942" t="s">
        <v>77</v>
      </c>
      <c r="U942">
        <v>0</v>
      </c>
      <c r="V942">
        <v>0</v>
      </c>
      <c r="W942">
        <v>0</v>
      </c>
      <c r="X942">
        <v>0</v>
      </c>
      <c r="AC942">
        <v>0</v>
      </c>
      <c r="AE942">
        <v>0</v>
      </c>
      <c r="AF942">
        <v>2</v>
      </c>
      <c r="AG942">
        <v>0</v>
      </c>
      <c r="AH942">
        <v>0</v>
      </c>
      <c r="AI942">
        <v>0</v>
      </c>
      <c r="AM942">
        <v>0</v>
      </c>
      <c r="AR942" t="s">
        <v>3451</v>
      </c>
      <c r="AS942" t="s">
        <v>1680</v>
      </c>
      <c r="AT942">
        <v>2025</v>
      </c>
      <c r="AU942">
        <v>6</v>
      </c>
      <c r="AV942" t="s">
        <v>78</v>
      </c>
      <c r="AX942" t="s">
        <v>3504</v>
      </c>
    </row>
    <row r="943" spans="1:50">
      <c r="A943">
        <v>54</v>
      </c>
      <c r="B943">
        <v>33</v>
      </c>
      <c r="C943" t="s">
        <v>74</v>
      </c>
      <c r="D943" t="s">
        <v>2509</v>
      </c>
      <c r="E943" t="s">
        <v>2510</v>
      </c>
      <c r="F943">
        <v>4123</v>
      </c>
      <c r="G943" s="23" t="s">
        <v>3821</v>
      </c>
      <c r="H943" s="2" t="s">
        <v>3398</v>
      </c>
      <c r="I943" s="2" t="s">
        <v>3399</v>
      </c>
      <c r="K943" s="149">
        <v>0</v>
      </c>
      <c r="L943" s="149">
        <v>266640</v>
      </c>
      <c r="M943" s="149">
        <v>50662</v>
      </c>
      <c r="N943" s="149">
        <v>317302</v>
      </c>
      <c r="O943">
        <v>0</v>
      </c>
      <c r="P943">
        <v>0</v>
      </c>
      <c r="Q943">
        <v>0</v>
      </c>
      <c r="R943">
        <v>0</v>
      </c>
      <c r="S943">
        <v>0</v>
      </c>
      <c r="T943" t="s">
        <v>77</v>
      </c>
      <c r="U943">
        <v>0</v>
      </c>
      <c r="V943">
        <v>0</v>
      </c>
      <c r="W943">
        <v>0</v>
      </c>
      <c r="X943">
        <v>0</v>
      </c>
      <c r="Y943">
        <v>0</v>
      </c>
      <c r="AC943">
        <v>0</v>
      </c>
      <c r="AE943">
        <v>0</v>
      </c>
      <c r="AF943">
        <v>2</v>
      </c>
      <c r="AG943">
        <v>0</v>
      </c>
      <c r="AH943">
        <v>0</v>
      </c>
      <c r="AI943">
        <v>0</v>
      </c>
      <c r="AM943">
        <v>0</v>
      </c>
      <c r="AR943" t="s">
        <v>3451</v>
      </c>
      <c r="AS943" t="s">
        <v>1680</v>
      </c>
      <c r="AT943">
        <v>2025</v>
      </c>
      <c r="AU943">
        <v>6</v>
      </c>
      <c r="AV943" t="s">
        <v>78</v>
      </c>
      <c r="AX943" t="s">
        <v>3505</v>
      </c>
    </row>
    <row r="944" spans="1:50">
      <c r="A944">
        <v>55</v>
      </c>
      <c r="B944">
        <v>33</v>
      </c>
      <c r="C944" t="s">
        <v>74</v>
      </c>
      <c r="D944" t="s">
        <v>3211</v>
      </c>
      <c r="E944" t="s">
        <v>3212</v>
      </c>
      <c r="F944">
        <v>4124</v>
      </c>
      <c r="G944" s="23" t="s">
        <v>3821</v>
      </c>
      <c r="H944" s="2" t="s">
        <v>3400</v>
      </c>
      <c r="I944" t="s">
        <v>3401</v>
      </c>
      <c r="K944" s="149">
        <v>0</v>
      </c>
      <c r="L944" s="149">
        <v>363000</v>
      </c>
      <c r="M944" s="149">
        <v>68970</v>
      </c>
      <c r="N944" s="149">
        <v>431970</v>
      </c>
      <c r="O944">
        <v>0</v>
      </c>
      <c r="P944">
        <v>0</v>
      </c>
      <c r="Q944">
        <v>0</v>
      </c>
      <c r="R944">
        <v>0</v>
      </c>
      <c r="S944">
        <v>0</v>
      </c>
      <c r="T944" t="s">
        <v>77</v>
      </c>
      <c r="U944">
        <v>0</v>
      </c>
      <c r="V944">
        <v>0</v>
      </c>
      <c r="W944">
        <v>0</v>
      </c>
      <c r="X944">
        <v>0</v>
      </c>
      <c r="Y944">
        <v>0</v>
      </c>
      <c r="AC944">
        <v>0</v>
      </c>
      <c r="AE944">
        <v>0</v>
      </c>
      <c r="AF944">
        <v>2</v>
      </c>
      <c r="AG944">
        <v>0</v>
      </c>
      <c r="AH944">
        <v>0</v>
      </c>
      <c r="AI944">
        <v>0</v>
      </c>
      <c r="AM944">
        <v>0</v>
      </c>
      <c r="AR944" t="s">
        <v>3451</v>
      </c>
      <c r="AS944" t="s">
        <v>1680</v>
      </c>
      <c r="AT944">
        <v>2025</v>
      </c>
      <c r="AU944">
        <v>6</v>
      </c>
      <c r="AV944" t="s">
        <v>78</v>
      </c>
      <c r="AX944" t="s">
        <v>3506</v>
      </c>
    </row>
    <row r="945" spans="1:50">
      <c r="A945">
        <v>56</v>
      </c>
      <c r="B945">
        <v>33</v>
      </c>
      <c r="C945" t="s">
        <v>74</v>
      </c>
      <c r="D945" t="s">
        <v>1222</v>
      </c>
      <c r="E945" t="s">
        <v>1223</v>
      </c>
      <c r="F945">
        <v>4125</v>
      </c>
      <c r="G945" s="23" t="s">
        <v>3822</v>
      </c>
      <c r="H945" s="2" t="s">
        <v>3402</v>
      </c>
      <c r="I945" t="s">
        <v>3403</v>
      </c>
      <c r="K945" s="149">
        <v>0</v>
      </c>
      <c r="L945" s="149">
        <v>3708830</v>
      </c>
      <c r="M945" s="149">
        <v>704678</v>
      </c>
      <c r="N945" s="149">
        <v>4413508</v>
      </c>
      <c r="O945">
        <v>0</v>
      </c>
      <c r="P945">
        <v>0</v>
      </c>
      <c r="Q945">
        <v>0</v>
      </c>
      <c r="R945">
        <v>0</v>
      </c>
      <c r="S945">
        <v>0</v>
      </c>
      <c r="T945" t="s">
        <v>77</v>
      </c>
      <c r="U945">
        <v>0</v>
      </c>
      <c r="V945">
        <v>0</v>
      </c>
      <c r="W945">
        <v>0</v>
      </c>
      <c r="X945">
        <v>0</v>
      </c>
      <c r="AC945">
        <v>0</v>
      </c>
      <c r="AE945">
        <v>0</v>
      </c>
      <c r="AF945">
        <v>2</v>
      </c>
      <c r="AG945">
        <v>0</v>
      </c>
      <c r="AH945">
        <v>0</v>
      </c>
      <c r="AI945">
        <v>0</v>
      </c>
      <c r="AM945">
        <v>0</v>
      </c>
      <c r="AR945" t="s">
        <v>3451</v>
      </c>
      <c r="AS945" t="s">
        <v>1680</v>
      </c>
      <c r="AT945">
        <v>2025</v>
      </c>
      <c r="AU945">
        <v>6</v>
      </c>
      <c r="AV945" t="s">
        <v>78</v>
      </c>
      <c r="AX945" t="s">
        <v>3507</v>
      </c>
    </row>
    <row r="946" spans="1:50">
      <c r="A946">
        <v>57</v>
      </c>
      <c r="B946">
        <v>33</v>
      </c>
      <c r="C946" t="s">
        <v>74</v>
      </c>
      <c r="D946" t="s">
        <v>1222</v>
      </c>
      <c r="E946" t="s">
        <v>1223</v>
      </c>
      <c r="F946">
        <v>4126</v>
      </c>
      <c r="G946" s="23" t="s">
        <v>3822</v>
      </c>
      <c r="H946" s="2" t="s">
        <v>3404</v>
      </c>
      <c r="I946" t="s">
        <v>3403</v>
      </c>
      <c r="K946" s="149">
        <v>0</v>
      </c>
      <c r="L946" s="149">
        <v>4733680</v>
      </c>
      <c r="M946" s="149">
        <v>899398</v>
      </c>
      <c r="N946" s="149">
        <v>5633078</v>
      </c>
      <c r="O946">
        <v>0</v>
      </c>
      <c r="P946">
        <v>0</v>
      </c>
      <c r="Q946">
        <v>0</v>
      </c>
      <c r="R946">
        <v>0</v>
      </c>
      <c r="S946">
        <v>0</v>
      </c>
      <c r="T946" t="s">
        <v>77</v>
      </c>
      <c r="U946">
        <v>0</v>
      </c>
      <c r="V946">
        <v>0</v>
      </c>
      <c r="W946">
        <v>0</v>
      </c>
      <c r="X946">
        <v>0</v>
      </c>
      <c r="AC946">
        <v>0</v>
      </c>
      <c r="AE946">
        <v>0</v>
      </c>
      <c r="AF946">
        <v>2</v>
      </c>
      <c r="AG946">
        <v>0</v>
      </c>
      <c r="AH946">
        <v>0</v>
      </c>
      <c r="AI946">
        <v>0</v>
      </c>
      <c r="AM946">
        <v>0</v>
      </c>
      <c r="AR946" t="s">
        <v>3451</v>
      </c>
      <c r="AS946" t="s">
        <v>1680</v>
      </c>
      <c r="AT946">
        <v>2025</v>
      </c>
      <c r="AU946">
        <v>6</v>
      </c>
      <c r="AV946" t="s">
        <v>78</v>
      </c>
      <c r="AX946" t="s">
        <v>3508</v>
      </c>
    </row>
    <row r="947" spans="1:50">
      <c r="A947">
        <v>58</v>
      </c>
      <c r="B947">
        <v>33</v>
      </c>
      <c r="C947" t="s">
        <v>74</v>
      </c>
      <c r="D947" t="s">
        <v>1353</v>
      </c>
      <c r="E947" t="s">
        <v>1354</v>
      </c>
      <c r="F947">
        <v>4127</v>
      </c>
      <c r="G947" s="23" t="s">
        <v>3823</v>
      </c>
      <c r="H947" s="2" t="s">
        <v>3405</v>
      </c>
      <c r="I947" t="s">
        <v>3406</v>
      </c>
      <c r="K947" s="149">
        <v>0</v>
      </c>
      <c r="L947" s="149">
        <v>577190</v>
      </c>
      <c r="M947" s="149">
        <v>109666</v>
      </c>
      <c r="N947" s="149">
        <v>686856</v>
      </c>
      <c r="O947">
        <v>0</v>
      </c>
      <c r="P947">
        <v>0</v>
      </c>
      <c r="Q947">
        <v>0</v>
      </c>
      <c r="R947">
        <v>0</v>
      </c>
      <c r="S947">
        <v>0</v>
      </c>
      <c r="T947" t="s">
        <v>77</v>
      </c>
      <c r="U947">
        <v>0</v>
      </c>
      <c r="V947">
        <v>0</v>
      </c>
      <c r="W947">
        <v>0</v>
      </c>
      <c r="X947">
        <v>0</v>
      </c>
      <c r="Y947">
        <v>0</v>
      </c>
      <c r="AC947">
        <v>0</v>
      </c>
      <c r="AE947">
        <v>0</v>
      </c>
      <c r="AF947">
        <v>2</v>
      </c>
      <c r="AG947">
        <v>0</v>
      </c>
      <c r="AH947">
        <v>0</v>
      </c>
      <c r="AI947">
        <v>0</v>
      </c>
      <c r="AM947">
        <v>0</v>
      </c>
      <c r="AR947" t="s">
        <v>3451</v>
      </c>
      <c r="AS947" t="s">
        <v>1680</v>
      </c>
      <c r="AT947">
        <v>2025</v>
      </c>
      <c r="AU947">
        <v>6</v>
      </c>
      <c r="AV947" t="s">
        <v>78</v>
      </c>
      <c r="AX947" t="s">
        <v>3509</v>
      </c>
    </row>
    <row r="948" spans="1:50">
      <c r="A948">
        <v>59</v>
      </c>
      <c r="B948">
        <v>33</v>
      </c>
      <c r="C948" t="s">
        <v>74</v>
      </c>
      <c r="D948" t="s">
        <v>2329</v>
      </c>
      <c r="E948" t="s">
        <v>2330</v>
      </c>
      <c r="F948">
        <v>4128</v>
      </c>
      <c r="G948" s="23" t="s">
        <v>3823</v>
      </c>
      <c r="H948" s="2" t="s">
        <v>3407</v>
      </c>
      <c r="I948" s="2">
        <v>45664.321006944447</v>
      </c>
      <c r="K948" s="149">
        <v>0</v>
      </c>
      <c r="L948" s="149">
        <v>280000</v>
      </c>
      <c r="M948" s="149">
        <v>53200</v>
      </c>
      <c r="N948" s="149">
        <v>333200</v>
      </c>
      <c r="O948">
        <v>0</v>
      </c>
      <c r="P948">
        <v>0</v>
      </c>
      <c r="Q948">
        <v>0</v>
      </c>
      <c r="R948">
        <v>0</v>
      </c>
      <c r="S948">
        <v>0</v>
      </c>
      <c r="T948" t="s">
        <v>77</v>
      </c>
      <c r="U948">
        <v>0</v>
      </c>
      <c r="V948">
        <v>0</v>
      </c>
      <c r="W948">
        <v>0</v>
      </c>
      <c r="X948">
        <v>0</v>
      </c>
      <c r="Y948">
        <v>0</v>
      </c>
      <c r="AC948">
        <v>0</v>
      </c>
      <c r="AE948">
        <v>0</v>
      </c>
      <c r="AF948">
        <v>2</v>
      </c>
      <c r="AG948">
        <v>0</v>
      </c>
      <c r="AH948">
        <v>0</v>
      </c>
      <c r="AI948">
        <v>0</v>
      </c>
      <c r="AM948">
        <v>0</v>
      </c>
      <c r="AR948" t="s">
        <v>3451</v>
      </c>
      <c r="AS948" t="s">
        <v>1680</v>
      </c>
      <c r="AT948">
        <v>2025</v>
      </c>
      <c r="AU948">
        <v>6</v>
      </c>
      <c r="AV948" t="s">
        <v>78</v>
      </c>
      <c r="AX948" t="s">
        <v>3510</v>
      </c>
    </row>
    <row r="949" spans="1:50">
      <c r="A949">
        <v>60</v>
      </c>
      <c r="B949">
        <v>33</v>
      </c>
      <c r="C949" t="s">
        <v>74</v>
      </c>
      <c r="D949" t="s">
        <v>1680</v>
      </c>
      <c r="E949" t="s">
        <v>3139</v>
      </c>
      <c r="F949">
        <v>4129</v>
      </c>
      <c r="G949" s="23" t="s">
        <v>3823</v>
      </c>
      <c r="H949" s="2" t="s">
        <v>3408</v>
      </c>
      <c r="K949" s="149">
        <v>0</v>
      </c>
      <c r="L949" s="149">
        <v>27418</v>
      </c>
      <c r="M949" s="149">
        <v>5210</v>
      </c>
      <c r="N949" s="149">
        <v>32628</v>
      </c>
      <c r="O949">
        <v>0</v>
      </c>
      <c r="P949">
        <v>0</v>
      </c>
      <c r="Q949">
        <v>0</v>
      </c>
      <c r="R949">
        <v>0</v>
      </c>
      <c r="S949">
        <v>0</v>
      </c>
      <c r="T949" t="s">
        <v>77</v>
      </c>
      <c r="U949">
        <v>0</v>
      </c>
      <c r="V949">
        <v>0</v>
      </c>
      <c r="W949">
        <v>0</v>
      </c>
      <c r="X949">
        <v>0</v>
      </c>
      <c r="Y949">
        <v>0</v>
      </c>
      <c r="AC949">
        <v>0</v>
      </c>
      <c r="AE949">
        <v>0</v>
      </c>
      <c r="AF949">
        <v>2</v>
      </c>
      <c r="AG949">
        <v>0</v>
      </c>
      <c r="AH949">
        <v>0</v>
      </c>
      <c r="AI949">
        <v>0</v>
      </c>
      <c r="AM949">
        <v>0</v>
      </c>
      <c r="AR949" t="s">
        <v>3451</v>
      </c>
      <c r="AS949" t="s">
        <v>1680</v>
      </c>
      <c r="AT949">
        <v>2025</v>
      </c>
      <c r="AU949">
        <v>6</v>
      </c>
      <c r="AV949" t="s">
        <v>78</v>
      </c>
      <c r="AX949" t="s">
        <v>3511</v>
      </c>
    </row>
    <row r="950" spans="1:50">
      <c r="A950">
        <v>61</v>
      </c>
      <c r="B950">
        <v>33</v>
      </c>
      <c r="C950" t="s">
        <v>74</v>
      </c>
      <c r="D950" t="s">
        <v>1571</v>
      </c>
      <c r="E950" t="s">
        <v>1572</v>
      </c>
      <c r="F950">
        <v>4130</v>
      </c>
      <c r="G950" s="23" t="s">
        <v>3824</v>
      </c>
      <c r="H950" s="2" t="s">
        <v>3409</v>
      </c>
      <c r="I950" s="2" t="s">
        <v>3410</v>
      </c>
      <c r="K950" s="149">
        <v>0</v>
      </c>
      <c r="L950" s="149">
        <v>4841479</v>
      </c>
      <c r="M950" s="149">
        <v>919881</v>
      </c>
      <c r="N950" s="149">
        <v>5761360</v>
      </c>
      <c r="O950">
        <v>0</v>
      </c>
      <c r="P950">
        <v>0</v>
      </c>
      <c r="Q950">
        <v>0</v>
      </c>
      <c r="R950">
        <v>0</v>
      </c>
      <c r="S950">
        <v>0</v>
      </c>
      <c r="T950" t="s">
        <v>77</v>
      </c>
      <c r="U950">
        <v>0</v>
      </c>
      <c r="V950">
        <v>0</v>
      </c>
      <c r="W950">
        <v>0</v>
      </c>
      <c r="X950">
        <v>0</v>
      </c>
      <c r="AC950">
        <v>0</v>
      </c>
      <c r="AE950">
        <v>0</v>
      </c>
      <c r="AF950">
        <v>2</v>
      </c>
      <c r="AG950">
        <v>0</v>
      </c>
      <c r="AH950">
        <v>0</v>
      </c>
      <c r="AI950">
        <v>0</v>
      </c>
      <c r="AM950">
        <v>0</v>
      </c>
      <c r="AR950" t="s">
        <v>3451</v>
      </c>
      <c r="AS950" t="s">
        <v>1680</v>
      </c>
      <c r="AT950">
        <v>2025</v>
      </c>
      <c r="AU950">
        <v>6</v>
      </c>
      <c r="AV950" t="s">
        <v>78</v>
      </c>
      <c r="AX950" t="s">
        <v>3512</v>
      </c>
    </row>
    <row r="951" spans="1:50">
      <c r="A951">
        <v>62</v>
      </c>
      <c r="B951">
        <v>33</v>
      </c>
      <c r="C951" t="s">
        <v>74</v>
      </c>
      <c r="D951" t="s">
        <v>1988</v>
      </c>
      <c r="E951" t="s">
        <v>1989</v>
      </c>
      <c r="F951">
        <v>4131</v>
      </c>
      <c r="G951" s="23" t="s">
        <v>1528</v>
      </c>
      <c r="H951" s="2" t="s">
        <v>3411</v>
      </c>
      <c r="I951" s="2" t="s">
        <v>3412</v>
      </c>
      <c r="K951" s="149">
        <v>0</v>
      </c>
      <c r="L951" s="149">
        <v>2094500</v>
      </c>
      <c r="M951" s="149">
        <v>397955</v>
      </c>
      <c r="N951" s="149">
        <v>2492455</v>
      </c>
      <c r="O951">
        <v>0</v>
      </c>
      <c r="P951">
        <v>0</v>
      </c>
      <c r="Q951">
        <v>0</v>
      </c>
      <c r="R951">
        <v>0</v>
      </c>
      <c r="S951">
        <v>0</v>
      </c>
      <c r="T951" t="s">
        <v>77</v>
      </c>
      <c r="U951">
        <v>0</v>
      </c>
      <c r="V951">
        <v>0</v>
      </c>
      <c r="W951">
        <v>0</v>
      </c>
      <c r="X951">
        <v>0</v>
      </c>
      <c r="AC951">
        <v>0</v>
      </c>
      <c r="AE951">
        <v>0</v>
      </c>
      <c r="AF951">
        <v>2</v>
      </c>
      <c r="AG951">
        <v>0</v>
      </c>
      <c r="AH951">
        <v>0</v>
      </c>
      <c r="AI951">
        <v>0</v>
      </c>
      <c r="AM951">
        <v>0</v>
      </c>
      <c r="AR951" t="s">
        <v>3451</v>
      </c>
      <c r="AS951" t="s">
        <v>1680</v>
      </c>
      <c r="AT951">
        <v>2025</v>
      </c>
      <c r="AU951">
        <v>6</v>
      </c>
      <c r="AV951" t="s">
        <v>78</v>
      </c>
      <c r="AX951" t="s">
        <v>3513</v>
      </c>
    </row>
    <row r="952" spans="1:50">
      <c r="A952">
        <v>63</v>
      </c>
      <c r="B952">
        <v>33</v>
      </c>
      <c r="C952" t="s">
        <v>74</v>
      </c>
      <c r="D952" t="s">
        <v>1555</v>
      </c>
      <c r="E952" t="s">
        <v>1556</v>
      </c>
      <c r="F952">
        <v>4132</v>
      </c>
      <c r="G952" s="23" t="s">
        <v>1528</v>
      </c>
      <c r="H952" s="2" t="s">
        <v>3413</v>
      </c>
      <c r="I952" s="2" t="s">
        <v>3414</v>
      </c>
      <c r="K952" s="149">
        <v>0</v>
      </c>
      <c r="L952" s="149">
        <v>1794840</v>
      </c>
      <c r="M952" s="149">
        <v>341020</v>
      </c>
      <c r="N952" s="149">
        <v>2135860</v>
      </c>
      <c r="O952">
        <v>0</v>
      </c>
      <c r="P952">
        <v>0</v>
      </c>
      <c r="Q952">
        <v>0</v>
      </c>
      <c r="R952">
        <v>0</v>
      </c>
      <c r="S952">
        <v>0</v>
      </c>
      <c r="T952" t="s">
        <v>77</v>
      </c>
      <c r="U952">
        <v>0</v>
      </c>
      <c r="V952">
        <v>0</v>
      </c>
      <c r="W952">
        <v>0</v>
      </c>
      <c r="X952">
        <v>0</v>
      </c>
      <c r="AC952">
        <v>0</v>
      </c>
      <c r="AE952">
        <v>0</v>
      </c>
      <c r="AF952">
        <v>2</v>
      </c>
      <c r="AG952">
        <v>0</v>
      </c>
      <c r="AH952">
        <v>0</v>
      </c>
      <c r="AI952">
        <v>0</v>
      </c>
      <c r="AM952">
        <v>0</v>
      </c>
      <c r="AR952" t="s">
        <v>3451</v>
      </c>
      <c r="AS952" t="s">
        <v>1680</v>
      </c>
      <c r="AT952">
        <v>2025</v>
      </c>
      <c r="AU952">
        <v>6</v>
      </c>
      <c r="AV952" t="s">
        <v>78</v>
      </c>
      <c r="AX952" t="s">
        <v>3514</v>
      </c>
    </row>
    <row r="953" spans="1:50">
      <c r="A953">
        <v>64</v>
      </c>
      <c r="B953">
        <v>33</v>
      </c>
      <c r="C953" t="s">
        <v>74</v>
      </c>
      <c r="D953" t="s">
        <v>1222</v>
      </c>
      <c r="E953" t="s">
        <v>1223</v>
      </c>
      <c r="F953">
        <v>4133</v>
      </c>
      <c r="G953" s="23" t="s">
        <v>1528</v>
      </c>
      <c r="H953" s="2" t="s">
        <v>3415</v>
      </c>
      <c r="I953" t="s">
        <v>3416</v>
      </c>
      <c r="K953" s="149">
        <v>0</v>
      </c>
      <c r="L953" s="149">
        <v>11424360</v>
      </c>
      <c r="M953" s="149">
        <v>2170628</v>
      </c>
      <c r="N953" s="149">
        <v>13594988</v>
      </c>
      <c r="O953">
        <v>0</v>
      </c>
      <c r="P953">
        <v>0</v>
      </c>
      <c r="Q953">
        <v>0</v>
      </c>
      <c r="R953">
        <v>0</v>
      </c>
      <c r="S953">
        <v>0</v>
      </c>
      <c r="T953" t="s">
        <v>77</v>
      </c>
      <c r="U953">
        <v>0</v>
      </c>
      <c r="V953">
        <v>0</v>
      </c>
      <c r="W953">
        <v>0</v>
      </c>
      <c r="X953">
        <v>0</v>
      </c>
      <c r="AC953">
        <v>0</v>
      </c>
      <c r="AE953">
        <v>0</v>
      </c>
      <c r="AF953">
        <v>2</v>
      </c>
      <c r="AG953">
        <v>0</v>
      </c>
      <c r="AH953">
        <v>0</v>
      </c>
      <c r="AI953">
        <v>0</v>
      </c>
      <c r="AM953">
        <v>0</v>
      </c>
      <c r="AR953" t="s">
        <v>3451</v>
      </c>
      <c r="AS953" t="s">
        <v>1680</v>
      </c>
      <c r="AT953">
        <v>2025</v>
      </c>
      <c r="AU953">
        <v>6</v>
      </c>
      <c r="AV953" t="s">
        <v>78</v>
      </c>
      <c r="AX953" t="s">
        <v>3515</v>
      </c>
    </row>
    <row r="954" spans="1:50">
      <c r="A954">
        <v>65</v>
      </c>
      <c r="B954">
        <v>33</v>
      </c>
      <c r="C954" t="s">
        <v>74</v>
      </c>
      <c r="D954" t="s">
        <v>1222</v>
      </c>
      <c r="E954" t="s">
        <v>1223</v>
      </c>
      <c r="F954">
        <v>4134</v>
      </c>
      <c r="G954" s="23" t="s">
        <v>1528</v>
      </c>
      <c r="H954" s="2" t="s">
        <v>3417</v>
      </c>
      <c r="I954" t="s">
        <v>3418</v>
      </c>
      <c r="K954" s="149">
        <v>0</v>
      </c>
      <c r="L954" s="149">
        <v>6373120</v>
      </c>
      <c r="M954" s="149">
        <v>1210893</v>
      </c>
      <c r="N954" s="149">
        <v>7584013</v>
      </c>
      <c r="O954">
        <v>0</v>
      </c>
      <c r="P954">
        <v>0</v>
      </c>
      <c r="Q954">
        <v>0</v>
      </c>
      <c r="R954">
        <v>0</v>
      </c>
      <c r="S954">
        <v>0</v>
      </c>
      <c r="T954" t="s">
        <v>77</v>
      </c>
      <c r="U954">
        <v>0</v>
      </c>
      <c r="V954">
        <v>0</v>
      </c>
      <c r="W954">
        <v>0</v>
      </c>
      <c r="X954">
        <v>0</v>
      </c>
      <c r="AC954">
        <v>0</v>
      </c>
      <c r="AE954">
        <v>0</v>
      </c>
      <c r="AF954">
        <v>2</v>
      </c>
      <c r="AG954">
        <v>0</v>
      </c>
      <c r="AH954">
        <v>0</v>
      </c>
      <c r="AI954">
        <v>0</v>
      </c>
      <c r="AM954">
        <v>0</v>
      </c>
      <c r="AR954" t="s">
        <v>3451</v>
      </c>
      <c r="AS954" t="s">
        <v>1680</v>
      </c>
      <c r="AT954">
        <v>2025</v>
      </c>
      <c r="AU954">
        <v>6</v>
      </c>
      <c r="AV954" t="s">
        <v>78</v>
      </c>
      <c r="AX954" t="s">
        <v>3516</v>
      </c>
    </row>
    <row r="955" spans="1:50">
      <c r="A955">
        <v>66</v>
      </c>
      <c r="B955">
        <v>33</v>
      </c>
      <c r="C955" t="s">
        <v>74</v>
      </c>
      <c r="D955" t="s">
        <v>3419</v>
      </c>
      <c r="E955" t="s">
        <v>3420</v>
      </c>
      <c r="F955">
        <v>4135</v>
      </c>
      <c r="G955" s="23" t="s">
        <v>1528</v>
      </c>
      <c r="H955" s="2" t="s">
        <v>3421</v>
      </c>
      <c r="I955" s="2" t="s">
        <v>3422</v>
      </c>
      <c r="K955" s="149">
        <v>0</v>
      </c>
      <c r="L955" s="149">
        <v>200115</v>
      </c>
      <c r="M955" s="149">
        <v>38023</v>
      </c>
      <c r="N955" s="149">
        <v>238138</v>
      </c>
      <c r="O955">
        <v>0</v>
      </c>
      <c r="P955">
        <v>0</v>
      </c>
      <c r="Q955">
        <v>0</v>
      </c>
      <c r="R955">
        <v>0</v>
      </c>
      <c r="S955">
        <v>0</v>
      </c>
      <c r="T955" t="s">
        <v>77</v>
      </c>
      <c r="U955">
        <v>0</v>
      </c>
      <c r="V955">
        <v>0</v>
      </c>
      <c r="W955">
        <v>0</v>
      </c>
      <c r="X955">
        <v>0</v>
      </c>
      <c r="Y955">
        <v>0</v>
      </c>
      <c r="AC955">
        <v>0</v>
      </c>
      <c r="AE955">
        <v>0</v>
      </c>
      <c r="AF955">
        <v>2</v>
      </c>
      <c r="AG955">
        <v>0</v>
      </c>
      <c r="AH955">
        <v>0</v>
      </c>
      <c r="AI955">
        <v>0</v>
      </c>
      <c r="AM955">
        <v>0</v>
      </c>
      <c r="AR955" t="s">
        <v>3451</v>
      </c>
      <c r="AS955" t="s">
        <v>1680</v>
      </c>
      <c r="AT955">
        <v>2025</v>
      </c>
      <c r="AU955">
        <v>6</v>
      </c>
      <c r="AV955" t="s">
        <v>78</v>
      </c>
      <c r="AX955" t="s">
        <v>3517</v>
      </c>
    </row>
    <row r="956" spans="1:50">
      <c r="A956">
        <v>67</v>
      </c>
      <c r="B956">
        <v>33</v>
      </c>
      <c r="C956" t="s">
        <v>74</v>
      </c>
      <c r="D956" t="s">
        <v>3419</v>
      </c>
      <c r="E956" t="s">
        <v>3420</v>
      </c>
      <c r="F956">
        <v>4136</v>
      </c>
      <c r="G956" s="23" t="s">
        <v>1528</v>
      </c>
      <c r="H956" s="2" t="s">
        <v>3423</v>
      </c>
      <c r="I956" t="s">
        <v>3424</v>
      </c>
      <c r="K956" s="149">
        <v>0</v>
      </c>
      <c r="L956" s="149">
        <v>288000</v>
      </c>
      <c r="M956" s="149">
        <v>54720</v>
      </c>
      <c r="N956" s="149">
        <v>342720</v>
      </c>
      <c r="O956">
        <v>0</v>
      </c>
      <c r="P956">
        <v>0</v>
      </c>
      <c r="Q956">
        <v>0</v>
      </c>
      <c r="R956">
        <v>0</v>
      </c>
      <c r="S956">
        <v>0</v>
      </c>
      <c r="T956" t="s">
        <v>77</v>
      </c>
      <c r="U956">
        <v>0</v>
      </c>
      <c r="V956">
        <v>0</v>
      </c>
      <c r="W956">
        <v>0</v>
      </c>
      <c r="X956">
        <v>0</v>
      </c>
      <c r="Y956">
        <v>0</v>
      </c>
      <c r="AC956">
        <v>0</v>
      </c>
      <c r="AE956">
        <v>0</v>
      </c>
      <c r="AF956">
        <v>2</v>
      </c>
      <c r="AG956">
        <v>0</v>
      </c>
      <c r="AH956">
        <v>0</v>
      </c>
      <c r="AI956">
        <v>0</v>
      </c>
      <c r="AM956">
        <v>0</v>
      </c>
      <c r="AR956" t="s">
        <v>3451</v>
      </c>
      <c r="AS956" t="s">
        <v>1680</v>
      </c>
      <c r="AT956">
        <v>2025</v>
      </c>
      <c r="AU956">
        <v>6</v>
      </c>
      <c r="AV956" t="s">
        <v>78</v>
      </c>
      <c r="AX956" t="s">
        <v>3518</v>
      </c>
    </row>
    <row r="957" spans="1:50">
      <c r="A957">
        <v>68</v>
      </c>
      <c r="B957">
        <v>33</v>
      </c>
      <c r="C957" t="s">
        <v>74</v>
      </c>
      <c r="D957" t="s">
        <v>1353</v>
      </c>
      <c r="E957" t="s">
        <v>1354</v>
      </c>
      <c r="F957">
        <v>4137</v>
      </c>
      <c r="G957" s="23" t="s">
        <v>1528</v>
      </c>
      <c r="H957" s="2" t="s">
        <v>3425</v>
      </c>
      <c r="I957" t="s">
        <v>3406</v>
      </c>
      <c r="K957" s="149">
        <v>0</v>
      </c>
      <c r="L957" s="149">
        <v>1267200</v>
      </c>
      <c r="M957" s="149">
        <v>240768</v>
      </c>
      <c r="N957" s="149">
        <v>1507968</v>
      </c>
      <c r="O957">
        <v>0</v>
      </c>
      <c r="P957">
        <v>0</v>
      </c>
      <c r="Q957">
        <v>0</v>
      </c>
      <c r="R957">
        <v>0</v>
      </c>
      <c r="S957">
        <v>0</v>
      </c>
      <c r="T957" t="s">
        <v>77</v>
      </c>
      <c r="U957">
        <v>0</v>
      </c>
      <c r="V957">
        <v>0</v>
      </c>
      <c r="W957">
        <v>0</v>
      </c>
      <c r="X957">
        <v>0</v>
      </c>
      <c r="Y957">
        <v>0</v>
      </c>
      <c r="AC957">
        <v>0</v>
      </c>
      <c r="AE957">
        <v>0</v>
      </c>
      <c r="AF957">
        <v>2</v>
      </c>
      <c r="AG957">
        <v>0</v>
      </c>
      <c r="AH957">
        <v>0</v>
      </c>
      <c r="AI957">
        <v>0</v>
      </c>
      <c r="AM957">
        <v>0</v>
      </c>
      <c r="AR957" t="s">
        <v>3451</v>
      </c>
      <c r="AS957" t="s">
        <v>1680</v>
      </c>
      <c r="AT957">
        <v>2025</v>
      </c>
      <c r="AU957">
        <v>6</v>
      </c>
      <c r="AV957" t="s">
        <v>78</v>
      </c>
      <c r="AX957" t="s">
        <v>3519</v>
      </c>
    </row>
    <row r="958" spans="1:50">
      <c r="A958">
        <v>69</v>
      </c>
      <c r="B958">
        <v>33</v>
      </c>
      <c r="C958" t="s">
        <v>74</v>
      </c>
      <c r="D958" t="s">
        <v>3135</v>
      </c>
      <c r="E958" t="s">
        <v>3136</v>
      </c>
      <c r="F958">
        <v>4138</v>
      </c>
      <c r="G958" s="23" t="s">
        <v>1528</v>
      </c>
      <c r="H958" s="2" t="s">
        <v>3426</v>
      </c>
      <c r="I958" s="2"/>
      <c r="K958" s="149">
        <v>0</v>
      </c>
      <c r="L958" s="149">
        <v>77160</v>
      </c>
      <c r="M958" s="149">
        <v>14661</v>
      </c>
      <c r="N958" s="149">
        <v>91821</v>
      </c>
      <c r="O958">
        <v>0</v>
      </c>
      <c r="P958">
        <v>0</v>
      </c>
      <c r="Q958">
        <v>0</v>
      </c>
      <c r="R958">
        <v>0</v>
      </c>
      <c r="S958">
        <v>0</v>
      </c>
      <c r="T958" t="s">
        <v>77</v>
      </c>
      <c r="U958">
        <v>0</v>
      </c>
      <c r="V958">
        <v>0</v>
      </c>
      <c r="W958">
        <v>0</v>
      </c>
      <c r="X958">
        <v>0</v>
      </c>
      <c r="Y958">
        <v>0</v>
      </c>
      <c r="AC958">
        <v>0</v>
      </c>
      <c r="AE958">
        <v>0</v>
      </c>
      <c r="AF958">
        <v>2</v>
      </c>
      <c r="AG958">
        <v>0</v>
      </c>
      <c r="AH958">
        <v>0</v>
      </c>
      <c r="AI958">
        <v>0</v>
      </c>
      <c r="AM958">
        <v>0</v>
      </c>
      <c r="AR958" t="s">
        <v>3451</v>
      </c>
      <c r="AS958" t="s">
        <v>1680</v>
      </c>
      <c r="AT958">
        <v>2025</v>
      </c>
      <c r="AU958">
        <v>6</v>
      </c>
      <c r="AV958" t="s">
        <v>78</v>
      </c>
      <c r="AX958" t="s">
        <v>3520</v>
      </c>
    </row>
    <row r="959" spans="1:50">
      <c r="A959">
        <v>70</v>
      </c>
      <c r="B959">
        <v>33</v>
      </c>
      <c r="C959" t="s">
        <v>74</v>
      </c>
      <c r="D959" t="s">
        <v>3135</v>
      </c>
      <c r="E959" t="s">
        <v>3136</v>
      </c>
      <c r="F959">
        <v>4139</v>
      </c>
      <c r="G959" s="23" t="s">
        <v>1528</v>
      </c>
      <c r="H959" s="2" t="s">
        <v>3427</v>
      </c>
      <c r="I959" s="2"/>
      <c r="K959" s="149">
        <v>0</v>
      </c>
      <c r="L959" s="149">
        <v>162312</v>
      </c>
      <c r="M959" s="149">
        <v>30839</v>
      </c>
      <c r="N959" s="149">
        <v>193151</v>
      </c>
      <c r="O959">
        <v>0</v>
      </c>
      <c r="P959">
        <v>0</v>
      </c>
      <c r="Q959">
        <v>0</v>
      </c>
      <c r="R959">
        <v>0</v>
      </c>
      <c r="S959">
        <v>0</v>
      </c>
      <c r="T959" t="s">
        <v>77</v>
      </c>
      <c r="U959">
        <v>0</v>
      </c>
      <c r="V959">
        <v>0</v>
      </c>
      <c r="W959">
        <v>0</v>
      </c>
      <c r="X959">
        <v>0</v>
      </c>
      <c r="Y959">
        <v>0</v>
      </c>
      <c r="AC959">
        <v>0</v>
      </c>
      <c r="AE959">
        <v>0</v>
      </c>
      <c r="AF959">
        <v>2</v>
      </c>
      <c r="AG959">
        <v>0</v>
      </c>
      <c r="AH959">
        <v>0</v>
      </c>
      <c r="AI959">
        <v>0</v>
      </c>
      <c r="AM959">
        <v>0</v>
      </c>
      <c r="AR959" t="s">
        <v>3451</v>
      </c>
      <c r="AS959" t="s">
        <v>1680</v>
      </c>
      <c r="AT959">
        <v>2025</v>
      </c>
      <c r="AU959">
        <v>6</v>
      </c>
      <c r="AV959" t="s">
        <v>78</v>
      </c>
      <c r="AX959" t="s">
        <v>3521</v>
      </c>
    </row>
    <row r="960" spans="1:50">
      <c r="A960">
        <v>71</v>
      </c>
      <c r="B960">
        <v>33</v>
      </c>
      <c r="C960" t="s">
        <v>74</v>
      </c>
      <c r="D960" t="s">
        <v>1567</v>
      </c>
      <c r="E960" t="s">
        <v>1568</v>
      </c>
      <c r="F960">
        <v>4140</v>
      </c>
      <c r="G960" s="23" t="s">
        <v>1528</v>
      </c>
      <c r="H960" s="2" t="s">
        <v>3428</v>
      </c>
      <c r="I960" s="2" t="s">
        <v>3429</v>
      </c>
      <c r="K960" s="149">
        <v>0</v>
      </c>
      <c r="L960" s="149">
        <v>1668300</v>
      </c>
      <c r="M960" s="149">
        <v>316977</v>
      </c>
      <c r="N960" s="149">
        <v>1985277</v>
      </c>
      <c r="O960">
        <v>0</v>
      </c>
      <c r="P960">
        <v>0</v>
      </c>
      <c r="Q960">
        <v>0</v>
      </c>
      <c r="R960">
        <v>0</v>
      </c>
      <c r="S960">
        <v>0</v>
      </c>
      <c r="T960" t="s">
        <v>77</v>
      </c>
      <c r="U960">
        <v>0</v>
      </c>
      <c r="V960">
        <v>0</v>
      </c>
      <c r="W960">
        <v>0</v>
      </c>
      <c r="X960">
        <v>0</v>
      </c>
      <c r="Y960">
        <v>0</v>
      </c>
      <c r="AC960">
        <v>0</v>
      </c>
      <c r="AE960">
        <v>0</v>
      </c>
      <c r="AF960">
        <v>2</v>
      </c>
      <c r="AG960">
        <v>0</v>
      </c>
      <c r="AH960">
        <v>0</v>
      </c>
      <c r="AI960">
        <v>0</v>
      </c>
      <c r="AM960">
        <v>0</v>
      </c>
      <c r="AR960" t="s">
        <v>3451</v>
      </c>
      <c r="AS960" t="s">
        <v>1680</v>
      </c>
      <c r="AT960">
        <v>2025</v>
      </c>
      <c r="AU960">
        <v>6</v>
      </c>
      <c r="AV960" t="s">
        <v>78</v>
      </c>
      <c r="AX960" t="s">
        <v>3522</v>
      </c>
    </row>
    <row r="961" spans="1:50">
      <c r="A961">
        <v>72</v>
      </c>
      <c r="B961">
        <v>33</v>
      </c>
      <c r="C961" t="s">
        <v>74</v>
      </c>
      <c r="D961" t="s">
        <v>1561</v>
      </c>
      <c r="E961" t="s">
        <v>1562</v>
      </c>
      <c r="F961">
        <v>4141</v>
      </c>
      <c r="G961" s="23" t="s">
        <v>1543</v>
      </c>
      <c r="H961" s="2" t="s">
        <v>3430</v>
      </c>
      <c r="K961" s="149">
        <v>0</v>
      </c>
      <c r="L961" s="149">
        <v>37483500</v>
      </c>
      <c r="M961" s="149">
        <v>7121865</v>
      </c>
      <c r="N961" s="149">
        <v>44605365</v>
      </c>
      <c r="O961">
        <v>0</v>
      </c>
      <c r="P961">
        <v>0</v>
      </c>
      <c r="Q961">
        <v>0</v>
      </c>
      <c r="R961">
        <v>0</v>
      </c>
      <c r="S961">
        <v>0</v>
      </c>
      <c r="T961" t="s">
        <v>77</v>
      </c>
      <c r="U961">
        <v>0</v>
      </c>
      <c r="V961">
        <v>0</v>
      </c>
      <c r="W961">
        <v>0</v>
      </c>
      <c r="X961">
        <v>0</v>
      </c>
      <c r="AC961">
        <v>0</v>
      </c>
      <c r="AE961">
        <v>0</v>
      </c>
      <c r="AF961">
        <v>2</v>
      </c>
      <c r="AG961">
        <v>0</v>
      </c>
      <c r="AH961">
        <v>0</v>
      </c>
      <c r="AI961">
        <v>0</v>
      </c>
      <c r="AM961">
        <v>0</v>
      </c>
      <c r="AR961" t="s">
        <v>3451</v>
      </c>
      <c r="AS961" t="s">
        <v>1680</v>
      </c>
      <c r="AT961">
        <v>2025</v>
      </c>
      <c r="AU961">
        <v>6</v>
      </c>
      <c r="AV961" t="s">
        <v>78</v>
      </c>
      <c r="AX961" t="s">
        <v>3523</v>
      </c>
    </row>
    <row r="962" spans="1:50">
      <c r="A962">
        <v>73</v>
      </c>
      <c r="B962">
        <v>33</v>
      </c>
      <c r="C962" t="s">
        <v>74</v>
      </c>
      <c r="D962" t="s">
        <v>1579</v>
      </c>
      <c r="E962" t="s">
        <v>1580</v>
      </c>
      <c r="F962">
        <v>4142</v>
      </c>
      <c r="G962" s="23" t="s">
        <v>1543</v>
      </c>
      <c r="H962" s="2" t="s">
        <v>3431</v>
      </c>
      <c r="I962" t="s">
        <v>3432</v>
      </c>
      <c r="K962" s="149">
        <v>0</v>
      </c>
      <c r="L962" s="149">
        <v>14913160</v>
      </c>
      <c r="M962" s="149">
        <v>2833500</v>
      </c>
      <c r="N962" s="149">
        <v>17746660</v>
      </c>
      <c r="O962">
        <v>0</v>
      </c>
      <c r="P962">
        <v>0</v>
      </c>
      <c r="Q962">
        <v>0</v>
      </c>
      <c r="R962">
        <v>0</v>
      </c>
      <c r="S962">
        <v>0</v>
      </c>
      <c r="T962" t="s">
        <v>77</v>
      </c>
      <c r="U962">
        <v>0</v>
      </c>
      <c r="V962">
        <v>0</v>
      </c>
      <c r="W962">
        <v>0</v>
      </c>
      <c r="X962">
        <v>0</v>
      </c>
      <c r="AC962">
        <v>0</v>
      </c>
      <c r="AE962">
        <v>0</v>
      </c>
      <c r="AF962">
        <v>2</v>
      </c>
      <c r="AG962">
        <v>0</v>
      </c>
      <c r="AH962">
        <v>0</v>
      </c>
      <c r="AI962">
        <v>0</v>
      </c>
      <c r="AM962">
        <v>0</v>
      </c>
      <c r="AR962" t="s">
        <v>3451</v>
      </c>
      <c r="AS962" t="s">
        <v>1680</v>
      </c>
      <c r="AT962">
        <v>2025</v>
      </c>
      <c r="AU962">
        <v>6</v>
      </c>
      <c r="AV962" t="s">
        <v>78</v>
      </c>
      <c r="AX962" t="s">
        <v>3524</v>
      </c>
    </row>
    <row r="963" spans="1:50">
      <c r="A963">
        <v>74</v>
      </c>
      <c r="B963">
        <v>33</v>
      </c>
      <c r="C963" t="s">
        <v>74</v>
      </c>
      <c r="D963" t="s">
        <v>1222</v>
      </c>
      <c r="E963" t="s">
        <v>1223</v>
      </c>
      <c r="F963">
        <v>4143</v>
      </c>
      <c r="G963" s="23" t="s">
        <v>1543</v>
      </c>
      <c r="H963" s="2" t="s">
        <v>3433</v>
      </c>
      <c r="I963" s="2">
        <v>45695.655428240738</v>
      </c>
      <c r="K963" s="149">
        <v>0</v>
      </c>
      <c r="L963" s="149">
        <v>4801060</v>
      </c>
      <c r="M963" s="149">
        <v>912202</v>
      </c>
      <c r="N963" s="149">
        <v>5713262</v>
      </c>
      <c r="O963">
        <v>0</v>
      </c>
      <c r="P963">
        <v>0</v>
      </c>
      <c r="Q963">
        <v>0</v>
      </c>
      <c r="R963">
        <v>0</v>
      </c>
      <c r="S963">
        <v>0</v>
      </c>
      <c r="T963" t="s">
        <v>77</v>
      </c>
      <c r="U963">
        <v>0</v>
      </c>
      <c r="V963">
        <v>0</v>
      </c>
      <c r="W963">
        <v>0</v>
      </c>
      <c r="X963">
        <v>0</v>
      </c>
      <c r="AC963">
        <v>0</v>
      </c>
      <c r="AE963">
        <v>0</v>
      </c>
      <c r="AF963">
        <v>2</v>
      </c>
      <c r="AG963">
        <v>0</v>
      </c>
      <c r="AH963">
        <v>0</v>
      </c>
      <c r="AI963">
        <v>0</v>
      </c>
      <c r="AM963">
        <v>0</v>
      </c>
      <c r="AR963" t="s">
        <v>3451</v>
      </c>
      <c r="AS963" t="s">
        <v>1680</v>
      </c>
      <c r="AT963">
        <v>2025</v>
      </c>
      <c r="AU963">
        <v>6</v>
      </c>
      <c r="AV963" t="s">
        <v>78</v>
      </c>
      <c r="AX963" t="s">
        <v>3525</v>
      </c>
    </row>
    <row r="964" spans="1:50">
      <c r="A964">
        <v>75</v>
      </c>
      <c r="B964">
        <v>33</v>
      </c>
      <c r="C964" t="s">
        <v>74</v>
      </c>
      <c r="D964" t="s">
        <v>1222</v>
      </c>
      <c r="E964" t="s">
        <v>1223</v>
      </c>
      <c r="F964">
        <v>4144</v>
      </c>
      <c r="G964" s="23" t="s">
        <v>1543</v>
      </c>
      <c r="H964" s="2" t="s">
        <v>3434</v>
      </c>
      <c r="I964" s="2">
        <v>45695.655428240738</v>
      </c>
      <c r="K964" s="149">
        <v>0</v>
      </c>
      <c r="L964" s="149">
        <v>2900880</v>
      </c>
      <c r="M964" s="149">
        <v>551167</v>
      </c>
      <c r="N964" s="149">
        <v>3452047</v>
      </c>
      <c r="O964">
        <v>0</v>
      </c>
      <c r="P964">
        <v>0</v>
      </c>
      <c r="Q964">
        <v>0</v>
      </c>
      <c r="R964">
        <v>0</v>
      </c>
      <c r="S964">
        <v>0</v>
      </c>
      <c r="T964" t="s">
        <v>77</v>
      </c>
      <c r="U964">
        <v>0</v>
      </c>
      <c r="V964">
        <v>0</v>
      </c>
      <c r="W964">
        <v>0</v>
      </c>
      <c r="X964">
        <v>0</v>
      </c>
      <c r="AC964">
        <v>0</v>
      </c>
      <c r="AE964">
        <v>0</v>
      </c>
      <c r="AF964">
        <v>2</v>
      </c>
      <c r="AG964">
        <v>0</v>
      </c>
      <c r="AH964">
        <v>0</v>
      </c>
      <c r="AI964">
        <v>0</v>
      </c>
      <c r="AM964">
        <v>0</v>
      </c>
      <c r="AR964" t="s">
        <v>3451</v>
      </c>
      <c r="AS964" t="s">
        <v>1680</v>
      </c>
      <c r="AT964">
        <v>2025</v>
      </c>
      <c r="AU964">
        <v>6</v>
      </c>
      <c r="AV964" t="s">
        <v>78</v>
      </c>
      <c r="AX964" t="s">
        <v>3526</v>
      </c>
    </row>
    <row r="965" spans="1:50">
      <c r="A965">
        <v>76</v>
      </c>
      <c r="B965">
        <v>33</v>
      </c>
      <c r="C965" t="s">
        <v>74</v>
      </c>
      <c r="D965" t="s">
        <v>1555</v>
      </c>
      <c r="E965" t="s">
        <v>1556</v>
      </c>
      <c r="F965">
        <v>4145</v>
      </c>
      <c r="G965" s="23" t="s">
        <v>1543</v>
      </c>
      <c r="H965" s="2" t="s">
        <v>3435</v>
      </c>
      <c r="I965" s="2">
        <v>45664.820277777777</v>
      </c>
      <c r="K965" s="149">
        <v>0</v>
      </c>
      <c r="L965" s="149">
        <v>2213740</v>
      </c>
      <c r="M965" s="149">
        <v>420611</v>
      </c>
      <c r="N965" s="149">
        <v>2634351</v>
      </c>
      <c r="O965">
        <v>0</v>
      </c>
      <c r="P965">
        <v>0</v>
      </c>
      <c r="Q965">
        <v>0</v>
      </c>
      <c r="R965">
        <v>0</v>
      </c>
      <c r="S965">
        <v>0</v>
      </c>
      <c r="T965" t="s">
        <v>77</v>
      </c>
      <c r="U965">
        <v>0</v>
      </c>
      <c r="V965">
        <v>0</v>
      </c>
      <c r="W965">
        <v>0</v>
      </c>
      <c r="X965">
        <v>0</v>
      </c>
      <c r="AC965">
        <v>0</v>
      </c>
      <c r="AE965">
        <v>0</v>
      </c>
      <c r="AF965">
        <v>2</v>
      </c>
      <c r="AG965">
        <v>0</v>
      </c>
      <c r="AH965">
        <v>0</v>
      </c>
      <c r="AI965">
        <v>0</v>
      </c>
      <c r="AM965">
        <v>0</v>
      </c>
      <c r="AR965" t="s">
        <v>3451</v>
      </c>
      <c r="AS965" t="s">
        <v>1680</v>
      </c>
      <c r="AT965">
        <v>2025</v>
      </c>
      <c r="AU965">
        <v>6</v>
      </c>
      <c r="AV965" t="s">
        <v>78</v>
      </c>
      <c r="AX965" t="s">
        <v>3527</v>
      </c>
    </row>
    <row r="966" spans="1:50">
      <c r="A966">
        <v>77</v>
      </c>
      <c r="B966">
        <v>33</v>
      </c>
      <c r="C966" t="s">
        <v>74</v>
      </c>
      <c r="D966" t="s">
        <v>3419</v>
      </c>
      <c r="E966" t="s">
        <v>3420</v>
      </c>
      <c r="F966">
        <v>4146</v>
      </c>
      <c r="G966" s="23" t="s">
        <v>1543</v>
      </c>
      <c r="H966" s="2" t="s">
        <v>3436</v>
      </c>
      <c r="I966" t="s">
        <v>3437</v>
      </c>
      <c r="K966" s="149">
        <v>0</v>
      </c>
      <c r="L966" s="149">
        <v>338760</v>
      </c>
      <c r="M966" s="149">
        <v>64364</v>
      </c>
      <c r="N966" s="149">
        <v>403124</v>
      </c>
      <c r="O966">
        <v>0</v>
      </c>
      <c r="P966">
        <v>0</v>
      </c>
      <c r="Q966">
        <v>0</v>
      </c>
      <c r="R966">
        <v>0</v>
      </c>
      <c r="S966">
        <v>0</v>
      </c>
      <c r="T966" t="s">
        <v>77</v>
      </c>
      <c r="U966">
        <v>0</v>
      </c>
      <c r="V966">
        <v>0</v>
      </c>
      <c r="W966">
        <v>0</v>
      </c>
      <c r="X966">
        <v>0</v>
      </c>
      <c r="Y966">
        <v>0</v>
      </c>
      <c r="AC966">
        <v>0</v>
      </c>
      <c r="AE966">
        <v>0</v>
      </c>
      <c r="AF966">
        <v>2</v>
      </c>
      <c r="AG966">
        <v>0</v>
      </c>
      <c r="AH966">
        <v>0</v>
      </c>
      <c r="AI966">
        <v>0</v>
      </c>
      <c r="AM966">
        <v>0</v>
      </c>
      <c r="AR966" t="s">
        <v>3451</v>
      </c>
      <c r="AS966" t="s">
        <v>1680</v>
      </c>
      <c r="AT966">
        <v>2025</v>
      </c>
      <c r="AU966">
        <v>6</v>
      </c>
      <c r="AV966" t="s">
        <v>78</v>
      </c>
      <c r="AX966" t="s">
        <v>3528</v>
      </c>
    </row>
    <row r="967" spans="1:50">
      <c r="A967">
        <v>78</v>
      </c>
      <c r="B967">
        <v>33</v>
      </c>
      <c r="C967" t="s">
        <v>74</v>
      </c>
      <c r="D967" t="s">
        <v>1353</v>
      </c>
      <c r="E967" t="s">
        <v>1354</v>
      </c>
      <c r="F967">
        <v>4147</v>
      </c>
      <c r="G967" s="23" t="s">
        <v>1543</v>
      </c>
      <c r="H967" s="2" t="s">
        <v>3438</v>
      </c>
      <c r="I967" t="s">
        <v>3439</v>
      </c>
      <c r="K967" s="149">
        <v>0</v>
      </c>
      <c r="L967" s="149">
        <v>2222040</v>
      </c>
      <c r="M967" s="149">
        <v>422188</v>
      </c>
      <c r="N967" s="149">
        <v>2644228</v>
      </c>
      <c r="O967">
        <v>0</v>
      </c>
      <c r="P967">
        <v>0</v>
      </c>
      <c r="Q967">
        <v>0</v>
      </c>
      <c r="R967">
        <v>0</v>
      </c>
      <c r="S967">
        <v>0</v>
      </c>
      <c r="T967" t="s">
        <v>77</v>
      </c>
      <c r="U967">
        <v>0</v>
      </c>
      <c r="V967">
        <v>0</v>
      </c>
      <c r="W967">
        <v>0</v>
      </c>
      <c r="X967">
        <v>0</v>
      </c>
      <c r="Y967">
        <v>0</v>
      </c>
      <c r="AC967">
        <v>0</v>
      </c>
      <c r="AE967">
        <v>0</v>
      </c>
      <c r="AF967">
        <v>2</v>
      </c>
      <c r="AG967">
        <v>0</v>
      </c>
      <c r="AH967">
        <v>0</v>
      </c>
      <c r="AI967">
        <v>0</v>
      </c>
      <c r="AM967">
        <v>0</v>
      </c>
      <c r="AR967" t="s">
        <v>3451</v>
      </c>
      <c r="AS967" t="s">
        <v>1680</v>
      </c>
      <c r="AT967">
        <v>2025</v>
      </c>
      <c r="AU967">
        <v>6</v>
      </c>
      <c r="AV967" t="s">
        <v>78</v>
      </c>
      <c r="AX967" t="s">
        <v>3529</v>
      </c>
    </row>
    <row r="968" spans="1:50">
      <c r="A968">
        <v>79</v>
      </c>
      <c r="B968">
        <v>33</v>
      </c>
      <c r="C968" t="s">
        <v>74</v>
      </c>
      <c r="D968" t="s">
        <v>2329</v>
      </c>
      <c r="E968" t="s">
        <v>2330</v>
      </c>
      <c r="F968">
        <v>4148</v>
      </c>
      <c r="G968" s="23" t="s">
        <v>1543</v>
      </c>
      <c r="H968" s="2" t="s">
        <v>3440</v>
      </c>
      <c r="I968" s="2">
        <v>45664.320810185185</v>
      </c>
      <c r="K968" s="149">
        <v>0</v>
      </c>
      <c r="L968" s="149">
        <v>280000</v>
      </c>
      <c r="M968" s="149">
        <v>53200</v>
      </c>
      <c r="N968" s="149">
        <v>333200</v>
      </c>
      <c r="O968">
        <v>0</v>
      </c>
      <c r="P968">
        <v>0</v>
      </c>
      <c r="Q968">
        <v>0</v>
      </c>
      <c r="R968">
        <v>0</v>
      </c>
      <c r="S968">
        <v>0</v>
      </c>
      <c r="T968" t="s">
        <v>77</v>
      </c>
      <c r="U968">
        <v>0</v>
      </c>
      <c r="V968">
        <v>0</v>
      </c>
      <c r="W968">
        <v>0</v>
      </c>
      <c r="X968">
        <v>0</v>
      </c>
      <c r="Y968">
        <v>0</v>
      </c>
      <c r="AC968">
        <v>0</v>
      </c>
      <c r="AE968">
        <v>0</v>
      </c>
      <c r="AF968">
        <v>2</v>
      </c>
      <c r="AG968">
        <v>0</v>
      </c>
      <c r="AH968">
        <v>0</v>
      </c>
      <c r="AI968">
        <v>0</v>
      </c>
      <c r="AM968">
        <v>0</v>
      </c>
      <c r="AR968" t="s">
        <v>3451</v>
      </c>
      <c r="AS968" t="s">
        <v>1680</v>
      </c>
      <c r="AT968">
        <v>2025</v>
      </c>
      <c r="AU968">
        <v>6</v>
      </c>
      <c r="AV968" t="s">
        <v>78</v>
      </c>
      <c r="AX968" t="s">
        <v>3530</v>
      </c>
    </row>
    <row r="969" spans="1:50">
      <c r="A969">
        <v>80</v>
      </c>
      <c r="B969">
        <v>33</v>
      </c>
      <c r="C969" t="s">
        <v>74</v>
      </c>
      <c r="D969" t="s">
        <v>1631</v>
      </c>
      <c r="E969" t="s">
        <v>1632</v>
      </c>
      <c r="F969">
        <v>4149</v>
      </c>
      <c r="G969" s="23" t="s">
        <v>1543</v>
      </c>
      <c r="H969" s="2" t="s">
        <v>3441</v>
      </c>
      <c r="K969" s="149">
        <v>0</v>
      </c>
      <c r="L969" s="149">
        <v>249840</v>
      </c>
      <c r="M969" s="149">
        <v>47470</v>
      </c>
      <c r="N969" s="149">
        <v>297310</v>
      </c>
      <c r="O969">
        <v>0</v>
      </c>
      <c r="P969">
        <v>0</v>
      </c>
      <c r="Q969">
        <v>0</v>
      </c>
      <c r="R969">
        <v>0</v>
      </c>
      <c r="S969">
        <v>0</v>
      </c>
      <c r="T969" t="s">
        <v>77</v>
      </c>
      <c r="U969">
        <v>0</v>
      </c>
      <c r="V969">
        <v>0</v>
      </c>
      <c r="W969">
        <v>0</v>
      </c>
      <c r="X969">
        <v>0</v>
      </c>
      <c r="Y969">
        <v>0</v>
      </c>
      <c r="AC969">
        <v>0</v>
      </c>
      <c r="AE969">
        <v>0</v>
      </c>
      <c r="AF969">
        <v>2</v>
      </c>
      <c r="AG969">
        <v>0</v>
      </c>
      <c r="AH969">
        <v>0</v>
      </c>
      <c r="AI969">
        <v>0</v>
      </c>
      <c r="AM969">
        <v>0</v>
      </c>
      <c r="AR969" t="s">
        <v>3451</v>
      </c>
      <c r="AS969" t="s">
        <v>1680</v>
      </c>
      <c r="AT969">
        <v>2025</v>
      </c>
      <c r="AU969">
        <v>6</v>
      </c>
      <c r="AV969" t="s">
        <v>78</v>
      </c>
      <c r="AX969" t="s">
        <v>3531</v>
      </c>
    </row>
    <row r="970" spans="1:50">
      <c r="A970">
        <v>81</v>
      </c>
      <c r="B970">
        <v>33</v>
      </c>
      <c r="C970" t="s">
        <v>74</v>
      </c>
      <c r="D970" t="s">
        <v>1569</v>
      </c>
      <c r="E970" t="s">
        <v>1570</v>
      </c>
      <c r="F970">
        <v>4150</v>
      </c>
      <c r="G970" s="23" t="s">
        <v>1543</v>
      </c>
      <c r="H970" s="2" t="s">
        <v>3442</v>
      </c>
      <c r="I970" t="s">
        <v>3443</v>
      </c>
      <c r="K970" s="149">
        <v>0</v>
      </c>
      <c r="L970" s="149">
        <v>266245</v>
      </c>
      <c r="M970" s="149">
        <v>50586</v>
      </c>
      <c r="N970" s="149">
        <v>316831</v>
      </c>
      <c r="O970">
        <v>0</v>
      </c>
      <c r="P970">
        <v>0</v>
      </c>
      <c r="Q970">
        <v>0</v>
      </c>
      <c r="R970">
        <v>0</v>
      </c>
      <c r="S970">
        <v>0</v>
      </c>
      <c r="T970" t="s">
        <v>77</v>
      </c>
      <c r="U970">
        <v>0</v>
      </c>
      <c r="V970">
        <v>0</v>
      </c>
      <c r="W970">
        <v>0</v>
      </c>
      <c r="X970">
        <v>0</v>
      </c>
      <c r="Y970">
        <v>0</v>
      </c>
      <c r="AC970">
        <v>0</v>
      </c>
      <c r="AE970">
        <v>0</v>
      </c>
      <c r="AF970">
        <v>2</v>
      </c>
      <c r="AG970">
        <v>0</v>
      </c>
      <c r="AH970">
        <v>0</v>
      </c>
      <c r="AI970">
        <v>0</v>
      </c>
      <c r="AM970">
        <v>0</v>
      </c>
      <c r="AR970" t="s">
        <v>3451</v>
      </c>
      <c r="AS970" t="s">
        <v>1680</v>
      </c>
      <c r="AT970">
        <v>2025</v>
      </c>
      <c r="AU970">
        <v>6</v>
      </c>
      <c r="AV970" t="s">
        <v>78</v>
      </c>
      <c r="AX970" t="s">
        <v>3532</v>
      </c>
    </row>
    <row r="971" spans="1:50">
      <c r="A971">
        <v>82</v>
      </c>
      <c r="B971">
        <v>33</v>
      </c>
      <c r="C971" t="s">
        <v>74</v>
      </c>
      <c r="D971" t="s">
        <v>3211</v>
      </c>
      <c r="E971" t="s">
        <v>3212</v>
      </c>
      <c r="F971">
        <v>4151</v>
      </c>
      <c r="G971" s="23" t="s">
        <v>1543</v>
      </c>
      <c r="H971" s="2" t="s">
        <v>3444</v>
      </c>
      <c r="I971" s="2">
        <v>45695.507013888891</v>
      </c>
      <c r="K971" s="149">
        <v>0</v>
      </c>
      <c r="L971" s="149">
        <v>435600</v>
      </c>
      <c r="M971" s="149">
        <v>82764</v>
      </c>
      <c r="N971" s="149">
        <v>518364</v>
      </c>
      <c r="O971">
        <v>0</v>
      </c>
      <c r="P971">
        <v>0</v>
      </c>
      <c r="Q971">
        <v>0</v>
      </c>
      <c r="R971">
        <v>0</v>
      </c>
      <c r="S971">
        <v>0</v>
      </c>
      <c r="T971" t="s">
        <v>77</v>
      </c>
      <c r="U971">
        <v>0</v>
      </c>
      <c r="V971">
        <v>0</v>
      </c>
      <c r="W971">
        <v>0</v>
      </c>
      <c r="X971">
        <v>0</v>
      </c>
      <c r="Y971">
        <v>0</v>
      </c>
      <c r="AC971">
        <v>0</v>
      </c>
      <c r="AE971">
        <v>0</v>
      </c>
      <c r="AF971">
        <v>2</v>
      </c>
      <c r="AG971">
        <v>0</v>
      </c>
      <c r="AH971">
        <v>0</v>
      </c>
      <c r="AI971">
        <v>0</v>
      </c>
      <c r="AM971">
        <v>0</v>
      </c>
      <c r="AR971" t="s">
        <v>3451</v>
      </c>
      <c r="AS971" t="s">
        <v>1680</v>
      </c>
      <c r="AT971">
        <v>2025</v>
      </c>
      <c r="AU971">
        <v>6</v>
      </c>
      <c r="AV971" t="s">
        <v>78</v>
      </c>
      <c r="AX971" t="s">
        <v>3533</v>
      </c>
    </row>
    <row r="972" spans="1:50">
      <c r="A972">
        <v>83</v>
      </c>
      <c r="B972">
        <v>61</v>
      </c>
      <c r="C972" t="s">
        <v>74</v>
      </c>
      <c r="D972" t="s">
        <v>1569</v>
      </c>
      <c r="E972" t="s">
        <v>1570</v>
      </c>
      <c r="F972">
        <v>833</v>
      </c>
      <c r="G972" s="23">
        <v>45812</v>
      </c>
      <c r="H972" s="2">
        <v>45753.639236111114</v>
      </c>
      <c r="I972" s="2">
        <v>45783.719039351854</v>
      </c>
      <c r="K972" s="149">
        <v>0</v>
      </c>
      <c r="L972" s="149">
        <v>-141488</v>
      </c>
      <c r="M972" s="149">
        <v>-26883</v>
      </c>
      <c r="N972" s="149">
        <v>-168371</v>
      </c>
      <c r="O972">
        <v>0</v>
      </c>
      <c r="P972">
        <v>0</v>
      </c>
      <c r="Q972">
        <v>0</v>
      </c>
      <c r="R972">
        <v>0</v>
      </c>
      <c r="S972">
        <v>0</v>
      </c>
      <c r="T972" t="s">
        <v>77</v>
      </c>
      <c r="U972">
        <v>0</v>
      </c>
      <c r="V972">
        <v>0</v>
      </c>
      <c r="W972">
        <v>0</v>
      </c>
      <c r="X972">
        <v>0</v>
      </c>
      <c r="Y972">
        <v>33</v>
      </c>
      <c r="Z972">
        <v>4079</v>
      </c>
      <c r="AC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M972">
        <v>0</v>
      </c>
      <c r="AR972" t="s">
        <v>3451</v>
      </c>
      <c r="AS972" t="s">
        <v>1680</v>
      </c>
      <c r="AT972">
        <v>2025</v>
      </c>
      <c r="AU972">
        <v>6</v>
      </c>
      <c r="AV972" t="s">
        <v>318</v>
      </c>
      <c r="AX972" t="s">
        <v>3534</v>
      </c>
    </row>
    <row r="973" spans="1:50">
      <c r="A973">
        <v>84</v>
      </c>
      <c r="B973">
        <v>61</v>
      </c>
      <c r="C973" t="s">
        <v>74</v>
      </c>
      <c r="D973" t="s">
        <v>1222</v>
      </c>
      <c r="E973" t="s">
        <v>1223</v>
      </c>
      <c r="F973">
        <v>834</v>
      </c>
      <c r="G973" s="23">
        <v>45812</v>
      </c>
      <c r="H973" s="2">
        <v>45753.664710648147</v>
      </c>
      <c r="I973" s="2">
        <v>45753.774594907409</v>
      </c>
      <c r="K973" s="149">
        <v>0</v>
      </c>
      <c r="L973" s="149">
        <v>-13008</v>
      </c>
      <c r="M973" s="149">
        <v>-2472</v>
      </c>
      <c r="N973" s="149">
        <v>-15480</v>
      </c>
      <c r="O973">
        <v>0</v>
      </c>
      <c r="P973">
        <v>0</v>
      </c>
      <c r="Q973">
        <v>0</v>
      </c>
      <c r="R973">
        <v>0</v>
      </c>
      <c r="S973">
        <v>0</v>
      </c>
      <c r="T973" t="s">
        <v>77</v>
      </c>
      <c r="U973">
        <v>0</v>
      </c>
      <c r="V973">
        <v>0</v>
      </c>
      <c r="W973">
        <v>0</v>
      </c>
      <c r="X973">
        <v>0</v>
      </c>
      <c r="Y973">
        <v>33</v>
      </c>
      <c r="Z973">
        <v>4069</v>
      </c>
      <c r="AC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M973">
        <v>0</v>
      </c>
      <c r="AR973" t="s">
        <v>3451</v>
      </c>
      <c r="AS973" t="s">
        <v>1680</v>
      </c>
      <c r="AT973">
        <v>2025</v>
      </c>
      <c r="AU973">
        <v>6</v>
      </c>
      <c r="AV973" t="s">
        <v>318</v>
      </c>
      <c r="AX973" t="s">
        <v>3535</v>
      </c>
    </row>
    <row r="974" spans="1:50">
      <c r="A974">
        <v>85</v>
      </c>
      <c r="B974">
        <v>61</v>
      </c>
      <c r="C974" t="s">
        <v>74</v>
      </c>
      <c r="D974" t="s">
        <v>1581</v>
      </c>
      <c r="E974" t="s">
        <v>1582</v>
      </c>
      <c r="F974">
        <v>835</v>
      </c>
      <c r="G974" s="23">
        <v>45813</v>
      </c>
      <c r="H974" s="2">
        <v>45783.657997685186</v>
      </c>
      <c r="K974" s="149">
        <v>0</v>
      </c>
      <c r="L974" s="149">
        <v>-330155</v>
      </c>
      <c r="M974" s="149">
        <v>-62730</v>
      </c>
      <c r="N974" s="149">
        <v>-392885</v>
      </c>
      <c r="O974">
        <v>0</v>
      </c>
      <c r="P974">
        <v>0</v>
      </c>
      <c r="Q974">
        <v>0</v>
      </c>
      <c r="R974">
        <v>0</v>
      </c>
      <c r="S974">
        <v>0</v>
      </c>
      <c r="T974" t="s">
        <v>77</v>
      </c>
      <c r="U974">
        <v>0</v>
      </c>
      <c r="V974">
        <v>0</v>
      </c>
      <c r="W974">
        <v>0</v>
      </c>
      <c r="X974">
        <v>0</v>
      </c>
      <c r="Y974">
        <v>33</v>
      </c>
      <c r="Z974">
        <v>4078</v>
      </c>
      <c r="AC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M974">
        <v>0</v>
      </c>
      <c r="AR974" t="s">
        <v>3451</v>
      </c>
      <c r="AS974" t="s">
        <v>1680</v>
      </c>
      <c r="AT974">
        <v>2025</v>
      </c>
      <c r="AU974">
        <v>6</v>
      </c>
      <c r="AV974" t="s">
        <v>318</v>
      </c>
      <c r="AX974" t="s">
        <v>3536</v>
      </c>
    </row>
    <row r="975" spans="1:50">
      <c r="A975">
        <v>86</v>
      </c>
      <c r="B975">
        <v>61</v>
      </c>
      <c r="C975" t="s">
        <v>74</v>
      </c>
      <c r="D975" t="s">
        <v>1222</v>
      </c>
      <c r="E975" t="s">
        <v>1223</v>
      </c>
      <c r="F975">
        <v>862</v>
      </c>
      <c r="G975" s="23">
        <v>45818</v>
      </c>
      <c r="H975" s="2">
        <v>45936.431319444448</v>
      </c>
      <c r="K975" s="149">
        <v>0</v>
      </c>
      <c r="L975" s="149">
        <v>-48300</v>
      </c>
      <c r="M975" s="149">
        <v>-9177</v>
      </c>
      <c r="N975" s="149">
        <v>-57477</v>
      </c>
      <c r="O975">
        <v>0</v>
      </c>
      <c r="P975">
        <v>0</v>
      </c>
      <c r="Q975">
        <v>0</v>
      </c>
      <c r="R975">
        <v>0</v>
      </c>
      <c r="S975">
        <v>0</v>
      </c>
      <c r="T975" t="s">
        <v>77</v>
      </c>
      <c r="U975">
        <v>0</v>
      </c>
      <c r="V975">
        <v>0</v>
      </c>
      <c r="W975">
        <v>0</v>
      </c>
      <c r="X975">
        <v>0</v>
      </c>
      <c r="Y975">
        <v>33</v>
      </c>
      <c r="Z975">
        <v>4083</v>
      </c>
      <c r="AC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M975">
        <v>0</v>
      </c>
      <c r="AR975" t="s">
        <v>3451</v>
      </c>
      <c r="AS975" t="s">
        <v>1680</v>
      </c>
      <c r="AT975">
        <v>2025</v>
      </c>
      <c r="AU975">
        <v>6</v>
      </c>
      <c r="AV975" t="s">
        <v>318</v>
      </c>
      <c r="AX975" t="s">
        <v>3537</v>
      </c>
    </row>
    <row r="976" spans="1:50">
      <c r="A976">
        <v>87</v>
      </c>
      <c r="B976">
        <v>61</v>
      </c>
      <c r="C976" t="s">
        <v>74</v>
      </c>
      <c r="D976" t="s">
        <v>1571</v>
      </c>
      <c r="E976" t="s">
        <v>1572</v>
      </c>
      <c r="F976">
        <v>863</v>
      </c>
      <c r="G976" s="23" t="s">
        <v>3820</v>
      </c>
      <c r="H976" s="2" t="s">
        <v>3445</v>
      </c>
      <c r="J976" t="s">
        <v>3373</v>
      </c>
      <c r="K976" s="149">
        <v>0</v>
      </c>
      <c r="L976" s="149">
        <v>-21464519</v>
      </c>
      <c r="M976" s="149">
        <v>-4078259</v>
      </c>
      <c r="N976" s="149">
        <v>-25542778</v>
      </c>
      <c r="O976">
        <v>0</v>
      </c>
      <c r="P976">
        <v>0</v>
      </c>
      <c r="Q976">
        <v>0</v>
      </c>
      <c r="R976">
        <v>0</v>
      </c>
      <c r="S976">
        <v>0</v>
      </c>
      <c r="T976" t="s">
        <v>77</v>
      </c>
      <c r="U976">
        <v>0</v>
      </c>
      <c r="V976">
        <v>0</v>
      </c>
      <c r="W976">
        <v>0</v>
      </c>
      <c r="X976">
        <v>0</v>
      </c>
      <c r="Y976">
        <v>33</v>
      </c>
      <c r="Z976">
        <v>4106</v>
      </c>
      <c r="AC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M976">
        <v>0</v>
      </c>
      <c r="AR976" t="s">
        <v>3451</v>
      </c>
      <c r="AS976" t="s">
        <v>1680</v>
      </c>
      <c r="AT976">
        <v>2025</v>
      </c>
      <c r="AU976">
        <v>6</v>
      </c>
      <c r="AV976" t="s">
        <v>318</v>
      </c>
      <c r="AX976" t="s">
        <v>3538</v>
      </c>
    </row>
    <row r="977" spans="1:50">
      <c r="A977">
        <v>88</v>
      </c>
      <c r="B977">
        <v>61</v>
      </c>
      <c r="C977" t="s">
        <v>74</v>
      </c>
      <c r="D977" t="s">
        <v>1222</v>
      </c>
      <c r="E977" t="s">
        <v>1223</v>
      </c>
      <c r="F977">
        <v>864</v>
      </c>
      <c r="G977" s="23" t="s">
        <v>3820</v>
      </c>
      <c r="H977" s="2" t="s">
        <v>3446</v>
      </c>
      <c r="K977" s="149">
        <v>0</v>
      </c>
      <c r="L977" s="149">
        <v>-15783000</v>
      </c>
      <c r="M977" s="149">
        <v>-2998770</v>
      </c>
      <c r="N977" s="149">
        <v>-18781770</v>
      </c>
      <c r="O977">
        <v>0</v>
      </c>
      <c r="P977">
        <v>0</v>
      </c>
      <c r="Q977">
        <v>0</v>
      </c>
      <c r="R977">
        <v>0</v>
      </c>
      <c r="S977">
        <v>0</v>
      </c>
      <c r="T977" t="s">
        <v>77</v>
      </c>
      <c r="U977">
        <v>0</v>
      </c>
      <c r="V977">
        <v>0</v>
      </c>
      <c r="W977">
        <v>0</v>
      </c>
      <c r="X977">
        <v>0</v>
      </c>
      <c r="Y977">
        <v>33</v>
      </c>
      <c r="Z977">
        <v>4083</v>
      </c>
      <c r="AC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M977">
        <v>0</v>
      </c>
      <c r="AR977" t="s">
        <v>3451</v>
      </c>
      <c r="AS977" t="s">
        <v>1680</v>
      </c>
      <c r="AT977">
        <v>2025</v>
      </c>
      <c r="AU977">
        <v>6</v>
      </c>
      <c r="AV977" t="s">
        <v>318</v>
      </c>
      <c r="AX977" t="s">
        <v>3539</v>
      </c>
    </row>
    <row r="978" spans="1:50">
      <c r="A978">
        <v>89</v>
      </c>
      <c r="B978">
        <v>61</v>
      </c>
      <c r="C978" t="s">
        <v>74</v>
      </c>
      <c r="D978" t="s">
        <v>1680</v>
      </c>
      <c r="E978" t="s">
        <v>3139</v>
      </c>
      <c r="F978">
        <v>865</v>
      </c>
      <c r="G978" s="23" t="s">
        <v>3820</v>
      </c>
      <c r="H978" s="2" t="s">
        <v>3447</v>
      </c>
      <c r="I978" s="2"/>
      <c r="K978" s="149">
        <v>0</v>
      </c>
      <c r="L978" s="149">
        <v>-45000</v>
      </c>
      <c r="M978" s="149">
        <v>-8550</v>
      </c>
      <c r="N978" s="149">
        <v>-53550</v>
      </c>
      <c r="O978">
        <v>0</v>
      </c>
      <c r="P978">
        <v>0</v>
      </c>
      <c r="Q978">
        <v>0</v>
      </c>
      <c r="R978">
        <v>0</v>
      </c>
      <c r="S978">
        <v>0</v>
      </c>
      <c r="T978" t="s">
        <v>77</v>
      </c>
      <c r="U978">
        <v>0</v>
      </c>
      <c r="V978">
        <v>0</v>
      </c>
      <c r="W978">
        <v>0</v>
      </c>
      <c r="X978">
        <v>0</v>
      </c>
      <c r="Y978">
        <v>33</v>
      </c>
      <c r="Z978">
        <v>4102</v>
      </c>
      <c r="AC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M978">
        <v>0</v>
      </c>
      <c r="AR978" t="s">
        <v>3451</v>
      </c>
      <c r="AS978" t="s">
        <v>1680</v>
      </c>
      <c r="AT978">
        <v>2025</v>
      </c>
      <c r="AU978">
        <v>6</v>
      </c>
      <c r="AV978" t="s">
        <v>318</v>
      </c>
      <c r="AX978" t="s">
        <v>3540</v>
      </c>
    </row>
    <row r="979" spans="1:50">
      <c r="A979">
        <v>90</v>
      </c>
      <c r="B979">
        <v>61</v>
      </c>
      <c r="C979" t="s">
        <v>74</v>
      </c>
      <c r="D979" t="s">
        <v>1571</v>
      </c>
      <c r="E979" t="s">
        <v>1572</v>
      </c>
      <c r="F979">
        <v>866</v>
      </c>
      <c r="G979" s="23" t="s">
        <v>1527</v>
      </c>
      <c r="H979" s="2" t="s">
        <v>3448</v>
      </c>
      <c r="I979" s="2"/>
      <c r="K979" s="149">
        <v>0</v>
      </c>
      <c r="L979" s="149">
        <v>-5824082</v>
      </c>
      <c r="M979" s="149">
        <v>-1106576</v>
      </c>
      <c r="N979" s="149">
        <v>-6930658</v>
      </c>
      <c r="O979">
        <v>0</v>
      </c>
      <c r="P979">
        <v>0</v>
      </c>
      <c r="Q979">
        <v>0</v>
      </c>
      <c r="R979">
        <v>0</v>
      </c>
      <c r="S979">
        <v>0</v>
      </c>
      <c r="T979" t="s">
        <v>77</v>
      </c>
      <c r="U979">
        <v>0</v>
      </c>
      <c r="V979">
        <v>0</v>
      </c>
      <c r="W979">
        <v>0</v>
      </c>
      <c r="X979">
        <v>0</v>
      </c>
      <c r="Y979">
        <v>33</v>
      </c>
      <c r="Z979">
        <v>4066</v>
      </c>
      <c r="AC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M979">
        <v>0</v>
      </c>
      <c r="AR979" t="s">
        <v>3451</v>
      </c>
      <c r="AS979" t="s">
        <v>1680</v>
      </c>
      <c r="AT979">
        <v>2025</v>
      </c>
      <c r="AU979">
        <v>6</v>
      </c>
      <c r="AV979" t="s">
        <v>318</v>
      </c>
      <c r="AX979" t="s">
        <v>3541</v>
      </c>
    </row>
    <row r="980" spans="1:50">
      <c r="A980">
        <v>91</v>
      </c>
      <c r="B980">
        <v>61</v>
      </c>
      <c r="C980" t="s">
        <v>74</v>
      </c>
      <c r="D980" t="s">
        <v>1353</v>
      </c>
      <c r="E980" t="s">
        <v>1354</v>
      </c>
      <c r="F980">
        <v>867</v>
      </c>
      <c r="G980" s="23" t="s">
        <v>3822</v>
      </c>
      <c r="H980" s="2" t="s">
        <v>3449</v>
      </c>
      <c r="I980" s="2"/>
      <c r="K980" s="149">
        <v>0</v>
      </c>
      <c r="L980" s="149">
        <v>-596312</v>
      </c>
      <c r="M980" s="149">
        <v>-113299</v>
      </c>
      <c r="N980" s="149">
        <v>-709611</v>
      </c>
      <c r="O980">
        <v>0</v>
      </c>
      <c r="P980">
        <v>0</v>
      </c>
      <c r="Q980">
        <v>0</v>
      </c>
      <c r="R980">
        <v>0</v>
      </c>
      <c r="S980">
        <v>0</v>
      </c>
      <c r="T980" t="s">
        <v>77</v>
      </c>
      <c r="U980">
        <v>0</v>
      </c>
      <c r="V980">
        <v>0</v>
      </c>
      <c r="W980">
        <v>0</v>
      </c>
      <c r="X980">
        <v>0</v>
      </c>
      <c r="Y980">
        <v>33</v>
      </c>
      <c r="Z980">
        <v>4120</v>
      </c>
      <c r="AC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M980">
        <v>0</v>
      </c>
      <c r="AR980" t="s">
        <v>3451</v>
      </c>
      <c r="AS980" t="s">
        <v>1680</v>
      </c>
      <c r="AT980">
        <v>2025</v>
      </c>
      <c r="AU980">
        <v>6</v>
      </c>
      <c r="AV980" t="s">
        <v>318</v>
      </c>
      <c r="AX980" t="s">
        <v>3542</v>
      </c>
    </row>
    <row r="981" spans="1:50">
      <c r="A981">
        <v>92</v>
      </c>
      <c r="B981">
        <v>61</v>
      </c>
      <c r="C981" t="s">
        <v>74</v>
      </c>
      <c r="D981" t="s">
        <v>3419</v>
      </c>
      <c r="E981" t="s">
        <v>3420</v>
      </c>
      <c r="F981">
        <v>868</v>
      </c>
      <c r="G981" s="23" t="s">
        <v>1528</v>
      </c>
      <c r="H981" s="2" t="s">
        <v>3450</v>
      </c>
      <c r="K981" s="149">
        <v>0</v>
      </c>
      <c r="L981" s="149">
        <v>-288000</v>
      </c>
      <c r="M981" s="149">
        <v>-54720</v>
      </c>
      <c r="N981" s="149">
        <v>-342720</v>
      </c>
      <c r="O981">
        <v>0</v>
      </c>
      <c r="P981">
        <v>0</v>
      </c>
      <c r="Q981">
        <v>0</v>
      </c>
      <c r="R981">
        <v>0</v>
      </c>
      <c r="S981">
        <v>0</v>
      </c>
      <c r="T981" t="s">
        <v>77</v>
      </c>
      <c r="U981">
        <v>0</v>
      </c>
      <c r="V981">
        <v>0</v>
      </c>
      <c r="W981">
        <v>0</v>
      </c>
      <c r="X981">
        <v>0</v>
      </c>
      <c r="Y981">
        <v>33</v>
      </c>
      <c r="Z981">
        <v>4136</v>
      </c>
      <c r="AC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M981">
        <v>0</v>
      </c>
      <c r="AR981" t="s">
        <v>3451</v>
      </c>
      <c r="AS981" t="s">
        <v>1680</v>
      </c>
      <c r="AT981">
        <v>2025</v>
      </c>
      <c r="AU981">
        <v>6</v>
      </c>
      <c r="AV981" t="s">
        <v>318</v>
      </c>
      <c r="AX981" t="s">
        <v>3543</v>
      </c>
    </row>
    <row r="982" spans="1:50">
      <c r="A982">
        <v>1</v>
      </c>
      <c r="B982">
        <v>33</v>
      </c>
      <c r="C982" t="s">
        <v>74</v>
      </c>
      <c r="D982" t="s">
        <v>3211</v>
      </c>
      <c r="E982" t="s">
        <v>3212</v>
      </c>
      <c r="F982">
        <v>4152</v>
      </c>
      <c r="G982" s="23">
        <v>45841</v>
      </c>
      <c r="H982" s="2">
        <v>45664.718888888892</v>
      </c>
      <c r="I982" s="2">
        <v>45845.402569444443</v>
      </c>
      <c r="K982" s="149">
        <v>0</v>
      </c>
      <c r="L982" s="149">
        <v>363000</v>
      </c>
      <c r="M982" s="149">
        <v>68970</v>
      </c>
      <c r="N982" s="149">
        <v>431970</v>
      </c>
      <c r="O982">
        <v>0</v>
      </c>
      <c r="P982">
        <v>0</v>
      </c>
      <c r="Q982">
        <v>0</v>
      </c>
      <c r="R982">
        <v>0</v>
      </c>
      <c r="S982">
        <v>0</v>
      </c>
      <c r="T982" t="s">
        <v>77</v>
      </c>
      <c r="U982">
        <v>0</v>
      </c>
      <c r="V982">
        <v>0</v>
      </c>
      <c r="W982">
        <v>0</v>
      </c>
      <c r="X982">
        <v>0</v>
      </c>
      <c r="Y982">
        <v>0</v>
      </c>
      <c r="AC982">
        <v>0</v>
      </c>
      <c r="AE982">
        <v>0</v>
      </c>
      <c r="AF982">
        <v>2</v>
      </c>
      <c r="AG982">
        <v>0</v>
      </c>
      <c r="AH982">
        <v>0</v>
      </c>
      <c r="AI982">
        <v>0</v>
      </c>
      <c r="AM982">
        <v>0</v>
      </c>
      <c r="AR982" t="s">
        <v>3640</v>
      </c>
      <c r="AS982" t="s">
        <v>1680</v>
      </c>
      <c r="AT982">
        <v>2025</v>
      </c>
      <c r="AU982">
        <v>7</v>
      </c>
      <c r="AV982" t="s">
        <v>78</v>
      </c>
      <c r="AX982" t="s">
        <v>3641</v>
      </c>
    </row>
    <row r="983" spans="1:50">
      <c r="A983">
        <v>2</v>
      </c>
      <c r="B983">
        <v>33</v>
      </c>
      <c r="C983" t="s">
        <v>74</v>
      </c>
      <c r="D983" t="s">
        <v>1222</v>
      </c>
      <c r="E983" t="s">
        <v>1223</v>
      </c>
      <c r="F983">
        <v>4153</v>
      </c>
      <c r="G983" s="23">
        <v>45841</v>
      </c>
      <c r="H983" s="2">
        <v>45664.748379629629</v>
      </c>
      <c r="I983" s="2">
        <v>45845.694386574076</v>
      </c>
      <c r="K983" s="149">
        <v>0</v>
      </c>
      <c r="L983" s="149">
        <v>9923000</v>
      </c>
      <c r="M983" s="149">
        <v>1885370</v>
      </c>
      <c r="N983" s="149">
        <v>11808370</v>
      </c>
      <c r="O983">
        <v>0</v>
      </c>
      <c r="P983">
        <v>0</v>
      </c>
      <c r="Q983">
        <v>0</v>
      </c>
      <c r="R983">
        <v>0</v>
      </c>
      <c r="S983">
        <v>0</v>
      </c>
      <c r="T983" t="s">
        <v>77</v>
      </c>
      <c r="U983">
        <v>0</v>
      </c>
      <c r="V983">
        <v>0</v>
      </c>
      <c r="W983">
        <v>0</v>
      </c>
      <c r="X983">
        <v>0</v>
      </c>
      <c r="AC983">
        <v>0</v>
      </c>
      <c r="AE983">
        <v>0</v>
      </c>
      <c r="AF983">
        <v>2</v>
      </c>
      <c r="AG983">
        <v>0</v>
      </c>
      <c r="AH983">
        <v>0</v>
      </c>
      <c r="AI983">
        <v>0</v>
      </c>
      <c r="AM983">
        <v>0</v>
      </c>
      <c r="AR983" t="s">
        <v>3640</v>
      </c>
      <c r="AS983" t="s">
        <v>1680</v>
      </c>
      <c r="AT983">
        <v>2025</v>
      </c>
      <c r="AU983">
        <v>7</v>
      </c>
      <c r="AV983" t="s">
        <v>78</v>
      </c>
      <c r="AX983" t="s">
        <v>3642</v>
      </c>
    </row>
    <row r="984" spans="1:50">
      <c r="A984">
        <v>3</v>
      </c>
      <c r="B984">
        <v>33</v>
      </c>
      <c r="C984" t="s">
        <v>74</v>
      </c>
      <c r="D984" t="s">
        <v>1988</v>
      </c>
      <c r="E984" t="s">
        <v>1989</v>
      </c>
      <c r="F984">
        <v>4154</v>
      </c>
      <c r="G984" s="23">
        <v>45841</v>
      </c>
      <c r="H984" s="2">
        <v>45695.766770833332</v>
      </c>
      <c r="I984" s="2">
        <v>45876.726736111108</v>
      </c>
      <c r="K984" s="149">
        <v>0</v>
      </c>
      <c r="L984" s="149">
        <v>2094500</v>
      </c>
      <c r="M984" s="149">
        <v>397955</v>
      </c>
      <c r="N984" s="149">
        <v>2492455</v>
      </c>
      <c r="O984">
        <v>0</v>
      </c>
      <c r="P984">
        <v>0</v>
      </c>
      <c r="Q984">
        <v>0</v>
      </c>
      <c r="R984">
        <v>0</v>
      </c>
      <c r="S984">
        <v>0</v>
      </c>
      <c r="T984" t="s">
        <v>77</v>
      </c>
      <c r="U984">
        <v>0</v>
      </c>
      <c r="V984">
        <v>0</v>
      </c>
      <c r="W984">
        <v>0</v>
      </c>
      <c r="X984">
        <v>0</v>
      </c>
      <c r="AC984">
        <v>0</v>
      </c>
      <c r="AE984">
        <v>0</v>
      </c>
      <c r="AF984">
        <v>2</v>
      </c>
      <c r="AG984">
        <v>0</v>
      </c>
      <c r="AH984">
        <v>0</v>
      </c>
      <c r="AI984">
        <v>0</v>
      </c>
      <c r="AM984">
        <v>0</v>
      </c>
      <c r="AR984" t="s">
        <v>3640</v>
      </c>
      <c r="AS984" t="s">
        <v>1680</v>
      </c>
      <c r="AT984">
        <v>2025</v>
      </c>
      <c r="AU984">
        <v>7</v>
      </c>
      <c r="AV984" t="s">
        <v>78</v>
      </c>
      <c r="AX984" t="s">
        <v>3643</v>
      </c>
    </row>
    <row r="985" spans="1:50">
      <c r="A985">
        <v>4</v>
      </c>
      <c r="B985">
        <v>33</v>
      </c>
      <c r="C985" t="s">
        <v>74</v>
      </c>
      <c r="D985" t="s">
        <v>1353</v>
      </c>
      <c r="E985" t="s">
        <v>1354</v>
      </c>
      <c r="F985">
        <v>4155</v>
      </c>
      <c r="G985" s="23">
        <v>45841</v>
      </c>
      <c r="H985" s="2">
        <v>45723.287280092591</v>
      </c>
      <c r="I985" s="2">
        <v>45723.587557870371</v>
      </c>
      <c r="K985" s="149">
        <v>0</v>
      </c>
      <c r="L985" s="149">
        <v>2972114</v>
      </c>
      <c r="M985" s="149">
        <v>564703</v>
      </c>
      <c r="N985" s="149">
        <v>3536817</v>
      </c>
      <c r="O985">
        <v>0</v>
      </c>
      <c r="P985">
        <v>0</v>
      </c>
      <c r="Q985">
        <v>0</v>
      </c>
      <c r="R985">
        <v>0</v>
      </c>
      <c r="S985">
        <v>0</v>
      </c>
      <c r="T985" t="s">
        <v>77</v>
      </c>
      <c r="U985">
        <v>0</v>
      </c>
      <c r="V985">
        <v>0</v>
      </c>
      <c r="W985">
        <v>0</v>
      </c>
      <c r="X985">
        <v>0</v>
      </c>
      <c r="Y985">
        <v>0</v>
      </c>
      <c r="AC985">
        <v>0</v>
      </c>
      <c r="AE985">
        <v>0</v>
      </c>
      <c r="AF985">
        <v>2</v>
      </c>
      <c r="AG985">
        <v>0</v>
      </c>
      <c r="AH985">
        <v>0</v>
      </c>
      <c r="AI985">
        <v>0</v>
      </c>
      <c r="AM985">
        <v>0</v>
      </c>
      <c r="AR985" t="s">
        <v>3640</v>
      </c>
      <c r="AS985" t="s">
        <v>1680</v>
      </c>
      <c r="AT985">
        <v>2025</v>
      </c>
      <c r="AU985">
        <v>7</v>
      </c>
      <c r="AV985" t="s">
        <v>78</v>
      </c>
      <c r="AX985" t="s">
        <v>3644</v>
      </c>
    </row>
    <row r="986" spans="1:50">
      <c r="A986">
        <v>5</v>
      </c>
      <c r="B986">
        <v>33</v>
      </c>
      <c r="C986" t="s">
        <v>74</v>
      </c>
      <c r="D986" t="s">
        <v>2509</v>
      </c>
      <c r="E986" t="s">
        <v>2510</v>
      </c>
      <c r="F986">
        <v>4156</v>
      </c>
      <c r="G986" s="23">
        <v>45841</v>
      </c>
      <c r="H986" s="2">
        <v>45723.291273148148</v>
      </c>
      <c r="K986" s="149">
        <v>0</v>
      </c>
      <c r="L986" s="149">
        <v>266640</v>
      </c>
      <c r="M986" s="149">
        <v>50662</v>
      </c>
      <c r="N986" s="149">
        <v>317302</v>
      </c>
      <c r="O986">
        <v>0</v>
      </c>
      <c r="P986">
        <v>0</v>
      </c>
      <c r="Q986">
        <v>0</v>
      </c>
      <c r="R986">
        <v>0</v>
      </c>
      <c r="S986">
        <v>0</v>
      </c>
      <c r="T986" t="s">
        <v>77</v>
      </c>
      <c r="U986">
        <v>0</v>
      </c>
      <c r="V986">
        <v>0</v>
      </c>
      <c r="W986">
        <v>0</v>
      </c>
      <c r="X986">
        <v>0</v>
      </c>
      <c r="Y986">
        <v>0</v>
      </c>
      <c r="AC986">
        <v>0</v>
      </c>
      <c r="AE986">
        <v>0</v>
      </c>
      <c r="AF986">
        <v>2</v>
      </c>
      <c r="AG986">
        <v>0</v>
      </c>
      <c r="AH986">
        <v>0</v>
      </c>
      <c r="AI986">
        <v>0</v>
      </c>
      <c r="AM986">
        <v>0</v>
      </c>
      <c r="AR986" t="s">
        <v>3640</v>
      </c>
      <c r="AS986" t="s">
        <v>1680</v>
      </c>
      <c r="AT986">
        <v>2025</v>
      </c>
      <c r="AU986">
        <v>7</v>
      </c>
      <c r="AV986" t="s">
        <v>78</v>
      </c>
      <c r="AX986" t="s">
        <v>3645</v>
      </c>
    </row>
    <row r="987" spans="1:50">
      <c r="A987">
        <v>6</v>
      </c>
      <c r="B987">
        <v>33</v>
      </c>
      <c r="C987" t="s">
        <v>74</v>
      </c>
      <c r="D987" t="s">
        <v>1564</v>
      </c>
      <c r="E987" t="s">
        <v>1565</v>
      </c>
      <c r="F987">
        <v>4157</v>
      </c>
      <c r="G987" s="23">
        <v>45841</v>
      </c>
      <c r="H987" s="2">
        <v>45723.307222222225</v>
      </c>
      <c r="I987" s="2"/>
      <c r="K987" s="149">
        <v>0</v>
      </c>
      <c r="L987" s="149">
        <v>249420</v>
      </c>
      <c r="M987" s="149">
        <v>47391</v>
      </c>
      <c r="N987" s="149">
        <v>296811</v>
      </c>
      <c r="O987">
        <v>0</v>
      </c>
      <c r="P987">
        <v>0</v>
      </c>
      <c r="Q987">
        <v>0</v>
      </c>
      <c r="R987">
        <v>0</v>
      </c>
      <c r="S987">
        <v>0</v>
      </c>
      <c r="T987" t="s">
        <v>77</v>
      </c>
      <c r="U987">
        <v>0</v>
      </c>
      <c r="V987">
        <v>0</v>
      </c>
      <c r="W987">
        <v>0</v>
      </c>
      <c r="X987">
        <v>0</v>
      </c>
      <c r="Y987">
        <v>0</v>
      </c>
      <c r="AC987">
        <v>0</v>
      </c>
      <c r="AE987">
        <v>0</v>
      </c>
      <c r="AF987">
        <v>2</v>
      </c>
      <c r="AG987">
        <v>0</v>
      </c>
      <c r="AH987">
        <v>0</v>
      </c>
      <c r="AI987">
        <v>0</v>
      </c>
      <c r="AM987">
        <v>0</v>
      </c>
      <c r="AR987" t="s">
        <v>3640</v>
      </c>
      <c r="AS987" t="s">
        <v>1680</v>
      </c>
      <c r="AT987">
        <v>2025</v>
      </c>
      <c r="AU987">
        <v>7</v>
      </c>
      <c r="AV987" t="s">
        <v>78</v>
      </c>
      <c r="AX987" t="s">
        <v>3646</v>
      </c>
    </row>
    <row r="988" spans="1:50">
      <c r="A988">
        <v>7</v>
      </c>
      <c r="B988">
        <v>33</v>
      </c>
      <c r="C988" t="s">
        <v>74</v>
      </c>
      <c r="D988" t="s">
        <v>1988</v>
      </c>
      <c r="E988" t="s">
        <v>1989</v>
      </c>
      <c r="F988">
        <v>4158</v>
      </c>
      <c r="G988" s="23">
        <v>45841</v>
      </c>
      <c r="H988" s="2">
        <v>45723.499189814815</v>
      </c>
      <c r="I988" s="2">
        <v>45754.531747685185</v>
      </c>
      <c r="K988" s="149">
        <v>0</v>
      </c>
      <c r="L988" s="149">
        <v>418900</v>
      </c>
      <c r="M988" s="149">
        <v>79591</v>
      </c>
      <c r="N988" s="149">
        <v>498491</v>
      </c>
      <c r="O988">
        <v>0</v>
      </c>
      <c r="P988">
        <v>0</v>
      </c>
      <c r="Q988">
        <v>0</v>
      </c>
      <c r="R988">
        <v>0</v>
      </c>
      <c r="S988">
        <v>0</v>
      </c>
      <c r="T988" t="s">
        <v>77</v>
      </c>
      <c r="U988">
        <v>0</v>
      </c>
      <c r="V988">
        <v>0</v>
      </c>
      <c r="W988">
        <v>0</v>
      </c>
      <c r="X988">
        <v>0</v>
      </c>
      <c r="AC988">
        <v>0</v>
      </c>
      <c r="AE988">
        <v>0</v>
      </c>
      <c r="AF988">
        <v>2</v>
      </c>
      <c r="AG988">
        <v>0</v>
      </c>
      <c r="AH988">
        <v>0</v>
      </c>
      <c r="AI988">
        <v>0</v>
      </c>
      <c r="AM988">
        <v>0</v>
      </c>
      <c r="AR988" t="s">
        <v>3640</v>
      </c>
      <c r="AS988" t="s">
        <v>1680</v>
      </c>
      <c r="AT988">
        <v>2025</v>
      </c>
      <c r="AU988">
        <v>7</v>
      </c>
      <c r="AV988" t="s">
        <v>78</v>
      </c>
      <c r="AX988" t="s">
        <v>3647</v>
      </c>
    </row>
    <row r="989" spans="1:50">
      <c r="A989">
        <v>8</v>
      </c>
      <c r="B989">
        <v>33</v>
      </c>
      <c r="C989" t="s">
        <v>74</v>
      </c>
      <c r="D989" t="s">
        <v>1222</v>
      </c>
      <c r="E989" t="s">
        <v>1223</v>
      </c>
      <c r="F989">
        <v>4159</v>
      </c>
      <c r="G989" s="23">
        <v>45845</v>
      </c>
      <c r="H989" s="2">
        <v>45754.42695601852</v>
      </c>
      <c r="I989" s="2">
        <v>45907.478171296294</v>
      </c>
      <c r="J989" s="2"/>
      <c r="K989" s="149">
        <v>0</v>
      </c>
      <c r="L989" s="149">
        <v>5699110</v>
      </c>
      <c r="M989" s="149">
        <v>1082831</v>
      </c>
      <c r="N989" s="149">
        <v>6781941</v>
      </c>
      <c r="O989">
        <v>0</v>
      </c>
      <c r="P989">
        <v>0</v>
      </c>
      <c r="Q989">
        <v>0</v>
      </c>
      <c r="R989">
        <v>0</v>
      </c>
      <c r="S989">
        <v>0</v>
      </c>
      <c r="T989" t="s">
        <v>77</v>
      </c>
      <c r="U989">
        <v>0</v>
      </c>
      <c r="V989">
        <v>0</v>
      </c>
      <c r="W989">
        <v>0</v>
      </c>
      <c r="X989">
        <v>0</v>
      </c>
      <c r="AC989">
        <v>0</v>
      </c>
      <c r="AE989">
        <v>0</v>
      </c>
      <c r="AF989">
        <v>2</v>
      </c>
      <c r="AG989">
        <v>0</v>
      </c>
      <c r="AH989">
        <v>0</v>
      </c>
      <c r="AI989">
        <v>0</v>
      </c>
      <c r="AM989">
        <v>0</v>
      </c>
      <c r="AR989" t="s">
        <v>3640</v>
      </c>
      <c r="AS989" t="s">
        <v>1680</v>
      </c>
      <c r="AT989">
        <v>2025</v>
      </c>
      <c r="AU989">
        <v>7</v>
      </c>
      <c r="AV989" t="s">
        <v>78</v>
      </c>
      <c r="AX989" t="s">
        <v>3648</v>
      </c>
    </row>
    <row r="990" spans="1:50">
      <c r="A990">
        <v>9</v>
      </c>
      <c r="B990">
        <v>33</v>
      </c>
      <c r="C990" t="s">
        <v>74</v>
      </c>
      <c r="D990" t="s">
        <v>1222</v>
      </c>
      <c r="E990" t="s">
        <v>1223</v>
      </c>
      <c r="F990">
        <v>4160</v>
      </c>
      <c r="G990" s="23">
        <v>45845</v>
      </c>
      <c r="H990" s="2">
        <v>45754.429745370369</v>
      </c>
      <c r="I990" s="2">
        <v>45907.478171296294</v>
      </c>
      <c r="K990" s="149">
        <v>0</v>
      </c>
      <c r="L990" s="149">
        <v>12865940</v>
      </c>
      <c r="M990" s="149">
        <v>2444528</v>
      </c>
      <c r="N990" s="149">
        <v>15310468</v>
      </c>
      <c r="O990">
        <v>0</v>
      </c>
      <c r="P990">
        <v>0</v>
      </c>
      <c r="Q990">
        <v>0</v>
      </c>
      <c r="R990">
        <v>0</v>
      </c>
      <c r="S990">
        <v>0</v>
      </c>
      <c r="T990" t="s">
        <v>77</v>
      </c>
      <c r="U990">
        <v>0</v>
      </c>
      <c r="V990">
        <v>0</v>
      </c>
      <c r="W990">
        <v>0</v>
      </c>
      <c r="X990">
        <v>0</v>
      </c>
      <c r="AC990">
        <v>0</v>
      </c>
      <c r="AE990">
        <v>0</v>
      </c>
      <c r="AF990">
        <v>2</v>
      </c>
      <c r="AG990">
        <v>0</v>
      </c>
      <c r="AH990">
        <v>0</v>
      </c>
      <c r="AI990">
        <v>0</v>
      </c>
      <c r="AM990">
        <v>0</v>
      </c>
      <c r="AR990" t="s">
        <v>3640</v>
      </c>
      <c r="AS990" t="s">
        <v>1680</v>
      </c>
      <c r="AT990">
        <v>2025</v>
      </c>
      <c r="AU990">
        <v>7</v>
      </c>
      <c r="AV990" t="s">
        <v>78</v>
      </c>
      <c r="AX990" t="s">
        <v>3649</v>
      </c>
    </row>
    <row r="991" spans="1:50">
      <c r="A991">
        <v>10</v>
      </c>
      <c r="B991">
        <v>33</v>
      </c>
      <c r="C991" t="s">
        <v>74</v>
      </c>
      <c r="D991" t="s">
        <v>1988</v>
      </c>
      <c r="E991" t="s">
        <v>1989</v>
      </c>
      <c r="F991">
        <v>4161</v>
      </c>
      <c r="G991" s="23">
        <v>45845</v>
      </c>
      <c r="H991" s="2">
        <v>45754.446006944447</v>
      </c>
      <c r="I991" s="2">
        <v>45937.73678240741</v>
      </c>
      <c r="K991" s="149">
        <v>0</v>
      </c>
      <c r="L991" s="149">
        <v>1466150</v>
      </c>
      <c r="M991" s="149">
        <v>278569</v>
      </c>
      <c r="N991" s="149">
        <v>1744719</v>
      </c>
      <c r="O991">
        <v>0</v>
      </c>
      <c r="P991">
        <v>0</v>
      </c>
      <c r="Q991">
        <v>0</v>
      </c>
      <c r="R991">
        <v>0</v>
      </c>
      <c r="S991">
        <v>0</v>
      </c>
      <c r="T991" t="s">
        <v>77</v>
      </c>
      <c r="U991">
        <v>0</v>
      </c>
      <c r="V991">
        <v>0</v>
      </c>
      <c r="W991">
        <v>0</v>
      </c>
      <c r="X991">
        <v>0</v>
      </c>
      <c r="AC991">
        <v>0</v>
      </c>
      <c r="AE991">
        <v>0</v>
      </c>
      <c r="AF991">
        <v>2</v>
      </c>
      <c r="AG991">
        <v>0</v>
      </c>
      <c r="AH991">
        <v>0</v>
      </c>
      <c r="AI991">
        <v>0</v>
      </c>
      <c r="AM991">
        <v>0</v>
      </c>
      <c r="AR991" t="s">
        <v>3640</v>
      </c>
      <c r="AS991" t="s">
        <v>1680</v>
      </c>
      <c r="AT991">
        <v>2025</v>
      </c>
      <c r="AU991">
        <v>7</v>
      </c>
      <c r="AV991" t="s">
        <v>78</v>
      </c>
      <c r="AX991" t="s">
        <v>3650</v>
      </c>
    </row>
    <row r="992" spans="1:50">
      <c r="A992">
        <v>11</v>
      </c>
      <c r="B992">
        <v>33</v>
      </c>
      <c r="C992" t="s">
        <v>74</v>
      </c>
      <c r="D992" t="s">
        <v>2329</v>
      </c>
      <c r="E992" t="s">
        <v>2330</v>
      </c>
      <c r="F992">
        <v>4162</v>
      </c>
      <c r="G992" s="23">
        <v>45846</v>
      </c>
      <c r="H992" s="2">
        <v>45754.528900462959</v>
      </c>
      <c r="I992" s="2"/>
      <c r="K992" s="149">
        <v>0</v>
      </c>
      <c r="L992" s="149">
        <v>280000</v>
      </c>
      <c r="M992" s="149">
        <v>53200</v>
      </c>
      <c r="N992" s="149">
        <v>333200</v>
      </c>
      <c r="O992">
        <v>0</v>
      </c>
      <c r="P992">
        <v>0</v>
      </c>
      <c r="Q992">
        <v>0</v>
      </c>
      <c r="R992">
        <v>0</v>
      </c>
      <c r="S992">
        <v>0</v>
      </c>
      <c r="T992" t="s">
        <v>77</v>
      </c>
      <c r="U992">
        <v>0</v>
      </c>
      <c r="V992">
        <v>0</v>
      </c>
      <c r="W992">
        <v>0</v>
      </c>
      <c r="X992">
        <v>0</v>
      </c>
      <c r="Y992">
        <v>0</v>
      </c>
      <c r="AC992">
        <v>0</v>
      </c>
      <c r="AE992">
        <v>0</v>
      </c>
      <c r="AF992">
        <v>2</v>
      </c>
      <c r="AG992">
        <v>0</v>
      </c>
      <c r="AH992">
        <v>0</v>
      </c>
      <c r="AI992">
        <v>0</v>
      </c>
      <c r="AM992">
        <v>0</v>
      </c>
      <c r="AR992" t="s">
        <v>3640</v>
      </c>
      <c r="AS992" t="s">
        <v>1680</v>
      </c>
      <c r="AT992">
        <v>2025</v>
      </c>
      <c r="AU992">
        <v>7</v>
      </c>
      <c r="AV992" t="s">
        <v>78</v>
      </c>
      <c r="AX992" t="s">
        <v>3651</v>
      </c>
    </row>
    <row r="993" spans="1:50">
      <c r="A993">
        <v>12</v>
      </c>
      <c r="B993">
        <v>33</v>
      </c>
      <c r="C993" t="s">
        <v>74</v>
      </c>
      <c r="D993" t="s">
        <v>1353</v>
      </c>
      <c r="E993" t="s">
        <v>1354</v>
      </c>
      <c r="F993">
        <v>4163</v>
      </c>
      <c r="G993" s="23">
        <v>45845</v>
      </c>
      <c r="H993" s="2">
        <v>45754.5778587963</v>
      </c>
      <c r="I993" s="2">
        <v>45845.546226851853</v>
      </c>
      <c r="K993" s="149">
        <v>0</v>
      </c>
      <c r="L993" s="149">
        <v>3465780</v>
      </c>
      <c r="M993" s="149">
        <v>658499</v>
      </c>
      <c r="N993" s="149">
        <v>4124279</v>
      </c>
      <c r="O993">
        <v>0</v>
      </c>
      <c r="P993">
        <v>0</v>
      </c>
      <c r="Q993">
        <v>0</v>
      </c>
      <c r="R993">
        <v>0</v>
      </c>
      <c r="S993">
        <v>0</v>
      </c>
      <c r="T993" t="s">
        <v>77</v>
      </c>
      <c r="U993">
        <v>0</v>
      </c>
      <c r="V993">
        <v>0</v>
      </c>
      <c r="W993">
        <v>0</v>
      </c>
      <c r="X993">
        <v>0</v>
      </c>
      <c r="Y993">
        <v>0</v>
      </c>
      <c r="AC993">
        <v>0</v>
      </c>
      <c r="AE993">
        <v>0</v>
      </c>
      <c r="AF993">
        <v>2</v>
      </c>
      <c r="AG993">
        <v>0</v>
      </c>
      <c r="AH993">
        <v>0</v>
      </c>
      <c r="AI993">
        <v>0</v>
      </c>
      <c r="AM993">
        <v>0</v>
      </c>
      <c r="AR993" t="s">
        <v>3640</v>
      </c>
      <c r="AS993" t="s">
        <v>1680</v>
      </c>
      <c r="AT993">
        <v>2025</v>
      </c>
      <c r="AU993">
        <v>7</v>
      </c>
      <c r="AV993" t="s">
        <v>78</v>
      </c>
      <c r="AX993" t="s">
        <v>3652</v>
      </c>
    </row>
    <row r="994" spans="1:50">
      <c r="A994">
        <v>13</v>
      </c>
      <c r="B994">
        <v>33</v>
      </c>
      <c r="C994" t="s">
        <v>74</v>
      </c>
      <c r="D994" t="s">
        <v>1631</v>
      </c>
      <c r="E994" t="s">
        <v>1632</v>
      </c>
      <c r="F994">
        <v>4164</v>
      </c>
      <c r="G994" s="23">
        <v>45846</v>
      </c>
      <c r="H994" s="2">
        <v>45845.447222222225</v>
      </c>
      <c r="K994" s="149">
        <v>0</v>
      </c>
      <c r="L994" s="149">
        <v>261360</v>
      </c>
      <c r="M994" s="149">
        <v>49658</v>
      </c>
      <c r="N994" s="149">
        <v>311018</v>
      </c>
      <c r="O994">
        <v>0</v>
      </c>
      <c r="P994">
        <v>0</v>
      </c>
      <c r="Q994">
        <v>0</v>
      </c>
      <c r="R994">
        <v>0</v>
      </c>
      <c r="S994">
        <v>0</v>
      </c>
      <c r="T994" t="s">
        <v>77</v>
      </c>
      <c r="U994">
        <v>0</v>
      </c>
      <c r="V994">
        <v>0</v>
      </c>
      <c r="W994">
        <v>0</v>
      </c>
      <c r="X994">
        <v>0</v>
      </c>
      <c r="Y994">
        <v>0</v>
      </c>
      <c r="AC994">
        <v>0</v>
      </c>
      <c r="AE994">
        <v>0</v>
      </c>
      <c r="AF994">
        <v>2</v>
      </c>
      <c r="AG994">
        <v>0</v>
      </c>
      <c r="AH994">
        <v>0</v>
      </c>
      <c r="AI994">
        <v>0</v>
      </c>
      <c r="AM994">
        <v>0</v>
      </c>
      <c r="AR994" t="s">
        <v>3640</v>
      </c>
      <c r="AS994" t="s">
        <v>1680</v>
      </c>
      <c r="AT994">
        <v>2025</v>
      </c>
      <c r="AU994">
        <v>7</v>
      </c>
      <c r="AV994" t="s">
        <v>78</v>
      </c>
      <c r="AX994" t="s">
        <v>3653</v>
      </c>
    </row>
    <row r="995" spans="1:50">
      <c r="A995">
        <v>14</v>
      </c>
      <c r="B995">
        <v>33</v>
      </c>
      <c r="C995" t="s">
        <v>74</v>
      </c>
      <c r="D995" t="s">
        <v>1222</v>
      </c>
      <c r="E995" t="s">
        <v>1223</v>
      </c>
      <c r="F995">
        <v>4165</v>
      </c>
      <c r="G995" s="23">
        <v>45845</v>
      </c>
      <c r="H995" s="2">
        <v>45845.770740740743</v>
      </c>
      <c r="I995" s="2">
        <v>45968.604212962964</v>
      </c>
      <c r="K995" s="149">
        <v>0</v>
      </c>
      <c r="L995" s="149">
        <v>15783000</v>
      </c>
      <c r="M995" s="149">
        <v>2998770</v>
      </c>
      <c r="N995" s="149">
        <v>18781770</v>
      </c>
      <c r="O995">
        <v>0</v>
      </c>
      <c r="P995">
        <v>0</v>
      </c>
      <c r="Q995">
        <v>0</v>
      </c>
      <c r="R995">
        <v>0</v>
      </c>
      <c r="S995">
        <v>0</v>
      </c>
      <c r="T995" t="s">
        <v>77</v>
      </c>
      <c r="U995">
        <v>0</v>
      </c>
      <c r="V995">
        <v>0</v>
      </c>
      <c r="W995">
        <v>0</v>
      </c>
      <c r="X995">
        <v>0</v>
      </c>
      <c r="AC995">
        <v>0</v>
      </c>
      <c r="AE995">
        <v>0</v>
      </c>
      <c r="AF995">
        <v>2</v>
      </c>
      <c r="AG995">
        <v>0</v>
      </c>
      <c r="AH995">
        <v>0</v>
      </c>
      <c r="AI995">
        <v>0</v>
      </c>
      <c r="AM995">
        <v>0</v>
      </c>
      <c r="AR995" t="s">
        <v>3640</v>
      </c>
      <c r="AS995" t="s">
        <v>1680</v>
      </c>
      <c r="AT995">
        <v>2025</v>
      </c>
      <c r="AU995">
        <v>7</v>
      </c>
      <c r="AV995" t="s">
        <v>78</v>
      </c>
      <c r="AX995" t="s">
        <v>3654</v>
      </c>
    </row>
    <row r="996" spans="1:50">
      <c r="A996">
        <v>15</v>
      </c>
      <c r="B996">
        <v>33</v>
      </c>
      <c r="C996" t="s">
        <v>74</v>
      </c>
      <c r="D996" t="s">
        <v>2825</v>
      </c>
      <c r="E996" t="s">
        <v>2826</v>
      </c>
      <c r="F996">
        <v>4166</v>
      </c>
      <c r="G996" s="23">
        <v>45848</v>
      </c>
      <c r="H996" s="2">
        <v>45876.772256944445</v>
      </c>
      <c r="K996" s="149">
        <v>0</v>
      </c>
      <c r="L996" s="149">
        <v>325640</v>
      </c>
      <c r="M996" s="149">
        <v>61872</v>
      </c>
      <c r="N996" s="149">
        <v>387512</v>
      </c>
      <c r="O996">
        <v>0</v>
      </c>
      <c r="P996">
        <v>0</v>
      </c>
      <c r="Q996">
        <v>0</v>
      </c>
      <c r="R996">
        <v>0</v>
      </c>
      <c r="S996">
        <v>0</v>
      </c>
      <c r="T996" t="s">
        <v>77</v>
      </c>
      <c r="U996">
        <v>0</v>
      </c>
      <c r="V996">
        <v>0</v>
      </c>
      <c r="W996">
        <v>0</v>
      </c>
      <c r="X996">
        <v>0</v>
      </c>
      <c r="Y996">
        <v>0</v>
      </c>
      <c r="AC996">
        <v>0</v>
      </c>
      <c r="AE996">
        <v>0</v>
      </c>
      <c r="AF996">
        <v>2</v>
      </c>
      <c r="AG996">
        <v>0</v>
      </c>
      <c r="AH996">
        <v>0</v>
      </c>
      <c r="AI996">
        <v>0</v>
      </c>
      <c r="AM996">
        <v>0</v>
      </c>
      <c r="AR996" t="s">
        <v>3640</v>
      </c>
      <c r="AS996" t="s">
        <v>1680</v>
      </c>
      <c r="AT996">
        <v>2025</v>
      </c>
      <c r="AU996">
        <v>7</v>
      </c>
      <c r="AV996" t="s">
        <v>78</v>
      </c>
      <c r="AX996" t="s">
        <v>3655</v>
      </c>
    </row>
    <row r="997" spans="1:50">
      <c r="A997">
        <v>16</v>
      </c>
      <c r="B997">
        <v>33</v>
      </c>
      <c r="C997" t="s">
        <v>74</v>
      </c>
      <c r="D997" t="s">
        <v>1222</v>
      </c>
      <c r="E997" t="s">
        <v>1223</v>
      </c>
      <c r="F997">
        <v>4167</v>
      </c>
      <c r="G997" s="23">
        <v>45848</v>
      </c>
      <c r="H997" s="2">
        <v>45876.777303240742</v>
      </c>
      <c r="I997" s="2">
        <v>45968.604212962964</v>
      </c>
      <c r="K997" s="149">
        <v>0</v>
      </c>
      <c r="L997" s="149">
        <v>2582760</v>
      </c>
      <c r="M997" s="149">
        <v>490724</v>
      </c>
      <c r="N997" s="149">
        <v>3073484</v>
      </c>
      <c r="O997">
        <v>0</v>
      </c>
      <c r="P997">
        <v>0</v>
      </c>
      <c r="Q997">
        <v>0</v>
      </c>
      <c r="R997">
        <v>0</v>
      </c>
      <c r="S997">
        <v>0</v>
      </c>
      <c r="T997" t="s">
        <v>77</v>
      </c>
      <c r="U997">
        <v>0</v>
      </c>
      <c r="V997">
        <v>0</v>
      </c>
      <c r="W997">
        <v>0</v>
      </c>
      <c r="X997">
        <v>0</v>
      </c>
      <c r="AC997">
        <v>0</v>
      </c>
      <c r="AE997">
        <v>0</v>
      </c>
      <c r="AF997">
        <v>2</v>
      </c>
      <c r="AG997">
        <v>0</v>
      </c>
      <c r="AH997">
        <v>0</v>
      </c>
      <c r="AI997">
        <v>0</v>
      </c>
      <c r="AM997">
        <v>0</v>
      </c>
      <c r="AR997" t="s">
        <v>3640</v>
      </c>
      <c r="AS997" t="s">
        <v>1680</v>
      </c>
      <c r="AT997">
        <v>2025</v>
      </c>
      <c r="AU997">
        <v>7</v>
      </c>
      <c r="AV997" t="s">
        <v>78</v>
      </c>
      <c r="AX997" t="s">
        <v>3656</v>
      </c>
    </row>
    <row r="998" spans="1:50">
      <c r="A998">
        <v>17</v>
      </c>
      <c r="B998">
        <v>33</v>
      </c>
      <c r="C998" t="s">
        <v>74</v>
      </c>
      <c r="D998" t="s">
        <v>1222</v>
      </c>
      <c r="E998" t="s">
        <v>1223</v>
      </c>
      <c r="F998">
        <v>4168</v>
      </c>
      <c r="G998" s="23">
        <v>45848</v>
      </c>
      <c r="H998" s="2">
        <v>45876.787627314814</v>
      </c>
      <c r="I998" t="s">
        <v>3544</v>
      </c>
      <c r="K998" s="149">
        <v>0</v>
      </c>
      <c r="L998" s="149">
        <v>28433680</v>
      </c>
      <c r="M998" s="149">
        <v>5402398</v>
      </c>
      <c r="N998" s="149">
        <v>33836078</v>
      </c>
      <c r="O998">
        <v>0</v>
      </c>
      <c r="P998">
        <v>0</v>
      </c>
      <c r="Q998">
        <v>0</v>
      </c>
      <c r="R998">
        <v>0</v>
      </c>
      <c r="S998">
        <v>0</v>
      </c>
      <c r="T998" t="s">
        <v>77</v>
      </c>
      <c r="U998">
        <v>0</v>
      </c>
      <c r="V998">
        <v>0</v>
      </c>
      <c r="W998">
        <v>0</v>
      </c>
      <c r="X998">
        <v>0</v>
      </c>
      <c r="AC998">
        <v>0</v>
      </c>
      <c r="AE998">
        <v>0</v>
      </c>
      <c r="AF998">
        <v>2</v>
      </c>
      <c r="AG998">
        <v>0</v>
      </c>
      <c r="AH998">
        <v>0</v>
      </c>
      <c r="AI998">
        <v>0</v>
      </c>
      <c r="AM998">
        <v>0</v>
      </c>
      <c r="AR998" t="s">
        <v>3640</v>
      </c>
      <c r="AS998" t="s">
        <v>1680</v>
      </c>
      <c r="AT998">
        <v>2025</v>
      </c>
      <c r="AU998">
        <v>7</v>
      </c>
      <c r="AV998" t="s">
        <v>78</v>
      </c>
      <c r="AX998" t="s">
        <v>3657</v>
      </c>
    </row>
    <row r="999" spans="1:50">
      <c r="A999">
        <v>18</v>
      </c>
      <c r="B999">
        <v>33</v>
      </c>
      <c r="C999" t="s">
        <v>74</v>
      </c>
      <c r="D999" t="s">
        <v>3200</v>
      </c>
      <c r="E999" t="s">
        <v>3201</v>
      </c>
      <c r="F999">
        <v>4169</v>
      </c>
      <c r="G999" s="23">
        <v>45848</v>
      </c>
      <c r="H999" s="2">
        <v>45876.797118055554</v>
      </c>
      <c r="K999" s="149">
        <v>0</v>
      </c>
      <c r="L999" s="149">
        <v>497700</v>
      </c>
      <c r="M999" s="149">
        <v>94563</v>
      </c>
      <c r="N999" s="149">
        <v>592263</v>
      </c>
      <c r="O999">
        <v>0</v>
      </c>
      <c r="P999">
        <v>0</v>
      </c>
      <c r="Q999">
        <v>0</v>
      </c>
      <c r="R999">
        <v>0</v>
      </c>
      <c r="S999">
        <v>0</v>
      </c>
      <c r="T999" t="s">
        <v>77</v>
      </c>
      <c r="U999">
        <v>0</v>
      </c>
      <c r="V999">
        <v>0</v>
      </c>
      <c r="W999">
        <v>0</v>
      </c>
      <c r="X999">
        <v>0</v>
      </c>
      <c r="AC999">
        <v>0</v>
      </c>
      <c r="AE999">
        <v>0</v>
      </c>
      <c r="AF999">
        <v>2</v>
      </c>
      <c r="AG999">
        <v>0</v>
      </c>
      <c r="AH999">
        <v>0</v>
      </c>
      <c r="AI999">
        <v>0</v>
      </c>
      <c r="AM999">
        <v>0</v>
      </c>
      <c r="AR999" t="s">
        <v>3640</v>
      </c>
      <c r="AS999" t="s">
        <v>1680</v>
      </c>
      <c r="AT999">
        <v>2025</v>
      </c>
      <c r="AU999">
        <v>7</v>
      </c>
      <c r="AV999" t="s">
        <v>78</v>
      </c>
      <c r="AX999" t="s">
        <v>3658</v>
      </c>
    </row>
    <row r="1000" spans="1:50">
      <c r="A1000">
        <v>19</v>
      </c>
      <c r="B1000">
        <v>33</v>
      </c>
      <c r="C1000" t="s">
        <v>74</v>
      </c>
      <c r="D1000" t="s">
        <v>3200</v>
      </c>
      <c r="E1000" t="s">
        <v>3201</v>
      </c>
      <c r="F1000">
        <v>4170</v>
      </c>
      <c r="G1000" s="23">
        <v>45848</v>
      </c>
      <c r="H1000" s="2">
        <v>45876.808368055557</v>
      </c>
      <c r="K1000" s="149">
        <v>0</v>
      </c>
      <c r="L1000" s="149">
        <v>520920</v>
      </c>
      <c r="M1000" s="149">
        <v>98975</v>
      </c>
      <c r="N1000" s="149">
        <v>619895</v>
      </c>
      <c r="O1000">
        <v>0</v>
      </c>
      <c r="P1000">
        <v>0</v>
      </c>
      <c r="Q1000">
        <v>0</v>
      </c>
      <c r="R1000">
        <v>0</v>
      </c>
      <c r="S1000">
        <v>0</v>
      </c>
      <c r="T1000" t="s">
        <v>77</v>
      </c>
      <c r="U1000">
        <v>0</v>
      </c>
      <c r="V1000">
        <v>0</v>
      </c>
      <c r="W1000">
        <v>0</v>
      </c>
      <c r="X1000">
        <v>0</v>
      </c>
      <c r="AC1000">
        <v>0</v>
      </c>
      <c r="AE1000">
        <v>0</v>
      </c>
      <c r="AF1000">
        <v>2</v>
      </c>
      <c r="AG1000">
        <v>0</v>
      </c>
      <c r="AH1000">
        <v>0</v>
      </c>
      <c r="AI1000">
        <v>0</v>
      </c>
      <c r="AM1000">
        <v>0</v>
      </c>
      <c r="AR1000" t="s">
        <v>3640</v>
      </c>
      <c r="AS1000" t="s">
        <v>1680</v>
      </c>
      <c r="AT1000">
        <v>2025</v>
      </c>
      <c r="AU1000">
        <v>7</v>
      </c>
      <c r="AV1000" t="s">
        <v>78</v>
      </c>
      <c r="AX1000" t="s">
        <v>3659</v>
      </c>
    </row>
    <row r="1001" spans="1:50">
      <c r="A1001">
        <v>20</v>
      </c>
      <c r="B1001">
        <v>33</v>
      </c>
      <c r="C1001" t="s">
        <v>74</v>
      </c>
      <c r="D1001" t="s">
        <v>1592</v>
      </c>
      <c r="E1001" t="s">
        <v>1593</v>
      </c>
      <c r="F1001">
        <v>4171</v>
      </c>
      <c r="G1001" s="23">
        <v>45848</v>
      </c>
      <c r="H1001" s="2">
        <v>45876.817280092589</v>
      </c>
      <c r="I1001" s="2"/>
      <c r="K1001" s="149">
        <v>0</v>
      </c>
      <c r="L1001" s="149">
        <v>206558</v>
      </c>
      <c r="M1001" s="149">
        <v>39246</v>
      </c>
      <c r="N1001" s="149">
        <v>245804</v>
      </c>
      <c r="O1001">
        <v>0</v>
      </c>
      <c r="P1001">
        <v>0</v>
      </c>
      <c r="Q1001">
        <v>0</v>
      </c>
      <c r="R1001">
        <v>0</v>
      </c>
      <c r="S1001">
        <v>0</v>
      </c>
      <c r="T1001" t="s">
        <v>77</v>
      </c>
      <c r="U1001">
        <v>0</v>
      </c>
      <c r="V1001">
        <v>0</v>
      </c>
      <c r="W1001">
        <v>0</v>
      </c>
      <c r="X1001">
        <v>0</v>
      </c>
      <c r="Y1001">
        <v>0</v>
      </c>
      <c r="AC1001">
        <v>0</v>
      </c>
      <c r="AE1001">
        <v>0</v>
      </c>
      <c r="AF1001">
        <v>2</v>
      </c>
      <c r="AG1001">
        <v>0</v>
      </c>
      <c r="AH1001">
        <v>0</v>
      </c>
      <c r="AI1001">
        <v>0</v>
      </c>
      <c r="AM1001">
        <v>0</v>
      </c>
      <c r="AR1001" t="s">
        <v>3640</v>
      </c>
      <c r="AS1001" t="s">
        <v>1680</v>
      </c>
      <c r="AT1001">
        <v>2025</v>
      </c>
      <c r="AU1001">
        <v>7</v>
      </c>
      <c r="AV1001" t="s">
        <v>78</v>
      </c>
      <c r="AX1001" t="s">
        <v>3660</v>
      </c>
    </row>
    <row r="1002" spans="1:50">
      <c r="A1002">
        <v>21</v>
      </c>
      <c r="B1002">
        <v>33</v>
      </c>
      <c r="C1002" t="s">
        <v>74</v>
      </c>
      <c r="D1002" t="s">
        <v>1600</v>
      </c>
      <c r="E1002" t="s">
        <v>1601</v>
      </c>
      <c r="F1002">
        <v>4172</v>
      </c>
      <c r="G1002" s="23">
        <v>45848</v>
      </c>
      <c r="H1002" s="2">
        <v>45907.776539351849</v>
      </c>
      <c r="I1002" s="2"/>
      <c r="K1002" s="149">
        <v>0</v>
      </c>
      <c r="L1002" s="149">
        <v>158804</v>
      </c>
      <c r="M1002" s="149">
        <v>30172</v>
      </c>
      <c r="N1002" s="149">
        <v>188976</v>
      </c>
      <c r="O1002">
        <v>0</v>
      </c>
      <c r="P1002">
        <v>0</v>
      </c>
      <c r="Q1002">
        <v>0</v>
      </c>
      <c r="R1002">
        <v>0</v>
      </c>
      <c r="S1002">
        <v>0</v>
      </c>
      <c r="T1002" t="s">
        <v>77</v>
      </c>
      <c r="U1002">
        <v>0</v>
      </c>
      <c r="V1002">
        <v>0</v>
      </c>
      <c r="W1002">
        <v>0</v>
      </c>
      <c r="X1002">
        <v>0</v>
      </c>
      <c r="Y1002">
        <v>0</v>
      </c>
      <c r="AC1002">
        <v>0</v>
      </c>
      <c r="AE1002">
        <v>0</v>
      </c>
      <c r="AF1002">
        <v>2</v>
      </c>
      <c r="AG1002">
        <v>0</v>
      </c>
      <c r="AH1002">
        <v>0</v>
      </c>
      <c r="AI1002">
        <v>0</v>
      </c>
      <c r="AM1002">
        <v>0</v>
      </c>
      <c r="AR1002" t="s">
        <v>3640</v>
      </c>
      <c r="AS1002" t="s">
        <v>1680</v>
      </c>
      <c r="AT1002">
        <v>2025</v>
      </c>
      <c r="AU1002">
        <v>7</v>
      </c>
      <c r="AV1002" t="s">
        <v>78</v>
      </c>
      <c r="AX1002" t="s">
        <v>3661</v>
      </c>
    </row>
    <row r="1003" spans="1:50">
      <c r="A1003">
        <v>22</v>
      </c>
      <c r="B1003">
        <v>33</v>
      </c>
      <c r="C1003" t="s">
        <v>74</v>
      </c>
      <c r="D1003" t="s">
        <v>1600</v>
      </c>
      <c r="E1003" t="s">
        <v>1601</v>
      </c>
      <c r="F1003">
        <v>4173</v>
      </c>
      <c r="G1003" s="23">
        <v>45848</v>
      </c>
      <c r="H1003" s="2">
        <v>45907.779699074075</v>
      </c>
      <c r="I1003" s="2"/>
      <c r="K1003" s="149">
        <v>0</v>
      </c>
      <c r="L1003" s="149">
        <v>63660</v>
      </c>
      <c r="M1003" s="149">
        <v>12095</v>
      </c>
      <c r="N1003" s="149">
        <v>75755</v>
      </c>
      <c r="O1003">
        <v>0</v>
      </c>
      <c r="P1003">
        <v>0</v>
      </c>
      <c r="Q1003">
        <v>0</v>
      </c>
      <c r="R1003">
        <v>0</v>
      </c>
      <c r="S1003">
        <v>0</v>
      </c>
      <c r="T1003" t="s">
        <v>77</v>
      </c>
      <c r="U1003">
        <v>0</v>
      </c>
      <c r="V1003">
        <v>0</v>
      </c>
      <c r="W1003">
        <v>0</v>
      </c>
      <c r="X1003">
        <v>0</v>
      </c>
      <c r="Y1003">
        <v>0</v>
      </c>
      <c r="AC1003">
        <v>0</v>
      </c>
      <c r="AE1003">
        <v>0</v>
      </c>
      <c r="AF1003">
        <v>2</v>
      </c>
      <c r="AG1003">
        <v>0</v>
      </c>
      <c r="AH1003">
        <v>0</v>
      </c>
      <c r="AI1003">
        <v>0</v>
      </c>
      <c r="AM1003">
        <v>0</v>
      </c>
      <c r="AR1003" t="s">
        <v>3640</v>
      </c>
      <c r="AS1003" t="s">
        <v>1680</v>
      </c>
      <c r="AT1003">
        <v>2025</v>
      </c>
      <c r="AU1003">
        <v>7</v>
      </c>
      <c r="AV1003" t="s">
        <v>78</v>
      </c>
      <c r="AX1003" t="s">
        <v>3662</v>
      </c>
    </row>
    <row r="1004" spans="1:50">
      <c r="A1004">
        <v>23</v>
      </c>
      <c r="B1004">
        <v>33</v>
      </c>
      <c r="C1004" t="s">
        <v>74</v>
      </c>
      <c r="D1004" t="s">
        <v>1680</v>
      </c>
      <c r="E1004" t="s">
        <v>3139</v>
      </c>
      <c r="F1004">
        <v>4174</v>
      </c>
      <c r="G1004" s="23">
        <v>45848</v>
      </c>
      <c r="H1004" s="2">
        <v>45907.986585648148</v>
      </c>
      <c r="I1004" s="2"/>
      <c r="K1004" s="149">
        <v>0</v>
      </c>
      <c r="L1004" s="149">
        <v>77760</v>
      </c>
      <c r="M1004" s="149">
        <v>14774</v>
      </c>
      <c r="N1004" s="149">
        <v>92534</v>
      </c>
      <c r="O1004">
        <v>0</v>
      </c>
      <c r="P1004">
        <v>0</v>
      </c>
      <c r="Q1004">
        <v>0</v>
      </c>
      <c r="R1004">
        <v>0</v>
      </c>
      <c r="S1004">
        <v>0</v>
      </c>
      <c r="T1004" t="s">
        <v>77</v>
      </c>
      <c r="U1004">
        <v>0</v>
      </c>
      <c r="V1004">
        <v>0</v>
      </c>
      <c r="W1004">
        <v>0</v>
      </c>
      <c r="X1004">
        <v>0</v>
      </c>
      <c r="Y1004">
        <v>0</v>
      </c>
      <c r="AC1004">
        <v>0</v>
      </c>
      <c r="AE1004">
        <v>0</v>
      </c>
      <c r="AF1004">
        <v>2</v>
      </c>
      <c r="AG1004">
        <v>0</v>
      </c>
      <c r="AH1004">
        <v>0</v>
      </c>
      <c r="AI1004">
        <v>0</v>
      </c>
      <c r="AM1004">
        <v>0</v>
      </c>
      <c r="AR1004" t="s">
        <v>3640</v>
      </c>
      <c r="AS1004" t="s">
        <v>1680</v>
      </c>
      <c r="AT1004">
        <v>2025</v>
      </c>
      <c r="AU1004">
        <v>7</v>
      </c>
      <c r="AV1004" t="s">
        <v>78</v>
      </c>
      <c r="AX1004" t="s">
        <v>3663</v>
      </c>
    </row>
    <row r="1005" spans="1:50">
      <c r="A1005">
        <v>24</v>
      </c>
      <c r="B1005">
        <v>33</v>
      </c>
      <c r="C1005" t="s">
        <v>74</v>
      </c>
      <c r="D1005" t="s">
        <v>1785</v>
      </c>
      <c r="E1005" t="s">
        <v>1786</v>
      </c>
      <c r="F1005">
        <v>4175</v>
      </c>
      <c r="G1005" s="23">
        <v>45848</v>
      </c>
      <c r="H1005" s="2">
        <v>45907.992118055554</v>
      </c>
      <c r="I1005" s="2"/>
      <c r="K1005" s="149">
        <v>0</v>
      </c>
      <c r="L1005" s="149">
        <v>179930</v>
      </c>
      <c r="M1005" s="149">
        <v>34186</v>
      </c>
      <c r="N1005" s="149">
        <v>214116</v>
      </c>
      <c r="O1005">
        <v>0</v>
      </c>
      <c r="P1005">
        <v>0</v>
      </c>
      <c r="Q1005">
        <v>0</v>
      </c>
      <c r="R1005">
        <v>0</v>
      </c>
      <c r="S1005">
        <v>0</v>
      </c>
      <c r="T1005" t="s">
        <v>77</v>
      </c>
      <c r="U1005">
        <v>0</v>
      </c>
      <c r="V1005">
        <v>0</v>
      </c>
      <c r="W1005">
        <v>0</v>
      </c>
      <c r="X1005">
        <v>0</v>
      </c>
      <c r="Y1005">
        <v>0</v>
      </c>
      <c r="AC1005">
        <v>0</v>
      </c>
      <c r="AE1005">
        <v>0</v>
      </c>
      <c r="AF1005">
        <v>2</v>
      </c>
      <c r="AG1005">
        <v>0</v>
      </c>
      <c r="AH1005">
        <v>0</v>
      </c>
      <c r="AI1005">
        <v>0</v>
      </c>
      <c r="AM1005">
        <v>0</v>
      </c>
      <c r="AR1005" t="s">
        <v>3640</v>
      </c>
      <c r="AS1005" t="s">
        <v>1680</v>
      </c>
      <c r="AT1005">
        <v>2025</v>
      </c>
      <c r="AU1005">
        <v>7</v>
      </c>
      <c r="AV1005" t="s">
        <v>78</v>
      </c>
      <c r="AX1005" t="s">
        <v>3664</v>
      </c>
    </row>
    <row r="1006" spans="1:50">
      <c r="A1006">
        <v>25</v>
      </c>
      <c r="B1006">
        <v>33</v>
      </c>
      <c r="C1006" t="s">
        <v>74</v>
      </c>
      <c r="D1006" t="s">
        <v>1573</v>
      </c>
      <c r="E1006" t="s">
        <v>1574</v>
      </c>
      <c r="F1006">
        <v>4176</v>
      </c>
      <c r="G1006" s="23">
        <v>45848</v>
      </c>
      <c r="H1006" s="2">
        <v>45937.272303240738</v>
      </c>
      <c r="I1006" s="2"/>
      <c r="K1006" s="149">
        <v>0</v>
      </c>
      <c r="L1006" s="149">
        <v>336965</v>
      </c>
      <c r="M1006" s="149">
        <v>64024</v>
      </c>
      <c r="N1006" s="149">
        <v>400989</v>
      </c>
      <c r="O1006">
        <v>0</v>
      </c>
      <c r="P1006">
        <v>0</v>
      </c>
      <c r="Q1006">
        <v>0</v>
      </c>
      <c r="R1006">
        <v>0</v>
      </c>
      <c r="S1006">
        <v>0</v>
      </c>
      <c r="T1006" t="s">
        <v>77</v>
      </c>
      <c r="U1006">
        <v>0</v>
      </c>
      <c r="V1006">
        <v>0</v>
      </c>
      <c r="W1006">
        <v>0</v>
      </c>
      <c r="X1006">
        <v>0</v>
      </c>
      <c r="Y1006">
        <v>0</v>
      </c>
      <c r="AC1006">
        <v>0</v>
      </c>
      <c r="AE1006">
        <v>0</v>
      </c>
      <c r="AF1006">
        <v>2</v>
      </c>
      <c r="AG1006">
        <v>0</v>
      </c>
      <c r="AH1006">
        <v>0</v>
      </c>
      <c r="AI1006">
        <v>0</v>
      </c>
      <c r="AM1006">
        <v>0</v>
      </c>
      <c r="AR1006" t="s">
        <v>3640</v>
      </c>
      <c r="AS1006" t="s">
        <v>1680</v>
      </c>
      <c r="AT1006">
        <v>2025</v>
      </c>
      <c r="AU1006">
        <v>7</v>
      </c>
      <c r="AV1006" t="s">
        <v>78</v>
      </c>
      <c r="AX1006" t="s">
        <v>3665</v>
      </c>
    </row>
    <row r="1007" spans="1:50">
      <c r="A1007">
        <v>26</v>
      </c>
      <c r="B1007">
        <v>33</v>
      </c>
      <c r="C1007" t="s">
        <v>74</v>
      </c>
      <c r="D1007" t="s">
        <v>1222</v>
      </c>
      <c r="E1007" t="s">
        <v>1223</v>
      </c>
      <c r="F1007">
        <v>4177</v>
      </c>
      <c r="G1007" s="23" t="s">
        <v>1544</v>
      </c>
      <c r="H1007" s="2">
        <v>45968.447013888886</v>
      </c>
      <c r="I1007" t="s">
        <v>3545</v>
      </c>
      <c r="J1007" s="2"/>
      <c r="K1007" s="149">
        <v>0</v>
      </c>
      <c r="L1007" s="149">
        <v>3095800</v>
      </c>
      <c r="M1007" s="149">
        <v>588202</v>
      </c>
      <c r="N1007" s="149">
        <v>3684002</v>
      </c>
      <c r="O1007">
        <v>0</v>
      </c>
      <c r="P1007">
        <v>0</v>
      </c>
      <c r="Q1007">
        <v>0</v>
      </c>
      <c r="R1007">
        <v>0</v>
      </c>
      <c r="S1007">
        <v>0</v>
      </c>
      <c r="T1007" t="s">
        <v>77</v>
      </c>
      <c r="U1007">
        <v>0</v>
      </c>
      <c r="V1007">
        <v>0</v>
      </c>
      <c r="W1007">
        <v>0</v>
      </c>
      <c r="X1007">
        <v>0</v>
      </c>
      <c r="AC1007">
        <v>0</v>
      </c>
      <c r="AE1007">
        <v>0</v>
      </c>
      <c r="AF1007">
        <v>2</v>
      </c>
      <c r="AG1007">
        <v>0</v>
      </c>
      <c r="AH1007">
        <v>0</v>
      </c>
      <c r="AI1007">
        <v>0</v>
      </c>
      <c r="AM1007">
        <v>0</v>
      </c>
      <c r="AR1007" t="s">
        <v>3640</v>
      </c>
      <c r="AS1007" t="s">
        <v>1680</v>
      </c>
      <c r="AT1007">
        <v>2025</v>
      </c>
      <c r="AU1007">
        <v>7</v>
      </c>
      <c r="AV1007" t="s">
        <v>78</v>
      </c>
      <c r="AX1007" t="s">
        <v>3666</v>
      </c>
    </row>
    <row r="1008" spans="1:50">
      <c r="A1008">
        <v>27</v>
      </c>
      <c r="B1008">
        <v>33</v>
      </c>
      <c r="C1008" t="s">
        <v>74</v>
      </c>
      <c r="D1008" t="s">
        <v>1222</v>
      </c>
      <c r="E1008" t="s">
        <v>1223</v>
      </c>
      <c r="F1008">
        <v>4178</v>
      </c>
      <c r="G1008" s="23" t="s">
        <v>1544</v>
      </c>
      <c r="H1008" s="2">
        <v>45968.451689814814</v>
      </c>
      <c r="I1008" t="s">
        <v>3545</v>
      </c>
      <c r="K1008" s="149">
        <v>0</v>
      </c>
      <c r="L1008" s="149">
        <v>9377780</v>
      </c>
      <c r="M1008" s="149">
        <v>1781778</v>
      </c>
      <c r="N1008" s="149">
        <v>11159558</v>
      </c>
      <c r="O1008">
        <v>0</v>
      </c>
      <c r="P1008">
        <v>0</v>
      </c>
      <c r="Q1008">
        <v>0</v>
      </c>
      <c r="R1008">
        <v>0</v>
      </c>
      <c r="S1008">
        <v>0</v>
      </c>
      <c r="T1008" t="s">
        <v>77</v>
      </c>
      <c r="U1008">
        <v>0</v>
      </c>
      <c r="V1008">
        <v>0</v>
      </c>
      <c r="W1008">
        <v>0</v>
      </c>
      <c r="X1008">
        <v>0</v>
      </c>
      <c r="AC1008">
        <v>0</v>
      </c>
      <c r="AE1008">
        <v>0</v>
      </c>
      <c r="AF1008">
        <v>2</v>
      </c>
      <c r="AG1008">
        <v>0</v>
      </c>
      <c r="AH1008">
        <v>0</v>
      </c>
      <c r="AI1008">
        <v>0</v>
      </c>
      <c r="AM1008">
        <v>0</v>
      </c>
      <c r="AR1008" t="s">
        <v>3640</v>
      </c>
      <c r="AS1008" t="s">
        <v>1680</v>
      </c>
      <c r="AT1008">
        <v>2025</v>
      </c>
      <c r="AU1008">
        <v>7</v>
      </c>
      <c r="AV1008" t="s">
        <v>78</v>
      </c>
      <c r="AX1008" t="s">
        <v>3667</v>
      </c>
    </row>
    <row r="1009" spans="1:50">
      <c r="A1009">
        <v>28</v>
      </c>
      <c r="B1009">
        <v>33</v>
      </c>
      <c r="C1009" t="s">
        <v>74</v>
      </c>
      <c r="D1009" t="s">
        <v>3211</v>
      </c>
      <c r="E1009" t="s">
        <v>3212</v>
      </c>
      <c r="F1009">
        <v>4179</v>
      </c>
      <c r="G1009" s="23" t="s">
        <v>1545</v>
      </c>
      <c r="H1009" s="2" t="s">
        <v>3546</v>
      </c>
      <c r="I1009" t="s">
        <v>3547</v>
      </c>
      <c r="K1009" s="149">
        <v>0</v>
      </c>
      <c r="L1009" s="149">
        <v>508200</v>
      </c>
      <c r="M1009" s="149">
        <v>96558</v>
      </c>
      <c r="N1009" s="149">
        <v>604758</v>
      </c>
      <c r="O1009">
        <v>0</v>
      </c>
      <c r="P1009">
        <v>0</v>
      </c>
      <c r="Q1009">
        <v>0</v>
      </c>
      <c r="R1009">
        <v>0</v>
      </c>
      <c r="S1009">
        <v>0</v>
      </c>
      <c r="T1009" t="s">
        <v>77</v>
      </c>
      <c r="U1009">
        <v>0</v>
      </c>
      <c r="V1009">
        <v>0</v>
      </c>
      <c r="W1009">
        <v>0</v>
      </c>
      <c r="X1009">
        <v>0</v>
      </c>
      <c r="Y1009">
        <v>0</v>
      </c>
      <c r="AC1009">
        <v>0</v>
      </c>
      <c r="AE1009">
        <v>0</v>
      </c>
      <c r="AF1009">
        <v>2</v>
      </c>
      <c r="AG1009">
        <v>0</v>
      </c>
      <c r="AH1009">
        <v>0</v>
      </c>
      <c r="AI1009">
        <v>0</v>
      </c>
      <c r="AM1009">
        <v>0</v>
      </c>
      <c r="AR1009" t="s">
        <v>3640</v>
      </c>
      <c r="AS1009" t="s">
        <v>1680</v>
      </c>
      <c r="AT1009">
        <v>2025</v>
      </c>
      <c r="AU1009">
        <v>7</v>
      </c>
      <c r="AV1009" t="s">
        <v>78</v>
      </c>
      <c r="AX1009" t="s">
        <v>3668</v>
      </c>
    </row>
    <row r="1010" spans="1:50">
      <c r="A1010">
        <v>29</v>
      </c>
      <c r="B1010">
        <v>33</v>
      </c>
      <c r="C1010" t="s">
        <v>74</v>
      </c>
      <c r="D1010" t="s">
        <v>1612</v>
      </c>
      <c r="E1010" t="s">
        <v>1613</v>
      </c>
      <c r="F1010">
        <v>4180</v>
      </c>
      <c r="G1010" s="23" t="s">
        <v>1545</v>
      </c>
      <c r="H1010" s="2" t="s">
        <v>3548</v>
      </c>
      <c r="I1010" s="2"/>
      <c r="K1010" s="149">
        <v>0</v>
      </c>
      <c r="L1010" s="149">
        <v>349780</v>
      </c>
      <c r="M1010" s="149">
        <v>66459</v>
      </c>
      <c r="N1010" s="149">
        <v>416239</v>
      </c>
      <c r="O1010">
        <v>0</v>
      </c>
      <c r="P1010">
        <v>0</v>
      </c>
      <c r="Q1010">
        <v>0</v>
      </c>
      <c r="R1010">
        <v>0</v>
      </c>
      <c r="S1010">
        <v>0</v>
      </c>
      <c r="T1010" t="s">
        <v>77</v>
      </c>
      <c r="U1010">
        <v>0</v>
      </c>
      <c r="V1010">
        <v>0</v>
      </c>
      <c r="W1010">
        <v>0</v>
      </c>
      <c r="X1010">
        <v>0</v>
      </c>
      <c r="Y1010">
        <v>0</v>
      </c>
      <c r="AC1010">
        <v>0</v>
      </c>
      <c r="AE1010">
        <v>0</v>
      </c>
      <c r="AF1010">
        <v>2</v>
      </c>
      <c r="AG1010">
        <v>0</v>
      </c>
      <c r="AH1010">
        <v>0</v>
      </c>
      <c r="AI1010">
        <v>0</v>
      </c>
      <c r="AM1010">
        <v>0</v>
      </c>
      <c r="AR1010" t="s">
        <v>3640</v>
      </c>
      <c r="AS1010" t="s">
        <v>1680</v>
      </c>
      <c r="AT1010">
        <v>2025</v>
      </c>
      <c r="AU1010">
        <v>7</v>
      </c>
      <c r="AV1010" t="s">
        <v>78</v>
      </c>
      <c r="AX1010" t="s">
        <v>3669</v>
      </c>
    </row>
    <row r="1011" spans="1:50">
      <c r="A1011">
        <v>30</v>
      </c>
      <c r="B1011">
        <v>33</v>
      </c>
      <c r="C1011" t="s">
        <v>74</v>
      </c>
      <c r="D1011" t="s">
        <v>1353</v>
      </c>
      <c r="E1011" t="s">
        <v>1354</v>
      </c>
      <c r="F1011">
        <v>4181</v>
      </c>
      <c r="G1011" s="23" t="s">
        <v>1545</v>
      </c>
      <c r="H1011" s="2" t="s">
        <v>3549</v>
      </c>
      <c r="I1011" s="2" t="s">
        <v>3550</v>
      </c>
      <c r="K1011" s="149">
        <v>0</v>
      </c>
      <c r="L1011" s="149">
        <v>2821500</v>
      </c>
      <c r="M1011" s="149">
        <v>536085</v>
      </c>
      <c r="N1011" s="149">
        <v>3357585</v>
      </c>
      <c r="O1011">
        <v>0</v>
      </c>
      <c r="P1011">
        <v>0</v>
      </c>
      <c r="Q1011">
        <v>0</v>
      </c>
      <c r="R1011">
        <v>0</v>
      </c>
      <c r="S1011">
        <v>0</v>
      </c>
      <c r="T1011" t="s">
        <v>77</v>
      </c>
      <c r="U1011">
        <v>0</v>
      </c>
      <c r="V1011">
        <v>0</v>
      </c>
      <c r="W1011">
        <v>0</v>
      </c>
      <c r="X1011">
        <v>0</v>
      </c>
      <c r="Y1011">
        <v>0</v>
      </c>
      <c r="AC1011">
        <v>0</v>
      </c>
      <c r="AE1011">
        <v>0</v>
      </c>
      <c r="AF1011">
        <v>2</v>
      </c>
      <c r="AG1011">
        <v>0</v>
      </c>
      <c r="AH1011">
        <v>0</v>
      </c>
      <c r="AI1011">
        <v>0</v>
      </c>
      <c r="AM1011">
        <v>0</v>
      </c>
      <c r="AR1011" t="s">
        <v>3640</v>
      </c>
      <c r="AS1011" t="s">
        <v>1680</v>
      </c>
      <c r="AT1011">
        <v>2025</v>
      </c>
      <c r="AU1011">
        <v>7</v>
      </c>
      <c r="AV1011" t="s">
        <v>78</v>
      </c>
      <c r="AX1011" t="s">
        <v>3670</v>
      </c>
    </row>
    <row r="1012" spans="1:50">
      <c r="A1012">
        <v>31</v>
      </c>
      <c r="B1012">
        <v>33</v>
      </c>
      <c r="C1012" t="s">
        <v>74</v>
      </c>
      <c r="D1012" t="s">
        <v>2329</v>
      </c>
      <c r="E1012" t="s">
        <v>2330</v>
      </c>
      <c r="F1012">
        <v>4182</v>
      </c>
      <c r="G1012" s="23" t="s">
        <v>1545</v>
      </c>
      <c r="H1012" s="2" t="s">
        <v>3551</v>
      </c>
      <c r="I1012" s="2" t="s">
        <v>3552</v>
      </c>
      <c r="K1012" s="149">
        <v>0</v>
      </c>
      <c r="L1012" s="149">
        <v>280000</v>
      </c>
      <c r="M1012" s="149">
        <v>53200</v>
      </c>
      <c r="N1012" s="149">
        <v>333200</v>
      </c>
      <c r="O1012">
        <v>0</v>
      </c>
      <c r="P1012">
        <v>0</v>
      </c>
      <c r="Q1012">
        <v>0</v>
      </c>
      <c r="R1012">
        <v>0</v>
      </c>
      <c r="S1012">
        <v>0</v>
      </c>
      <c r="T1012" t="s">
        <v>77</v>
      </c>
      <c r="U1012">
        <v>0</v>
      </c>
      <c r="V1012">
        <v>0</v>
      </c>
      <c r="W1012">
        <v>0</v>
      </c>
      <c r="X1012">
        <v>0</v>
      </c>
      <c r="Y1012">
        <v>0</v>
      </c>
      <c r="AC1012">
        <v>0</v>
      </c>
      <c r="AE1012">
        <v>0</v>
      </c>
      <c r="AF1012">
        <v>2</v>
      </c>
      <c r="AG1012">
        <v>0</v>
      </c>
      <c r="AH1012">
        <v>0</v>
      </c>
      <c r="AI1012">
        <v>0</v>
      </c>
      <c r="AM1012">
        <v>0</v>
      </c>
      <c r="AR1012" t="s">
        <v>3640</v>
      </c>
      <c r="AS1012" t="s">
        <v>1680</v>
      </c>
      <c r="AT1012">
        <v>2025</v>
      </c>
      <c r="AU1012">
        <v>7</v>
      </c>
      <c r="AV1012" t="s">
        <v>78</v>
      </c>
      <c r="AX1012" t="s">
        <v>3671</v>
      </c>
    </row>
    <row r="1013" spans="1:50">
      <c r="A1013">
        <v>32</v>
      </c>
      <c r="B1013">
        <v>33</v>
      </c>
      <c r="C1013" t="s">
        <v>74</v>
      </c>
      <c r="D1013" t="s">
        <v>1571</v>
      </c>
      <c r="E1013" t="s">
        <v>1572</v>
      </c>
      <c r="F1013">
        <v>4183</v>
      </c>
      <c r="G1013" s="23" t="s">
        <v>1545</v>
      </c>
      <c r="H1013" s="2" t="s">
        <v>3553</v>
      </c>
      <c r="I1013" s="2" t="s">
        <v>3554</v>
      </c>
      <c r="K1013" s="149">
        <v>0</v>
      </c>
      <c r="L1013" s="149">
        <v>6693441</v>
      </c>
      <c r="M1013" s="149">
        <v>1271754</v>
      </c>
      <c r="N1013" s="149">
        <v>7965195</v>
      </c>
      <c r="O1013">
        <v>0</v>
      </c>
      <c r="P1013">
        <v>0</v>
      </c>
      <c r="Q1013">
        <v>0</v>
      </c>
      <c r="R1013">
        <v>0</v>
      </c>
      <c r="S1013">
        <v>0</v>
      </c>
      <c r="T1013" t="s">
        <v>77</v>
      </c>
      <c r="U1013">
        <v>0</v>
      </c>
      <c r="V1013">
        <v>0</v>
      </c>
      <c r="W1013">
        <v>0</v>
      </c>
      <c r="X1013">
        <v>0</v>
      </c>
      <c r="AC1013">
        <v>0</v>
      </c>
      <c r="AE1013">
        <v>0</v>
      </c>
      <c r="AF1013">
        <v>2</v>
      </c>
      <c r="AG1013">
        <v>0</v>
      </c>
      <c r="AH1013">
        <v>0</v>
      </c>
      <c r="AI1013">
        <v>0</v>
      </c>
      <c r="AM1013">
        <v>0</v>
      </c>
      <c r="AR1013" t="s">
        <v>3640</v>
      </c>
      <c r="AS1013" t="s">
        <v>1680</v>
      </c>
      <c r="AT1013">
        <v>2025</v>
      </c>
      <c r="AU1013">
        <v>7</v>
      </c>
      <c r="AV1013" t="s">
        <v>78</v>
      </c>
      <c r="AX1013" t="s">
        <v>3672</v>
      </c>
    </row>
    <row r="1014" spans="1:50">
      <c r="A1014">
        <v>33</v>
      </c>
      <c r="B1014">
        <v>33</v>
      </c>
      <c r="C1014" t="s">
        <v>74</v>
      </c>
      <c r="D1014" t="s">
        <v>1222</v>
      </c>
      <c r="E1014" t="s">
        <v>1223</v>
      </c>
      <c r="F1014">
        <v>4184</v>
      </c>
      <c r="G1014" s="23" t="s">
        <v>3825</v>
      </c>
      <c r="H1014" s="2" t="s">
        <v>3555</v>
      </c>
      <c r="I1014" s="2" t="s">
        <v>3556</v>
      </c>
      <c r="K1014" s="149">
        <v>0</v>
      </c>
      <c r="L1014" s="149">
        <v>4570830</v>
      </c>
      <c r="M1014" s="149">
        <v>868458</v>
      </c>
      <c r="N1014" s="149">
        <v>5439288</v>
      </c>
      <c r="O1014">
        <v>0</v>
      </c>
      <c r="P1014">
        <v>0</v>
      </c>
      <c r="Q1014">
        <v>0</v>
      </c>
      <c r="R1014">
        <v>0</v>
      </c>
      <c r="S1014">
        <v>0</v>
      </c>
      <c r="T1014" t="s">
        <v>77</v>
      </c>
      <c r="U1014">
        <v>0</v>
      </c>
      <c r="V1014">
        <v>0</v>
      </c>
      <c r="W1014">
        <v>0</v>
      </c>
      <c r="X1014">
        <v>0</v>
      </c>
      <c r="AC1014">
        <v>0</v>
      </c>
      <c r="AE1014">
        <v>0</v>
      </c>
      <c r="AF1014">
        <v>2</v>
      </c>
      <c r="AG1014">
        <v>0</v>
      </c>
      <c r="AH1014">
        <v>0</v>
      </c>
      <c r="AI1014">
        <v>0</v>
      </c>
      <c r="AM1014">
        <v>0</v>
      </c>
      <c r="AR1014" t="s">
        <v>3640</v>
      </c>
      <c r="AS1014" t="s">
        <v>1680</v>
      </c>
      <c r="AT1014">
        <v>2025</v>
      </c>
      <c r="AU1014">
        <v>7</v>
      </c>
      <c r="AV1014" t="s">
        <v>78</v>
      </c>
      <c r="AX1014" t="s">
        <v>3673</v>
      </c>
    </row>
    <row r="1015" spans="1:50">
      <c r="A1015">
        <v>34</v>
      </c>
      <c r="B1015">
        <v>33</v>
      </c>
      <c r="C1015" t="s">
        <v>74</v>
      </c>
      <c r="D1015" t="s">
        <v>1222</v>
      </c>
      <c r="E1015" t="s">
        <v>1223</v>
      </c>
      <c r="F1015">
        <v>4185</v>
      </c>
      <c r="G1015" s="23" t="s">
        <v>3825</v>
      </c>
      <c r="H1015" s="2" t="s">
        <v>3557</v>
      </c>
      <c r="I1015" t="s">
        <v>3556</v>
      </c>
      <c r="J1015" s="2"/>
      <c r="K1015" s="149">
        <v>0</v>
      </c>
      <c r="L1015" s="149">
        <v>11929730</v>
      </c>
      <c r="M1015" s="149">
        <v>2266648</v>
      </c>
      <c r="N1015" s="149">
        <v>14196378</v>
      </c>
      <c r="O1015">
        <v>0</v>
      </c>
      <c r="P1015">
        <v>0</v>
      </c>
      <c r="Q1015">
        <v>0</v>
      </c>
      <c r="R1015">
        <v>0</v>
      </c>
      <c r="S1015">
        <v>0</v>
      </c>
      <c r="T1015" t="s">
        <v>77</v>
      </c>
      <c r="U1015">
        <v>0</v>
      </c>
      <c r="V1015">
        <v>0</v>
      </c>
      <c r="W1015">
        <v>0</v>
      </c>
      <c r="X1015">
        <v>0</v>
      </c>
      <c r="AC1015">
        <v>0</v>
      </c>
      <c r="AE1015">
        <v>0</v>
      </c>
      <c r="AF1015">
        <v>2</v>
      </c>
      <c r="AG1015">
        <v>0</v>
      </c>
      <c r="AH1015">
        <v>0</v>
      </c>
      <c r="AI1015">
        <v>0</v>
      </c>
      <c r="AM1015">
        <v>0</v>
      </c>
      <c r="AR1015" t="s">
        <v>3640</v>
      </c>
      <c r="AS1015" t="s">
        <v>1680</v>
      </c>
      <c r="AT1015">
        <v>2025</v>
      </c>
      <c r="AU1015">
        <v>7</v>
      </c>
      <c r="AV1015" t="s">
        <v>78</v>
      </c>
      <c r="AX1015" t="s">
        <v>3674</v>
      </c>
    </row>
    <row r="1016" spans="1:50">
      <c r="A1016">
        <v>35</v>
      </c>
      <c r="B1016">
        <v>33</v>
      </c>
      <c r="C1016" t="s">
        <v>74</v>
      </c>
      <c r="D1016" t="s">
        <v>1571</v>
      </c>
      <c r="E1016" t="s">
        <v>1572</v>
      </c>
      <c r="F1016">
        <v>4186</v>
      </c>
      <c r="G1016" s="23" t="s">
        <v>1545</v>
      </c>
      <c r="H1016" s="2" t="s">
        <v>3558</v>
      </c>
      <c r="I1016" s="2" t="s">
        <v>3554</v>
      </c>
      <c r="K1016" s="149">
        <v>0</v>
      </c>
      <c r="L1016" s="149">
        <v>6248381</v>
      </c>
      <c r="M1016" s="149">
        <v>1187194</v>
      </c>
      <c r="N1016" s="149">
        <v>7435575</v>
      </c>
      <c r="O1016">
        <v>0</v>
      </c>
      <c r="P1016">
        <v>0</v>
      </c>
      <c r="Q1016">
        <v>0</v>
      </c>
      <c r="R1016">
        <v>0</v>
      </c>
      <c r="S1016">
        <v>0</v>
      </c>
      <c r="T1016" t="s">
        <v>77</v>
      </c>
      <c r="U1016">
        <v>0</v>
      </c>
      <c r="V1016">
        <v>0</v>
      </c>
      <c r="W1016">
        <v>0</v>
      </c>
      <c r="X1016">
        <v>0</v>
      </c>
      <c r="AC1016">
        <v>0</v>
      </c>
      <c r="AE1016">
        <v>0</v>
      </c>
      <c r="AF1016">
        <v>2</v>
      </c>
      <c r="AG1016">
        <v>0</v>
      </c>
      <c r="AH1016">
        <v>0</v>
      </c>
      <c r="AI1016">
        <v>0</v>
      </c>
      <c r="AM1016">
        <v>0</v>
      </c>
      <c r="AR1016" t="s">
        <v>3640</v>
      </c>
      <c r="AS1016" t="s">
        <v>1680</v>
      </c>
      <c r="AT1016">
        <v>2025</v>
      </c>
      <c r="AU1016">
        <v>7</v>
      </c>
      <c r="AV1016" t="s">
        <v>78</v>
      </c>
      <c r="AX1016" t="s">
        <v>3675</v>
      </c>
    </row>
    <row r="1017" spans="1:50">
      <c r="A1017">
        <v>36</v>
      </c>
      <c r="B1017">
        <v>33</v>
      </c>
      <c r="C1017" t="s">
        <v>74</v>
      </c>
      <c r="D1017" t="s">
        <v>1571</v>
      </c>
      <c r="E1017" t="s">
        <v>1572</v>
      </c>
      <c r="F1017">
        <v>4187</v>
      </c>
      <c r="G1017" s="23" t="s">
        <v>3825</v>
      </c>
      <c r="H1017" s="2" t="s">
        <v>3559</v>
      </c>
      <c r="J1017" t="s">
        <v>3560</v>
      </c>
      <c r="K1017" s="149">
        <v>0</v>
      </c>
      <c r="L1017" s="149">
        <v>20493535</v>
      </c>
      <c r="M1017" s="149">
        <v>3893772</v>
      </c>
      <c r="N1017" s="149">
        <v>24387307</v>
      </c>
      <c r="O1017">
        <v>0</v>
      </c>
      <c r="P1017">
        <v>0</v>
      </c>
      <c r="Q1017">
        <v>0</v>
      </c>
      <c r="R1017">
        <v>0</v>
      </c>
      <c r="S1017">
        <v>0</v>
      </c>
      <c r="T1017" t="s">
        <v>77</v>
      </c>
      <c r="U1017">
        <v>0</v>
      </c>
      <c r="V1017">
        <v>0</v>
      </c>
      <c r="W1017">
        <v>0</v>
      </c>
      <c r="X1017">
        <v>0</v>
      </c>
      <c r="AC1017">
        <v>0</v>
      </c>
      <c r="AE1017">
        <v>0</v>
      </c>
      <c r="AF1017">
        <v>2</v>
      </c>
      <c r="AG1017">
        <v>0</v>
      </c>
      <c r="AH1017">
        <v>0</v>
      </c>
      <c r="AI1017">
        <v>0</v>
      </c>
      <c r="AM1017">
        <v>0</v>
      </c>
      <c r="AR1017" t="s">
        <v>3640</v>
      </c>
      <c r="AS1017" t="s">
        <v>1680</v>
      </c>
      <c r="AT1017">
        <v>2025</v>
      </c>
      <c r="AU1017">
        <v>7</v>
      </c>
      <c r="AV1017" t="s">
        <v>78</v>
      </c>
      <c r="AX1017" t="s">
        <v>3676</v>
      </c>
    </row>
    <row r="1018" spans="1:50">
      <c r="A1018">
        <v>37</v>
      </c>
      <c r="B1018">
        <v>33</v>
      </c>
      <c r="C1018" t="s">
        <v>74</v>
      </c>
      <c r="D1018" t="s">
        <v>1564</v>
      </c>
      <c r="E1018" t="s">
        <v>1565</v>
      </c>
      <c r="F1018">
        <v>4188</v>
      </c>
      <c r="G1018" s="23" t="s">
        <v>1546</v>
      </c>
      <c r="H1018" s="2" t="s">
        <v>3561</v>
      </c>
      <c r="K1018" s="149">
        <v>0</v>
      </c>
      <c r="L1018" s="149">
        <v>322485</v>
      </c>
      <c r="M1018" s="149">
        <v>61273</v>
      </c>
      <c r="N1018" s="149">
        <v>383758</v>
      </c>
      <c r="O1018">
        <v>0</v>
      </c>
      <c r="P1018">
        <v>0</v>
      </c>
      <c r="Q1018">
        <v>0</v>
      </c>
      <c r="R1018">
        <v>0</v>
      </c>
      <c r="S1018">
        <v>0</v>
      </c>
      <c r="T1018" t="s">
        <v>77</v>
      </c>
      <c r="U1018">
        <v>0</v>
      </c>
      <c r="V1018">
        <v>0</v>
      </c>
      <c r="W1018">
        <v>0</v>
      </c>
      <c r="X1018">
        <v>0</v>
      </c>
      <c r="Y1018">
        <v>0</v>
      </c>
      <c r="AC1018">
        <v>0</v>
      </c>
      <c r="AE1018">
        <v>0</v>
      </c>
      <c r="AF1018">
        <v>2</v>
      </c>
      <c r="AG1018">
        <v>0</v>
      </c>
      <c r="AH1018">
        <v>0</v>
      </c>
      <c r="AI1018">
        <v>0</v>
      </c>
      <c r="AM1018">
        <v>0</v>
      </c>
      <c r="AR1018" t="s">
        <v>3640</v>
      </c>
      <c r="AS1018" t="s">
        <v>1680</v>
      </c>
      <c r="AT1018">
        <v>2025</v>
      </c>
      <c r="AU1018">
        <v>7</v>
      </c>
      <c r="AV1018" t="s">
        <v>78</v>
      </c>
      <c r="AX1018" t="s">
        <v>3677</v>
      </c>
    </row>
    <row r="1019" spans="1:50">
      <c r="A1019">
        <v>38</v>
      </c>
      <c r="B1019">
        <v>33</v>
      </c>
      <c r="C1019" t="s">
        <v>74</v>
      </c>
      <c r="D1019" t="s">
        <v>1555</v>
      </c>
      <c r="E1019" t="s">
        <v>1556</v>
      </c>
      <c r="F1019">
        <v>4189</v>
      </c>
      <c r="G1019" s="23" t="s">
        <v>1546</v>
      </c>
      <c r="H1019" s="2" t="s">
        <v>3562</v>
      </c>
      <c r="I1019" t="s">
        <v>3563</v>
      </c>
      <c r="K1019" s="149">
        <v>0</v>
      </c>
      <c r="L1019" s="149">
        <v>2632640</v>
      </c>
      <c r="M1019" s="149">
        <v>500202</v>
      </c>
      <c r="N1019" s="149">
        <v>3132842</v>
      </c>
      <c r="O1019">
        <v>0</v>
      </c>
      <c r="P1019">
        <v>0</v>
      </c>
      <c r="Q1019">
        <v>0</v>
      </c>
      <c r="R1019">
        <v>0</v>
      </c>
      <c r="S1019">
        <v>0</v>
      </c>
      <c r="T1019" t="s">
        <v>77</v>
      </c>
      <c r="U1019">
        <v>0</v>
      </c>
      <c r="V1019">
        <v>0</v>
      </c>
      <c r="W1019">
        <v>0</v>
      </c>
      <c r="X1019">
        <v>0</v>
      </c>
      <c r="AC1019">
        <v>0</v>
      </c>
      <c r="AE1019">
        <v>0</v>
      </c>
      <c r="AF1019">
        <v>2</v>
      </c>
      <c r="AG1019">
        <v>0</v>
      </c>
      <c r="AH1019">
        <v>0</v>
      </c>
      <c r="AI1019">
        <v>0</v>
      </c>
      <c r="AM1019">
        <v>0</v>
      </c>
      <c r="AR1019" t="s">
        <v>3640</v>
      </c>
      <c r="AS1019" t="s">
        <v>1680</v>
      </c>
      <c r="AT1019">
        <v>2025</v>
      </c>
      <c r="AU1019">
        <v>7</v>
      </c>
      <c r="AV1019" t="s">
        <v>78</v>
      </c>
      <c r="AX1019" t="s">
        <v>3678</v>
      </c>
    </row>
    <row r="1020" spans="1:50">
      <c r="A1020">
        <v>39</v>
      </c>
      <c r="B1020">
        <v>33</v>
      </c>
      <c r="C1020" t="s">
        <v>74</v>
      </c>
      <c r="D1020" t="s">
        <v>1573</v>
      </c>
      <c r="E1020" t="s">
        <v>1574</v>
      </c>
      <c r="F1020">
        <v>4190</v>
      </c>
      <c r="G1020" s="23" t="s">
        <v>1546</v>
      </c>
      <c r="H1020" s="2" t="s">
        <v>3564</v>
      </c>
      <c r="I1020" s="2" t="s">
        <v>3565</v>
      </c>
      <c r="K1020" s="149">
        <v>0</v>
      </c>
      <c r="L1020" s="149">
        <v>212100</v>
      </c>
      <c r="M1020" s="149">
        <v>40299</v>
      </c>
      <c r="N1020" s="149">
        <v>252399</v>
      </c>
      <c r="O1020">
        <v>0</v>
      </c>
      <c r="P1020">
        <v>0</v>
      </c>
      <c r="Q1020">
        <v>0</v>
      </c>
      <c r="R1020">
        <v>0</v>
      </c>
      <c r="S1020">
        <v>0</v>
      </c>
      <c r="T1020" t="s">
        <v>77</v>
      </c>
      <c r="U1020">
        <v>0</v>
      </c>
      <c r="V1020">
        <v>0</v>
      </c>
      <c r="W1020">
        <v>0</v>
      </c>
      <c r="X1020">
        <v>0</v>
      </c>
      <c r="Y1020">
        <v>0</v>
      </c>
      <c r="AC1020">
        <v>0</v>
      </c>
      <c r="AE1020">
        <v>0</v>
      </c>
      <c r="AF1020">
        <v>2</v>
      </c>
      <c r="AG1020">
        <v>0</v>
      </c>
      <c r="AH1020">
        <v>0</v>
      </c>
      <c r="AI1020">
        <v>0</v>
      </c>
      <c r="AM1020">
        <v>0</v>
      </c>
      <c r="AR1020" t="s">
        <v>3640</v>
      </c>
      <c r="AS1020" t="s">
        <v>1680</v>
      </c>
      <c r="AT1020">
        <v>2025</v>
      </c>
      <c r="AU1020">
        <v>7</v>
      </c>
      <c r="AV1020" t="s">
        <v>78</v>
      </c>
      <c r="AX1020" t="s">
        <v>3679</v>
      </c>
    </row>
    <row r="1021" spans="1:50">
      <c r="A1021">
        <v>40</v>
      </c>
      <c r="B1021">
        <v>33</v>
      </c>
      <c r="C1021" t="s">
        <v>74</v>
      </c>
      <c r="D1021" t="s">
        <v>2509</v>
      </c>
      <c r="E1021" t="s">
        <v>2510</v>
      </c>
      <c r="F1021">
        <v>4191</v>
      </c>
      <c r="G1021" s="23" t="s">
        <v>1546</v>
      </c>
      <c r="H1021" s="2" t="s">
        <v>3566</v>
      </c>
      <c r="K1021" s="149">
        <v>0</v>
      </c>
      <c r="L1021" s="149">
        <v>248160</v>
      </c>
      <c r="M1021" s="149">
        <v>47150</v>
      </c>
      <c r="N1021" s="149">
        <v>295310</v>
      </c>
      <c r="O1021">
        <v>0</v>
      </c>
      <c r="P1021">
        <v>0</v>
      </c>
      <c r="Q1021">
        <v>0</v>
      </c>
      <c r="R1021">
        <v>0</v>
      </c>
      <c r="S1021">
        <v>0</v>
      </c>
      <c r="T1021" t="s">
        <v>77</v>
      </c>
      <c r="U1021">
        <v>0</v>
      </c>
      <c r="V1021">
        <v>0</v>
      </c>
      <c r="W1021">
        <v>0</v>
      </c>
      <c r="X1021">
        <v>0</v>
      </c>
      <c r="Y1021">
        <v>0</v>
      </c>
      <c r="AC1021">
        <v>0</v>
      </c>
      <c r="AE1021">
        <v>0</v>
      </c>
      <c r="AF1021">
        <v>2</v>
      </c>
      <c r="AG1021">
        <v>0</v>
      </c>
      <c r="AH1021">
        <v>0</v>
      </c>
      <c r="AI1021">
        <v>0</v>
      </c>
      <c r="AM1021">
        <v>0</v>
      </c>
      <c r="AR1021" t="s">
        <v>3640</v>
      </c>
      <c r="AS1021" t="s">
        <v>1680</v>
      </c>
      <c r="AT1021">
        <v>2025</v>
      </c>
      <c r="AU1021">
        <v>7</v>
      </c>
      <c r="AV1021" t="s">
        <v>78</v>
      </c>
      <c r="AX1021" t="s">
        <v>3680</v>
      </c>
    </row>
    <row r="1022" spans="1:50">
      <c r="A1022">
        <v>41</v>
      </c>
      <c r="B1022">
        <v>33</v>
      </c>
      <c r="C1022" t="s">
        <v>74</v>
      </c>
      <c r="D1022" t="s">
        <v>1567</v>
      </c>
      <c r="E1022" t="s">
        <v>1568</v>
      </c>
      <c r="F1022">
        <v>4192</v>
      </c>
      <c r="G1022" s="23" t="s">
        <v>1546</v>
      </c>
      <c r="H1022" s="2" t="s">
        <v>3567</v>
      </c>
      <c r="I1022" s="2" t="s">
        <v>3568</v>
      </c>
      <c r="K1022" s="149">
        <v>0</v>
      </c>
      <c r="L1022" s="149">
        <v>188200</v>
      </c>
      <c r="M1022" s="149">
        <v>35758</v>
      </c>
      <c r="N1022" s="149">
        <v>223958</v>
      </c>
      <c r="O1022">
        <v>0</v>
      </c>
      <c r="P1022">
        <v>0</v>
      </c>
      <c r="Q1022">
        <v>0</v>
      </c>
      <c r="R1022">
        <v>0</v>
      </c>
      <c r="S1022">
        <v>0</v>
      </c>
      <c r="T1022" t="s">
        <v>77</v>
      </c>
      <c r="U1022">
        <v>0</v>
      </c>
      <c r="V1022">
        <v>0</v>
      </c>
      <c r="W1022">
        <v>0</v>
      </c>
      <c r="X1022">
        <v>0</v>
      </c>
      <c r="Y1022">
        <v>0</v>
      </c>
      <c r="AC1022">
        <v>0</v>
      </c>
      <c r="AE1022">
        <v>0</v>
      </c>
      <c r="AF1022">
        <v>2</v>
      </c>
      <c r="AG1022">
        <v>0</v>
      </c>
      <c r="AH1022">
        <v>0</v>
      </c>
      <c r="AI1022">
        <v>0</v>
      </c>
      <c r="AM1022">
        <v>0</v>
      </c>
      <c r="AR1022" t="s">
        <v>3640</v>
      </c>
      <c r="AS1022" t="s">
        <v>1680</v>
      </c>
      <c r="AT1022">
        <v>2025</v>
      </c>
      <c r="AU1022">
        <v>7</v>
      </c>
      <c r="AV1022" t="s">
        <v>78</v>
      </c>
      <c r="AX1022" t="s">
        <v>3681</v>
      </c>
    </row>
    <row r="1023" spans="1:50">
      <c r="A1023">
        <v>42</v>
      </c>
      <c r="B1023">
        <v>33</v>
      </c>
      <c r="C1023" t="s">
        <v>74</v>
      </c>
      <c r="D1023" t="s">
        <v>1222</v>
      </c>
      <c r="E1023" t="s">
        <v>1223</v>
      </c>
      <c r="F1023">
        <v>4193</v>
      </c>
      <c r="G1023" s="23" t="s">
        <v>3826</v>
      </c>
      <c r="H1023" s="2" t="s">
        <v>3569</v>
      </c>
      <c r="I1023" t="s">
        <v>3570</v>
      </c>
      <c r="K1023" s="149">
        <v>0</v>
      </c>
      <c r="L1023" s="149">
        <v>6999400</v>
      </c>
      <c r="M1023" s="149">
        <v>1329886</v>
      </c>
      <c r="N1023" s="149">
        <v>8329286</v>
      </c>
      <c r="O1023">
        <v>0</v>
      </c>
      <c r="P1023">
        <v>0</v>
      </c>
      <c r="Q1023">
        <v>0</v>
      </c>
      <c r="R1023">
        <v>0</v>
      </c>
      <c r="S1023">
        <v>0</v>
      </c>
      <c r="T1023" t="s">
        <v>77</v>
      </c>
      <c r="U1023">
        <v>0</v>
      </c>
      <c r="V1023">
        <v>0</v>
      </c>
      <c r="W1023">
        <v>0</v>
      </c>
      <c r="X1023">
        <v>0</v>
      </c>
      <c r="AC1023">
        <v>0</v>
      </c>
      <c r="AE1023">
        <v>0</v>
      </c>
      <c r="AF1023">
        <v>2</v>
      </c>
      <c r="AG1023">
        <v>0</v>
      </c>
      <c r="AH1023">
        <v>0</v>
      </c>
      <c r="AI1023">
        <v>0</v>
      </c>
      <c r="AM1023">
        <v>0</v>
      </c>
      <c r="AR1023" t="s">
        <v>3640</v>
      </c>
      <c r="AS1023" t="s">
        <v>1680</v>
      </c>
      <c r="AT1023">
        <v>2025</v>
      </c>
      <c r="AU1023">
        <v>7</v>
      </c>
      <c r="AV1023" t="s">
        <v>78</v>
      </c>
      <c r="AX1023" t="s">
        <v>3682</v>
      </c>
    </row>
    <row r="1024" spans="1:50">
      <c r="A1024">
        <v>43</v>
      </c>
      <c r="B1024">
        <v>33</v>
      </c>
      <c r="C1024" t="s">
        <v>74</v>
      </c>
      <c r="D1024" t="s">
        <v>1561</v>
      </c>
      <c r="E1024" t="s">
        <v>1562</v>
      </c>
      <c r="F1024">
        <v>4194</v>
      </c>
      <c r="G1024" s="23" t="s">
        <v>1547</v>
      </c>
      <c r="H1024" s="2" t="s">
        <v>3571</v>
      </c>
      <c r="I1024" t="s">
        <v>3572</v>
      </c>
      <c r="K1024" s="149">
        <v>0</v>
      </c>
      <c r="L1024" s="149">
        <v>45443550</v>
      </c>
      <c r="M1024" s="149">
        <v>8634275</v>
      </c>
      <c r="N1024" s="149">
        <v>54077825</v>
      </c>
      <c r="O1024">
        <v>0</v>
      </c>
      <c r="P1024">
        <v>0</v>
      </c>
      <c r="Q1024">
        <v>0</v>
      </c>
      <c r="R1024">
        <v>0</v>
      </c>
      <c r="S1024">
        <v>0</v>
      </c>
      <c r="T1024" t="s">
        <v>77</v>
      </c>
      <c r="U1024">
        <v>0</v>
      </c>
      <c r="V1024">
        <v>0</v>
      </c>
      <c r="W1024">
        <v>0</v>
      </c>
      <c r="X1024">
        <v>0</v>
      </c>
      <c r="AC1024">
        <v>0</v>
      </c>
      <c r="AE1024">
        <v>0</v>
      </c>
      <c r="AF1024">
        <v>2</v>
      </c>
      <c r="AG1024">
        <v>0</v>
      </c>
      <c r="AH1024">
        <v>0</v>
      </c>
      <c r="AI1024">
        <v>0</v>
      </c>
      <c r="AM1024">
        <v>0</v>
      </c>
      <c r="AR1024" t="s">
        <v>3640</v>
      </c>
      <c r="AS1024" t="s">
        <v>1680</v>
      </c>
      <c r="AT1024">
        <v>2025</v>
      </c>
      <c r="AU1024">
        <v>7</v>
      </c>
      <c r="AV1024" t="s">
        <v>78</v>
      </c>
      <c r="AX1024" t="s">
        <v>3683</v>
      </c>
    </row>
    <row r="1025" spans="1:50">
      <c r="A1025">
        <v>44</v>
      </c>
      <c r="B1025">
        <v>33</v>
      </c>
      <c r="C1025" t="s">
        <v>74</v>
      </c>
      <c r="D1025" t="s">
        <v>3211</v>
      </c>
      <c r="E1025" t="s">
        <v>3212</v>
      </c>
      <c r="F1025">
        <v>4195</v>
      </c>
      <c r="G1025" s="23" t="s">
        <v>1547</v>
      </c>
      <c r="H1025" s="2" t="s">
        <v>3573</v>
      </c>
      <c r="I1025" t="s">
        <v>3574</v>
      </c>
      <c r="K1025" s="149">
        <v>0</v>
      </c>
      <c r="L1025" s="149">
        <v>726000</v>
      </c>
      <c r="M1025" s="149">
        <v>137940</v>
      </c>
      <c r="N1025" s="149">
        <v>863940</v>
      </c>
      <c r="O1025">
        <v>0</v>
      </c>
      <c r="P1025">
        <v>0</v>
      </c>
      <c r="Q1025">
        <v>0</v>
      </c>
      <c r="R1025">
        <v>0</v>
      </c>
      <c r="S1025">
        <v>0</v>
      </c>
      <c r="T1025" t="s">
        <v>77</v>
      </c>
      <c r="U1025">
        <v>0</v>
      </c>
      <c r="V1025">
        <v>0</v>
      </c>
      <c r="W1025">
        <v>0</v>
      </c>
      <c r="X1025">
        <v>0</v>
      </c>
      <c r="Y1025">
        <v>0</v>
      </c>
      <c r="AC1025">
        <v>0</v>
      </c>
      <c r="AE1025">
        <v>0</v>
      </c>
      <c r="AF1025">
        <v>2</v>
      </c>
      <c r="AG1025">
        <v>0</v>
      </c>
      <c r="AH1025">
        <v>0</v>
      </c>
      <c r="AI1025">
        <v>0</v>
      </c>
      <c r="AM1025">
        <v>0</v>
      </c>
      <c r="AR1025" t="s">
        <v>3640</v>
      </c>
      <c r="AS1025" t="s">
        <v>1680</v>
      </c>
      <c r="AT1025">
        <v>2025</v>
      </c>
      <c r="AU1025">
        <v>7</v>
      </c>
      <c r="AV1025" t="s">
        <v>78</v>
      </c>
      <c r="AX1025" t="s">
        <v>3684</v>
      </c>
    </row>
    <row r="1026" spans="1:50">
      <c r="A1026">
        <v>45</v>
      </c>
      <c r="B1026">
        <v>33</v>
      </c>
      <c r="C1026" t="s">
        <v>74</v>
      </c>
      <c r="D1026" t="s">
        <v>1353</v>
      </c>
      <c r="E1026" t="s">
        <v>1354</v>
      </c>
      <c r="F1026">
        <v>4196</v>
      </c>
      <c r="G1026" s="23" t="s">
        <v>1547</v>
      </c>
      <c r="H1026" s="2" t="s">
        <v>3575</v>
      </c>
      <c r="I1026" s="2" t="s">
        <v>3576</v>
      </c>
      <c r="K1026" s="149">
        <v>0</v>
      </c>
      <c r="L1026" s="149">
        <v>2379650</v>
      </c>
      <c r="M1026" s="149">
        <v>452134</v>
      </c>
      <c r="N1026" s="149">
        <v>2831784</v>
      </c>
      <c r="O1026">
        <v>0</v>
      </c>
      <c r="P1026">
        <v>0</v>
      </c>
      <c r="Q1026">
        <v>0</v>
      </c>
      <c r="R1026">
        <v>0</v>
      </c>
      <c r="S1026">
        <v>0</v>
      </c>
      <c r="T1026" t="s">
        <v>77</v>
      </c>
      <c r="U1026">
        <v>0</v>
      </c>
      <c r="V1026">
        <v>0</v>
      </c>
      <c r="W1026">
        <v>0</v>
      </c>
      <c r="X1026">
        <v>0</v>
      </c>
      <c r="Y1026">
        <v>0</v>
      </c>
      <c r="AC1026">
        <v>0</v>
      </c>
      <c r="AE1026">
        <v>0</v>
      </c>
      <c r="AF1026">
        <v>2</v>
      </c>
      <c r="AG1026">
        <v>0</v>
      </c>
      <c r="AH1026">
        <v>0</v>
      </c>
      <c r="AI1026">
        <v>0</v>
      </c>
      <c r="AM1026">
        <v>0</v>
      </c>
      <c r="AR1026" t="s">
        <v>3640</v>
      </c>
      <c r="AS1026" t="s">
        <v>1680</v>
      </c>
      <c r="AT1026">
        <v>2025</v>
      </c>
      <c r="AU1026">
        <v>7</v>
      </c>
      <c r="AV1026" t="s">
        <v>78</v>
      </c>
      <c r="AX1026" t="s">
        <v>3685</v>
      </c>
    </row>
    <row r="1027" spans="1:50">
      <c r="A1027">
        <v>46</v>
      </c>
      <c r="B1027">
        <v>33</v>
      </c>
      <c r="C1027" t="s">
        <v>74</v>
      </c>
      <c r="D1027" t="s">
        <v>1571</v>
      </c>
      <c r="E1027" t="s">
        <v>1572</v>
      </c>
      <c r="F1027">
        <v>4197</v>
      </c>
      <c r="G1027" s="23" t="s">
        <v>1547</v>
      </c>
      <c r="H1027" s="2" t="s">
        <v>3577</v>
      </c>
      <c r="I1027" s="2"/>
      <c r="J1027" t="s">
        <v>3578</v>
      </c>
      <c r="K1027" s="149">
        <v>0</v>
      </c>
      <c r="L1027" s="149">
        <v>9830750</v>
      </c>
      <c r="M1027" s="149">
        <v>1867843</v>
      </c>
      <c r="N1027" s="149">
        <v>11698593</v>
      </c>
      <c r="O1027">
        <v>0</v>
      </c>
      <c r="P1027">
        <v>0</v>
      </c>
      <c r="Q1027">
        <v>0</v>
      </c>
      <c r="R1027">
        <v>0</v>
      </c>
      <c r="S1027">
        <v>0</v>
      </c>
      <c r="T1027" t="s">
        <v>77</v>
      </c>
      <c r="U1027">
        <v>0</v>
      </c>
      <c r="V1027">
        <v>0</v>
      </c>
      <c r="W1027">
        <v>0</v>
      </c>
      <c r="X1027">
        <v>0</v>
      </c>
      <c r="AC1027">
        <v>0</v>
      </c>
      <c r="AE1027">
        <v>0</v>
      </c>
      <c r="AF1027">
        <v>2</v>
      </c>
      <c r="AG1027">
        <v>0</v>
      </c>
      <c r="AH1027">
        <v>0</v>
      </c>
      <c r="AI1027">
        <v>0</v>
      </c>
      <c r="AM1027">
        <v>0</v>
      </c>
      <c r="AR1027" t="s">
        <v>3640</v>
      </c>
      <c r="AS1027" t="s">
        <v>1680</v>
      </c>
      <c r="AT1027">
        <v>2025</v>
      </c>
      <c r="AU1027">
        <v>7</v>
      </c>
      <c r="AV1027" t="s">
        <v>78</v>
      </c>
      <c r="AX1027" t="s">
        <v>3686</v>
      </c>
    </row>
    <row r="1028" spans="1:50">
      <c r="A1028">
        <v>47</v>
      </c>
      <c r="B1028">
        <v>33</v>
      </c>
      <c r="C1028" t="s">
        <v>74</v>
      </c>
      <c r="D1028" t="s">
        <v>2329</v>
      </c>
      <c r="E1028" t="s">
        <v>2330</v>
      </c>
      <c r="F1028">
        <v>4198</v>
      </c>
      <c r="G1028" s="23" t="s">
        <v>1547</v>
      </c>
      <c r="H1028" s="2" t="s">
        <v>3579</v>
      </c>
      <c r="I1028" s="2"/>
      <c r="K1028" s="149">
        <v>0</v>
      </c>
      <c r="L1028" s="149">
        <v>28000</v>
      </c>
      <c r="M1028" s="149">
        <v>5320</v>
      </c>
      <c r="N1028" s="149">
        <v>33320</v>
      </c>
      <c r="O1028">
        <v>0</v>
      </c>
      <c r="P1028">
        <v>0</v>
      </c>
      <c r="Q1028">
        <v>0</v>
      </c>
      <c r="R1028">
        <v>0</v>
      </c>
      <c r="S1028">
        <v>0</v>
      </c>
      <c r="T1028" t="s">
        <v>77</v>
      </c>
      <c r="U1028">
        <v>0</v>
      </c>
      <c r="V1028">
        <v>0</v>
      </c>
      <c r="W1028">
        <v>0</v>
      </c>
      <c r="X1028">
        <v>0</v>
      </c>
      <c r="Y1028">
        <v>0</v>
      </c>
      <c r="AC1028">
        <v>0</v>
      </c>
      <c r="AE1028">
        <v>0</v>
      </c>
      <c r="AF1028">
        <v>2</v>
      </c>
      <c r="AG1028">
        <v>0</v>
      </c>
      <c r="AH1028">
        <v>0</v>
      </c>
      <c r="AI1028">
        <v>0</v>
      </c>
      <c r="AM1028">
        <v>0</v>
      </c>
      <c r="AR1028" t="s">
        <v>3640</v>
      </c>
      <c r="AS1028" t="s">
        <v>1680</v>
      </c>
      <c r="AT1028">
        <v>2025</v>
      </c>
      <c r="AU1028">
        <v>7</v>
      </c>
      <c r="AV1028" t="s">
        <v>78</v>
      </c>
      <c r="AX1028" t="s">
        <v>3687</v>
      </c>
    </row>
    <row r="1029" spans="1:50">
      <c r="A1029">
        <v>48</v>
      </c>
      <c r="B1029">
        <v>33</v>
      </c>
      <c r="C1029" t="s">
        <v>74</v>
      </c>
      <c r="D1029" t="s">
        <v>1631</v>
      </c>
      <c r="E1029" t="s">
        <v>1632</v>
      </c>
      <c r="F1029">
        <v>4199</v>
      </c>
      <c r="G1029" s="23" t="s">
        <v>1547</v>
      </c>
      <c r="H1029" s="2" t="s">
        <v>3580</v>
      </c>
      <c r="I1029" s="2"/>
      <c r="K1029" s="149">
        <v>0</v>
      </c>
      <c r="L1029" s="149">
        <v>243220</v>
      </c>
      <c r="M1029" s="149">
        <v>46212</v>
      </c>
      <c r="N1029" s="149">
        <v>289432</v>
      </c>
      <c r="O1029">
        <v>0</v>
      </c>
      <c r="P1029">
        <v>0</v>
      </c>
      <c r="Q1029">
        <v>0</v>
      </c>
      <c r="R1029">
        <v>0</v>
      </c>
      <c r="S1029">
        <v>0</v>
      </c>
      <c r="T1029" t="s">
        <v>77</v>
      </c>
      <c r="U1029">
        <v>0</v>
      </c>
      <c r="V1029">
        <v>0</v>
      </c>
      <c r="W1029">
        <v>0</v>
      </c>
      <c r="X1029">
        <v>0</v>
      </c>
      <c r="Y1029">
        <v>0</v>
      </c>
      <c r="AC1029">
        <v>0</v>
      </c>
      <c r="AE1029">
        <v>0</v>
      </c>
      <c r="AF1029">
        <v>2</v>
      </c>
      <c r="AG1029">
        <v>0</v>
      </c>
      <c r="AH1029">
        <v>0</v>
      </c>
      <c r="AI1029">
        <v>0</v>
      </c>
      <c r="AM1029">
        <v>0</v>
      </c>
      <c r="AR1029" t="s">
        <v>3640</v>
      </c>
      <c r="AS1029" t="s">
        <v>1680</v>
      </c>
      <c r="AT1029">
        <v>2025</v>
      </c>
      <c r="AU1029">
        <v>7</v>
      </c>
      <c r="AV1029" t="s">
        <v>78</v>
      </c>
      <c r="AX1029" t="s">
        <v>3688</v>
      </c>
    </row>
    <row r="1030" spans="1:50">
      <c r="A1030">
        <v>49</v>
      </c>
      <c r="B1030">
        <v>33</v>
      </c>
      <c r="C1030" t="s">
        <v>74</v>
      </c>
      <c r="D1030" t="s">
        <v>2329</v>
      </c>
      <c r="E1030" t="s">
        <v>2330</v>
      </c>
      <c r="F1030">
        <v>4200</v>
      </c>
      <c r="G1030" s="23" t="s">
        <v>1547</v>
      </c>
      <c r="H1030" s="2" t="s">
        <v>3581</v>
      </c>
      <c r="I1030" s="2"/>
      <c r="K1030" s="149">
        <v>0</v>
      </c>
      <c r="L1030" s="149">
        <v>280000</v>
      </c>
      <c r="M1030" s="149">
        <v>53200</v>
      </c>
      <c r="N1030" s="149">
        <v>333200</v>
      </c>
      <c r="O1030">
        <v>0</v>
      </c>
      <c r="P1030">
        <v>0</v>
      </c>
      <c r="Q1030">
        <v>0</v>
      </c>
      <c r="R1030">
        <v>0</v>
      </c>
      <c r="S1030">
        <v>0</v>
      </c>
      <c r="T1030" t="s">
        <v>77</v>
      </c>
      <c r="U1030">
        <v>0</v>
      </c>
      <c r="V1030">
        <v>0</v>
      </c>
      <c r="W1030">
        <v>0</v>
      </c>
      <c r="X1030">
        <v>0</v>
      </c>
      <c r="Y1030">
        <v>0</v>
      </c>
      <c r="AC1030">
        <v>0</v>
      </c>
      <c r="AE1030">
        <v>0</v>
      </c>
      <c r="AF1030">
        <v>2</v>
      </c>
      <c r="AG1030">
        <v>0</v>
      </c>
      <c r="AH1030">
        <v>0</v>
      </c>
      <c r="AI1030">
        <v>0</v>
      </c>
      <c r="AM1030">
        <v>0</v>
      </c>
      <c r="AR1030" t="s">
        <v>3640</v>
      </c>
      <c r="AS1030" t="s">
        <v>1680</v>
      </c>
      <c r="AT1030">
        <v>2025</v>
      </c>
      <c r="AU1030">
        <v>7</v>
      </c>
      <c r="AV1030" t="s">
        <v>78</v>
      </c>
      <c r="AX1030" t="s">
        <v>3689</v>
      </c>
    </row>
    <row r="1031" spans="1:50">
      <c r="A1031">
        <v>50</v>
      </c>
      <c r="B1031">
        <v>33</v>
      </c>
      <c r="C1031" t="s">
        <v>74</v>
      </c>
      <c r="D1031" t="s">
        <v>1555</v>
      </c>
      <c r="E1031" t="s">
        <v>1556</v>
      </c>
      <c r="F1031">
        <v>4201</v>
      </c>
      <c r="G1031" s="23" t="s">
        <v>3827</v>
      </c>
      <c r="H1031" s="2" t="s">
        <v>3582</v>
      </c>
      <c r="I1031" s="2" t="s">
        <v>3583</v>
      </c>
      <c r="K1031" s="149">
        <v>0</v>
      </c>
      <c r="L1031" s="149">
        <v>3170780</v>
      </c>
      <c r="M1031" s="149">
        <v>602448</v>
      </c>
      <c r="N1031" s="149">
        <v>3773228</v>
      </c>
      <c r="O1031">
        <v>0</v>
      </c>
      <c r="P1031">
        <v>0</v>
      </c>
      <c r="Q1031">
        <v>0</v>
      </c>
      <c r="R1031">
        <v>0</v>
      </c>
      <c r="S1031">
        <v>0</v>
      </c>
      <c r="T1031" t="s">
        <v>77</v>
      </c>
      <c r="U1031">
        <v>0</v>
      </c>
      <c r="V1031">
        <v>0</v>
      </c>
      <c r="W1031">
        <v>0</v>
      </c>
      <c r="X1031">
        <v>0</v>
      </c>
      <c r="AC1031">
        <v>0</v>
      </c>
      <c r="AE1031">
        <v>0</v>
      </c>
      <c r="AF1031">
        <v>2</v>
      </c>
      <c r="AG1031">
        <v>0</v>
      </c>
      <c r="AH1031">
        <v>0</v>
      </c>
      <c r="AI1031">
        <v>0</v>
      </c>
      <c r="AM1031">
        <v>0</v>
      </c>
      <c r="AR1031" t="s">
        <v>3640</v>
      </c>
      <c r="AS1031" t="s">
        <v>1680</v>
      </c>
      <c r="AT1031">
        <v>2025</v>
      </c>
      <c r="AU1031">
        <v>7</v>
      </c>
      <c r="AV1031" t="s">
        <v>78</v>
      </c>
      <c r="AX1031" t="s">
        <v>3690</v>
      </c>
    </row>
    <row r="1032" spans="1:50">
      <c r="A1032">
        <v>51</v>
      </c>
      <c r="B1032">
        <v>33</v>
      </c>
      <c r="C1032" t="s">
        <v>74</v>
      </c>
      <c r="D1032" t="s">
        <v>1222</v>
      </c>
      <c r="E1032" t="s">
        <v>1223</v>
      </c>
      <c r="F1032">
        <v>4202</v>
      </c>
      <c r="G1032" s="23" t="s">
        <v>3827</v>
      </c>
      <c r="H1032" s="2" t="s">
        <v>3584</v>
      </c>
      <c r="I1032" s="2" t="s">
        <v>3585</v>
      </c>
      <c r="K1032" s="149">
        <v>0</v>
      </c>
      <c r="L1032" s="149">
        <v>7512440</v>
      </c>
      <c r="M1032" s="149">
        <v>1427364</v>
      </c>
      <c r="N1032" s="149">
        <v>8939804</v>
      </c>
      <c r="O1032">
        <v>0</v>
      </c>
      <c r="P1032">
        <v>0</v>
      </c>
      <c r="Q1032">
        <v>0</v>
      </c>
      <c r="R1032">
        <v>0</v>
      </c>
      <c r="S1032">
        <v>0</v>
      </c>
      <c r="T1032" t="s">
        <v>77</v>
      </c>
      <c r="U1032">
        <v>0</v>
      </c>
      <c r="V1032">
        <v>0</v>
      </c>
      <c r="W1032">
        <v>0</v>
      </c>
      <c r="X1032">
        <v>0</v>
      </c>
      <c r="AC1032">
        <v>0</v>
      </c>
      <c r="AE1032">
        <v>0</v>
      </c>
      <c r="AF1032">
        <v>2</v>
      </c>
      <c r="AG1032">
        <v>0</v>
      </c>
      <c r="AH1032">
        <v>0</v>
      </c>
      <c r="AI1032">
        <v>0</v>
      </c>
      <c r="AM1032">
        <v>0</v>
      </c>
      <c r="AR1032" t="s">
        <v>3640</v>
      </c>
      <c r="AS1032" t="s">
        <v>1680</v>
      </c>
      <c r="AT1032">
        <v>2025</v>
      </c>
      <c r="AU1032">
        <v>7</v>
      </c>
      <c r="AV1032" t="s">
        <v>78</v>
      </c>
      <c r="AX1032" t="s">
        <v>3691</v>
      </c>
    </row>
    <row r="1033" spans="1:50">
      <c r="A1033">
        <v>52</v>
      </c>
      <c r="B1033">
        <v>33</v>
      </c>
      <c r="C1033" t="s">
        <v>74</v>
      </c>
      <c r="D1033" t="s">
        <v>1222</v>
      </c>
      <c r="E1033" t="s">
        <v>1223</v>
      </c>
      <c r="F1033">
        <v>4203</v>
      </c>
      <c r="G1033" s="23" t="s">
        <v>3827</v>
      </c>
      <c r="H1033" s="2" t="s">
        <v>3586</v>
      </c>
      <c r="I1033" s="2" t="s">
        <v>3587</v>
      </c>
      <c r="K1033" s="149">
        <v>0</v>
      </c>
      <c r="L1033" s="149">
        <v>5643160</v>
      </c>
      <c r="M1033" s="149">
        <v>1072201</v>
      </c>
      <c r="N1033" s="149">
        <v>6715361</v>
      </c>
      <c r="O1033">
        <v>0</v>
      </c>
      <c r="P1033">
        <v>0</v>
      </c>
      <c r="Q1033">
        <v>0</v>
      </c>
      <c r="R1033">
        <v>0</v>
      </c>
      <c r="S1033">
        <v>0</v>
      </c>
      <c r="T1033" t="s">
        <v>77</v>
      </c>
      <c r="U1033">
        <v>0</v>
      </c>
      <c r="V1033">
        <v>0</v>
      </c>
      <c r="W1033">
        <v>0</v>
      </c>
      <c r="X1033">
        <v>0</v>
      </c>
      <c r="AC1033">
        <v>0</v>
      </c>
      <c r="AE1033">
        <v>0</v>
      </c>
      <c r="AF1033">
        <v>2</v>
      </c>
      <c r="AG1033">
        <v>0</v>
      </c>
      <c r="AH1033">
        <v>0</v>
      </c>
      <c r="AI1033">
        <v>0</v>
      </c>
      <c r="AM1033">
        <v>0</v>
      </c>
      <c r="AR1033" t="s">
        <v>3640</v>
      </c>
      <c r="AS1033" t="s">
        <v>1680</v>
      </c>
      <c r="AT1033">
        <v>2025</v>
      </c>
      <c r="AU1033">
        <v>7</v>
      </c>
      <c r="AV1033" t="s">
        <v>78</v>
      </c>
      <c r="AX1033" t="s">
        <v>3692</v>
      </c>
    </row>
    <row r="1034" spans="1:50">
      <c r="A1034">
        <v>53</v>
      </c>
      <c r="B1034">
        <v>33</v>
      </c>
      <c r="C1034" t="s">
        <v>74</v>
      </c>
      <c r="D1034" t="s">
        <v>1680</v>
      </c>
      <c r="E1034" t="s">
        <v>3139</v>
      </c>
      <c r="F1034">
        <v>4204</v>
      </c>
      <c r="G1034" s="23" t="s">
        <v>3827</v>
      </c>
      <c r="H1034" s="2" t="s">
        <v>3588</v>
      </c>
      <c r="I1034" s="2"/>
      <c r="K1034" s="149">
        <v>0</v>
      </c>
      <c r="L1034" s="149">
        <v>45000</v>
      </c>
      <c r="M1034" s="149">
        <v>8550</v>
      </c>
      <c r="N1034" s="149">
        <v>53550</v>
      </c>
      <c r="O1034">
        <v>0</v>
      </c>
      <c r="P1034">
        <v>0</v>
      </c>
      <c r="Q1034">
        <v>0</v>
      </c>
      <c r="R1034">
        <v>0</v>
      </c>
      <c r="S1034">
        <v>0</v>
      </c>
      <c r="T1034" t="s">
        <v>77</v>
      </c>
      <c r="U1034">
        <v>0</v>
      </c>
      <c r="V1034">
        <v>0</v>
      </c>
      <c r="W1034">
        <v>0</v>
      </c>
      <c r="X1034">
        <v>0</v>
      </c>
      <c r="Y1034">
        <v>0</v>
      </c>
      <c r="AC1034">
        <v>0</v>
      </c>
      <c r="AE1034">
        <v>0</v>
      </c>
      <c r="AF1034">
        <v>2</v>
      </c>
      <c r="AG1034">
        <v>0</v>
      </c>
      <c r="AH1034">
        <v>0</v>
      </c>
      <c r="AI1034">
        <v>0</v>
      </c>
      <c r="AM1034">
        <v>0</v>
      </c>
      <c r="AR1034" t="s">
        <v>3640</v>
      </c>
      <c r="AS1034" t="s">
        <v>1680</v>
      </c>
      <c r="AT1034">
        <v>2025</v>
      </c>
      <c r="AU1034">
        <v>7</v>
      </c>
      <c r="AV1034" t="s">
        <v>78</v>
      </c>
      <c r="AX1034" t="s">
        <v>3693</v>
      </c>
    </row>
    <row r="1035" spans="1:50">
      <c r="A1035">
        <v>54</v>
      </c>
      <c r="B1035">
        <v>33</v>
      </c>
      <c r="C1035" t="s">
        <v>74</v>
      </c>
      <c r="D1035" t="s">
        <v>1579</v>
      </c>
      <c r="E1035" t="s">
        <v>1580</v>
      </c>
      <c r="F1035">
        <v>4205</v>
      </c>
      <c r="G1035" s="23" t="s">
        <v>3828</v>
      </c>
      <c r="H1035" s="2" t="s">
        <v>3589</v>
      </c>
      <c r="I1035" s="2" t="s">
        <v>3590</v>
      </c>
      <c r="K1035" s="149">
        <v>0</v>
      </c>
      <c r="L1035" s="149">
        <v>16177700</v>
      </c>
      <c r="M1035" s="149">
        <v>3073763</v>
      </c>
      <c r="N1035" s="149">
        <v>19251463</v>
      </c>
      <c r="O1035">
        <v>0</v>
      </c>
      <c r="P1035">
        <v>0</v>
      </c>
      <c r="Q1035">
        <v>0</v>
      </c>
      <c r="R1035">
        <v>0</v>
      </c>
      <c r="S1035">
        <v>0</v>
      </c>
      <c r="T1035" t="s">
        <v>77</v>
      </c>
      <c r="U1035">
        <v>0</v>
      </c>
      <c r="V1035">
        <v>0</v>
      </c>
      <c r="W1035">
        <v>0</v>
      </c>
      <c r="X1035">
        <v>0</v>
      </c>
      <c r="AC1035">
        <v>0</v>
      </c>
      <c r="AE1035">
        <v>0</v>
      </c>
      <c r="AF1035">
        <v>2</v>
      </c>
      <c r="AG1035">
        <v>0</v>
      </c>
      <c r="AH1035">
        <v>0</v>
      </c>
      <c r="AI1035">
        <v>0</v>
      </c>
      <c r="AM1035">
        <v>0</v>
      </c>
      <c r="AR1035" t="s">
        <v>3640</v>
      </c>
      <c r="AS1035" t="s">
        <v>1680</v>
      </c>
      <c r="AT1035">
        <v>2025</v>
      </c>
      <c r="AU1035">
        <v>7</v>
      </c>
      <c r="AV1035" t="s">
        <v>78</v>
      </c>
      <c r="AX1035" t="s">
        <v>3694</v>
      </c>
    </row>
    <row r="1036" spans="1:50">
      <c r="A1036">
        <v>55</v>
      </c>
      <c r="B1036">
        <v>33</v>
      </c>
      <c r="C1036" t="s">
        <v>74</v>
      </c>
      <c r="D1036" t="s">
        <v>1680</v>
      </c>
      <c r="E1036" t="s">
        <v>3139</v>
      </c>
      <c r="F1036">
        <v>4206</v>
      </c>
      <c r="G1036" s="23" t="s">
        <v>1548</v>
      </c>
      <c r="H1036" s="2" t="s">
        <v>3591</v>
      </c>
      <c r="I1036" s="2"/>
      <c r="K1036" s="149">
        <v>0</v>
      </c>
      <c r="L1036" s="149">
        <v>18020</v>
      </c>
      <c r="M1036" s="149">
        <v>3424</v>
      </c>
      <c r="N1036" s="149">
        <v>21444</v>
      </c>
      <c r="O1036">
        <v>0</v>
      </c>
      <c r="P1036">
        <v>0</v>
      </c>
      <c r="Q1036">
        <v>0</v>
      </c>
      <c r="R1036">
        <v>0</v>
      </c>
      <c r="S1036">
        <v>0</v>
      </c>
      <c r="T1036" t="s">
        <v>77</v>
      </c>
      <c r="U1036">
        <v>0</v>
      </c>
      <c r="V1036">
        <v>0</v>
      </c>
      <c r="W1036">
        <v>0</v>
      </c>
      <c r="X1036">
        <v>0</v>
      </c>
      <c r="Y1036">
        <v>0</v>
      </c>
      <c r="AC1036">
        <v>0</v>
      </c>
      <c r="AE1036">
        <v>0</v>
      </c>
      <c r="AF1036">
        <v>2</v>
      </c>
      <c r="AG1036">
        <v>0</v>
      </c>
      <c r="AH1036">
        <v>0</v>
      </c>
      <c r="AI1036">
        <v>0</v>
      </c>
      <c r="AM1036">
        <v>0</v>
      </c>
      <c r="AR1036" t="s">
        <v>3640</v>
      </c>
      <c r="AS1036" t="s">
        <v>1680</v>
      </c>
      <c r="AT1036">
        <v>2025</v>
      </c>
      <c r="AU1036">
        <v>7</v>
      </c>
      <c r="AV1036" t="s">
        <v>78</v>
      </c>
      <c r="AX1036" t="s">
        <v>3695</v>
      </c>
    </row>
    <row r="1037" spans="1:50">
      <c r="A1037">
        <v>56</v>
      </c>
      <c r="B1037">
        <v>33</v>
      </c>
      <c r="C1037" t="s">
        <v>74</v>
      </c>
      <c r="D1037" t="s">
        <v>1571</v>
      </c>
      <c r="E1037" t="s">
        <v>1572</v>
      </c>
      <c r="F1037">
        <v>4207</v>
      </c>
      <c r="G1037" s="23" t="s">
        <v>3829</v>
      </c>
      <c r="H1037" s="2" t="s">
        <v>3592</v>
      </c>
      <c r="I1037" s="2"/>
      <c r="J1037" s="2">
        <v>45665.335370370369</v>
      </c>
      <c r="K1037" s="149">
        <v>0</v>
      </c>
      <c r="L1037" s="149">
        <v>7704688</v>
      </c>
      <c r="M1037" s="149">
        <v>1463892</v>
      </c>
      <c r="N1037" s="149">
        <v>9168580</v>
      </c>
      <c r="O1037">
        <v>0</v>
      </c>
      <c r="P1037">
        <v>0</v>
      </c>
      <c r="Q1037">
        <v>0</v>
      </c>
      <c r="R1037">
        <v>0</v>
      </c>
      <c r="S1037">
        <v>0</v>
      </c>
      <c r="T1037" t="s">
        <v>77</v>
      </c>
      <c r="U1037">
        <v>0</v>
      </c>
      <c r="V1037">
        <v>0</v>
      </c>
      <c r="W1037">
        <v>0</v>
      </c>
      <c r="X1037">
        <v>0</v>
      </c>
      <c r="AC1037">
        <v>0</v>
      </c>
      <c r="AE1037">
        <v>0</v>
      </c>
      <c r="AF1037">
        <v>2</v>
      </c>
      <c r="AG1037">
        <v>0</v>
      </c>
      <c r="AH1037">
        <v>0</v>
      </c>
      <c r="AI1037">
        <v>0</v>
      </c>
      <c r="AM1037">
        <v>0</v>
      </c>
      <c r="AR1037" t="s">
        <v>3640</v>
      </c>
      <c r="AS1037" t="s">
        <v>1680</v>
      </c>
      <c r="AT1037">
        <v>2025</v>
      </c>
      <c r="AU1037">
        <v>7</v>
      </c>
      <c r="AV1037" t="s">
        <v>78</v>
      </c>
      <c r="AX1037" t="s">
        <v>3696</v>
      </c>
    </row>
    <row r="1038" spans="1:50">
      <c r="A1038">
        <v>57</v>
      </c>
      <c r="B1038">
        <v>33</v>
      </c>
      <c r="C1038" t="s">
        <v>74</v>
      </c>
      <c r="D1038" t="s">
        <v>2329</v>
      </c>
      <c r="E1038" t="s">
        <v>2330</v>
      </c>
      <c r="F1038">
        <v>4208</v>
      </c>
      <c r="G1038" s="23" t="s">
        <v>3828</v>
      </c>
      <c r="H1038" s="2" t="s">
        <v>3593</v>
      </c>
      <c r="I1038" s="2" t="s">
        <v>3594</v>
      </c>
      <c r="K1038" s="149">
        <v>0</v>
      </c>
      <c r="L1038" s="149">
        <v>280000</v>
      </c>
      <c r="M1038" s="149">
        <v>53200</v>
      </c>
      <c r="N1038" s="149">
        <v>333200</v>
      </c>
      <c r="O1038">
        <v>0</v>
      </c>
      <c r="P1038">
        <v>0</v>
      </c>
      <c r="Q1038">
        <v>0</v>
      </c>
      <c r="R1038">
        <v>0</v>
      </c>
      <c r="S1038">
        <v>0</v>
      </c>
      <c r="T1038" t="s">
        <v>77</v>
      </c>
      <c r="U1038">
        <v>0</v>
      </c>
      <c r="V1038">
        <v>0</v>
      </c>
      <c r="W1038">
        <v>0</v>
      </c>
      <c r="X1038">
        <v>0</v>
      </c>
      <c r="Y1038">
        <v>0</v>
      </c>
      <c r="AC1038">
        <v>0</v>
      </c>
      <c r="AE1038">
        <v>0</v>
      </c>
      <c r="AF1038">
        <v>2</v>
      </c>
      <c r="AG1038">
        <v>0</v>
      </c>
      <c r="AH1038">
        <v>0</v>
      </c>
      <c r="AI1038">
        <v>0</v>
      </c>
      <c r="AM1038">
        <v>0</v>
      </c>
      <c r="AR1038" t="s">
        <v>3640</v>
      </c>
      <c r="AS1038" t="s">
        <v>1680</v>
      </c>
      <c r="AT1038">
        <v>2025</v>
      </c>
      <c r="AU1038">
        <v>7</v>
      </c>
      <c r="AV1038" t="s">
        <v>78</v>
      </c>
      <c r="AX1038" t="s">
        <v>3697</v>
      </c>
    </row>
    <row r="1039" spans="1:50">
      <c r="A1039">
        <v>58</v>
      </c>
      <c r="B1039">
        <v>33</v>
      </c>
      <c r="C1039" t="s">
        <v>74</v>
      </c>
      <c r="D1039" t="s">
        <v>3419</v>
      </c>
      <c r="E1039" t="s">
        <v>3420</v>
      </c>
      <c r="F1039">
        <v>4209</v>
      </c>
      <c r="G1039" s="23" t="s">
        <v>3828</v>
      </c>
      <c r="H1039" s="2" t="s">
        <v>3595</v>
      </c>
      <c r="I1039" s="2" t="s">
        <v>3596</v>
      </c>
      <c r="K1039" s="149">
        <v>0</v>
      </c>
      <c r="L1039" s="149">
        <v>664354</v>
      </c>
      <c r="M1039" s="149">
        <v>126227</v>
      </c>
      <c r="N1039" s="149">
        <v>790581</v>
      </c>
      <c r="O1039">
        <v>0</v>
      </c>
      <c r="P1039">
        <v>0</v>
      </c>
      <c r="Q1039">
        <v>0</v>
      </c>
      <c r="R1039">
        <v>0</v>
      </c>
      <c r="S1039">
        <v>0</v>
      </c>
      <c r="T1039" t="s">
        <v>77</v>
      </c>
      <c r="U1039">
        <v>0</v>
      </c>
      <c r="V1039">
        <v>0</v>
      </c>
      <c r="W1039">
        <v>0</v>
      </c>
      <c r="X1039">
        <v>0</v>
      </c>
      <c r="Y1039">
        <v>0</v>
      </c>
      <c r="AC1039">
        <v>0</v>
      </c>
      <c r="AE1039">
        <v>0</v>
      </c>
      <c r="AF1039">
        <v>2</v>
      </c>
      <c r="AG1039">
        <v>0</v>
      </c>
      <c r="AH1039">
        <v>0</v>
      </c>
      <c r="AI1039">
        <v>0</v>
      </c>
      <c r="AM1039">
        <v>0</v>
      </c>
      <c r="AR1039" t="s">
        <v>3640</v>
      </c>
      <c r="AS1039" t="s">
        <v>1680</v>
      </c>
      <c r="AT1039">
        <v>2025</v>
      </c>
      <c r="AU1039">
        <v>7</v>
      </c>
      <c r="AV1039" t="s">
        <v>78</v>
      </c>
      <c r="AX1039" t="s">
        <v>3698</v>
      </c>
    </row>
    <row r="1040" spans="1:50">
      <c r="A1040">
        <v>59</v>
      </c>
      <c r="B1040">
        <v>33</v>
      </c>
      <c r="C1040" t="s">
        <v>74</v>
      </c>
      <c r="D1040" t="s">
        <v>1353</v>
      </c>
      <c r="E1040" t="s">
        <v>1354</v>
      </c>
      <c r="F1040">
        <v>4210</v>
      </c>
      <c r="G1040" s="23" t="s">
        <v>3828</v>
      </c>
      <c r="H1040" s="2" t="s">
        <v>3597</v>
      </c>
      <c r="I1040" s="2" t="s">
        <v>3598</v>
      </c>
      <c r="K1040" s="149">
        <v>0</v>
      </c>
      <c r="L1040" s="149">
        <v>3751820</v>
      </c>
      <c r="M1040" s="149">
        <v>712847</v>
      </c>
      <c r="N1040" s="149">
        <v>4464667</v>
      </c>
      <c r="O1040">
        <v>0</v>
      </c>
      <c r="P1040">
        <v>0</v>
      </c>
      <c r="Q1040">
        <v>0</v>
      </c>
      <c r="R1040">
        <v>0</v>
      </c>
      <c r="S1040">
        <v>0</v>
      </c>
      <c r="T1040" t="s">
        <v>77</v>
      </c>
      <c r="U1040">
        <v>0</v>
      </c>
      <c r="V1040">
        <v>0</v>
      </c>
      <c r="W1040">
        <v>0</v>
      </c>
      <c r="X1040">
        <v>0</v>
      </c>
      <c r="Y1040">
        <v>0</v>
      </c>
      <c r="AC1040">
        <v>0</v>
      </c>
      <c r="AE1040">
        <v>0</v>
      </c>
      <c r="AF1040">
        <v>2</v>
      </c>
      <c r="AG1040">
        <v>0</v>
      </c>
      <c r="AH1040">
        <v>0</v>
      </c>
      <c r="AI1040">
        <v>0</v>
      </c>
      <c r="AM1040">
        <v>0</v>
      </c>
      <c r="AR1040" t="s">
        <v>3640</v>
      </c>
      <c r="AS1040" t="s">
        <v>1680</v>
      </c>
      <c r="AT1040">
        <v>2025</v>
      </c>
      <c r="AU1040">
        <v>7</v>
      </c>
      <c r="AV1040" t="s">
        <v>78</v>
      </c>
      <c r="AX1040" t="s">
        <v>3699</v>
      </c>
    </row>
    <row r="1041" spans="1:50">
      <c r="A1041">
        <v>60</v>
      </c>
      <c r="B1041">
        <v>33</v>
      </c>
      <c r="C1041" t="s">
        <v>74</v>
      </c>
      <c r="D1041" t="s">
        <v>1571</v>
      </c>
      <c r="E1041" t="s">
        <v>1572</v>
      </c>
      <c r="F1041">
        <v>4211</v>
      </c>
      <c r="G1041" s="23" t="s">
        <v>1548</v>
      </c>
      <c r="H1041" s="2" t="s">
        <v>3599</v>
      </c>
      <c r="I1041" s="2"/>
      <c r="J1041" t="s">
        <v>3600</v>
      </c>
      <c r="K1041" s="149">
        <v>0</v>
      </c>
      <c r="L1041" s="149">
        <v>20493535</v>
      </c>
      <c r="M1041" s="149">
        <v>3893772</v>
      </c>
      <c r="N1041" s="149">
        <v>24387307</v>
      </c>
      <c r="O1041">
        <v>0</v>
      </c>
      <c r="P1041">
        <v>0</v>
      </c>
      <c r="Q1041">
        <v>0</v>
      </c>
      <c r="R1041">
        <v>0</v>
      </c>
      <c r="S1041">
        <v>0</v>
      </c>
      <c r="T1041" t="s">
        <v>77</v>
      </c>
      <c r="U1041">
        <v>0</v>
      </c>
      <c r="V1041">
        <v>0</v>
      </c>
      <c r="W1041">
        <v>0</v>
      </c>
      <c r="X1041">
        <v>0</v>
      </c>
      <c r="AC1041">
        <v>0</v>
      </c>
      <c r="AE1041">
        <v>0</v>
      </c>
      <c r="AF1041">
        <v>2</v>
      </c>
      <c r="AG1041">
        <v>0</v>
      </c>
      <c r="AH1041">
        <v>0</v>
      </c>
      <c r="AI1041">
        <v>0</v>
      </c>
      <c r="AM1041">
        <v>0</v>
      </c>
      <c r="AR1041" t="s">
        <v>3640</v>
      </c>
      <c r="AS1041" t="s">
        <v>1680</v>
      </c>
      <c r="AT1041">
        <v>2025</v>
      </c>
      <c r="AU1041">
        <v>7</v>
      </c>
      <c r="AV1041" t="s">
        <v>78</v>
      </c>
      <c r="AX1041" t="s">
        <v>3700</v>
      </c>
    </row>
    <row r="1042" spans="1:50">
      <c r="A1042">
        <v>61</v>
      </c>
      <c r="B1042">
        <v>33</v>
      </c>
      <c r="C1042" t="s">
        <v>74</v>
      </c>
      <c r="D1042" t="s">
        <v>1573</v>
      </c>
      <c r="E1042" t="s">
        <v>1574</v>
      </c>
      <c r="F1042">
        <v>4212</v>
      </c>
      <c r="G1042" s="23" t="s">
        <v>3829</v>
      </c>
      <c r="H1042" s="2" t="s">
        <v>3601</v>
      </c>
      <c r="I1042" s="2" t="s">
        <v>3602</v>
      </c>
      <c r="K1042" s="149">
        <v>0</v>
      </c>
      <c r="L1042" s="149">
        <v>234752</v>
      </c>
      <c r="M1042" s="149">
        <v>44603</v>
      </c>
      <c r="N1042" s="149">
        <v>279355</v>
      </c>
      <c r="O1042">
        <v>0</v>
      </c>
      <c r="P1042">
        <v>0</v>
      </c>
      <c r="Q1042">
        <v>0</v>
      </c>
      <c r="R1042">
        <v>0</v>
      </c>
      <c r="S1042">
        <v>0</v>
      </c>
      <c r="T1042" t="s">
        <v>77</v>
      </c>
      <c r="U1042">
        <v>0</v>
      </c>
      <c r="V1042">
        <v>0</v>
      </c>
      <c r="W1042">
        <v>0</v>
      </c>
      <c r="X1042">
        <v>0</v>
      </c>
      <c r="Y1042">
        <v>0</v>
      </c>
      <c r="AC1042">
        <v>0</v>
      </c>
      <c r="AE1042">
        <v>0</v>
      </c>
      <c r="AF1042">
        <v>2</v>
      </c>
      <c r="AG1042">
        <v>0</v>
      </c>
      <c r="AH1042">
        <v>0</v>
      </c>
      <c r="AI1042">
        <v>0</v>
      </c>
      <c r="AM1042">
        <v>0</v>
      </c>
      <c r="AR1042" t="s">
        <v>3640</v>
      </c>
      <c r="AS1042" t="s">
        <v>1680</v>
      </c>
      <c r="AT1042">
        <v>2025</v>
      </c>
      <c r="AU1042">
        <v>7</v>
      </c>
      <c r="AV1042" t="s">
        <v>78</v>
      </c>
      <c r="AX1042" t="s">
        <v>3701</v>
      </c>
    </row>
    <row r="1043" spans="1:50">
      <c r="A1043">
        <v>62</v>
      </c>
      <c r="B1043">
        <v>33</v>
      </c>
      <c r="C1043" t="s">
        <v>74</v>
      </c>
      <c r="D1043" t="s">
        <v>3211</v>
      </c>
      <c r="E1043" t="s">
        <v>3212</v>
      </c>
      <c r="F1043">
        <v>4213</v>
      </c>
      <c r="G1043" s="23" t="s">
        <v>3828</v>
      </c>
      <c r="H1043" s="2" t="s">
        <v>3603</v>
      </c>
      <c r="I1043" s="2" t="s">
        <v>3604</v>
      </c>
      <c r="K1043" s="149">
        <v>0</v>
      </c>
      <c r="L1043" s="149">
        <v>943800</v>
      </c>
      <c r="M1043" s="149">
        <v>179322</v>
      </c>
      <c r="N1043" s="149">
        <v>1123122</v>
      </c>
      <c r="O1043">
        <v>0</v>
      </c>
      <c r="P1043">
        <v>0</v>
      </c>
      <c r="Q1043">
        <v>0</v>
      </c>
      <c r="R1043">
        <v>0</v>
      </c>
      <c r="S1043">
        <v>0</v>
      </c>
      <c r="T1043" t="s">
        <v>77</v>
      </c>
      <c r="U1043">
        <v>0</v>
      </c>
      <c r="V1043">
        <v>0</v>
      </c>
      <c r="W1043">
        <v>0</v>
      </c>
      <c r="X1043">
        <v>0</v>
      </c>
      <c r="Y1043">
        <v>0</v>
      </c>
      <c r="AC1043">
        <v>0</v>
      </c>
      <c r="AE1043">
        <v>0</v>
      </c>
      <c r="AF1043">
        <v>2</v>
      </c>
      <c r="AG1043">
        <v>0</v>
      </c>
      <c r="AH1043">
        <v>0</v>
      </c>
      <c r="AI1043">
        <v>0</v>
      </c>
      <c r="AM1043">
        <v>0</v>
      </c>
      <c r="AR1043" t="s">
        <v>3640</v>
      </c>
      <c r="AS1043" t="s">
        <v>1680</v>
      </c>
      <c r="AT1043">
        <v>2025</v>
      </c>
      <c r="AU1043">
        <v>7</v>
      </c>
      <c r="AV1043" t="s">
        <v>78</v>
      </c>
      <c r="AX1043" t="s">
        <v>3702</v>
      </c>
    </row>
    <row r="1044" spans="1:50">
      <c r="A1044">
        <v>63</v>
      </c>
      <c r="B1044">
        <v>33</v>
      </c>
      <c r="C1044" t="s">
        <v>74</v>
      </c>
      <c r="D1044" t="s">
        <v>1571</v>
      </c>
      <c r="E1044" t="s">
        <v>1572</v>
      </c>
      <c r="F1044">
        <v>4214</v>
      </c>
      <c r="G1044" s="23" t="s">
        <v>3828</v>
      </c>
      <c r="H1044" s="2" t="s">
        <v>3605</v>
      </c>
      <c r="I1044" t="s">
        <v>3606</v>
      </c>
      <c r="K1044" s="149">
        <v>0</v>
      </c>
      <c r="L1044" s="149">
        <v>9485432</v>
      </c>
      <c r="M1044" s="149">
        <v>1802232</v>
      </c>
      <c r="N1044" s="149">
        <v>11287664</v>
      </c>
      <c r="O1044">
        <v>0</v>
      </c>
      <c r="P1044">
        <v>0</v>
      </c>
      <c r="Q1044">
        <v>0</v>
      </c>
      <c r="R1044">
        <v>0</v>
      </c>
      <c r="S1044">
        <v>0</v>
      </c>
      <c r="T1044" t="s">
        <v>77</v>
      </c>
      <c r="U1044">
        <v>0</v>
      </c>
      <c r="V1044">
        <v>0</v>
      </c>
      <c r="W1044">
        <v>0</v>
      </c>
      <c r="X1044">
        <v>0</v>
      </c>
      <c r="AC1044">
        <v>0</v>
      </c>
      <c r="AE1044">
        <v>0</v>
      </c>
      <c r="AF1044">
        <v>2</v>
      </c>
      <c r="AG1044">
        <v>0</v>
      </c>
      <c r="AH1044">
        <v>0</v>
      </c>
      <c r="AI1044">
        <v>0</v>
      </c>
      <c r="AM1044">
        <v>0</v>
      </c>
      <c r="AR1044" t="s">
        <v>3640</v>
      </c>
      <c r="AS1044" t="s">
        <v>1680</v>
      </c>
      <c r="AT1044">
        <v>2025</v>
      </c>
      <c r="AU1044">
        <v>7</v>
      </c>
      <c r="AV1044" t="s">
        <v>78</v>
      </c>
      <c r="AX1044" t="s">
        <v>3703</v>
      </c>
    </row>
    <row r="1045" spans="1:50">
      <c r="A1045">
        <v>64</v>
      </c>
      <c r="B1045">
        <v>33</v>
      </c>
      <c r="C1045" t="s">
        <v>74</v>
      </c>
      <c r="D1045" t="s">
        <v>1579</v>
      </c>
      <c r="E1045" t="s">
        <v>1580</v>
      </c>
      <c r="F1045">
        <v>4215</v>
      </c>
      <c r="G1045" s="23" t="s">
        <v>3830</v>
      </c>
      <c r="H1045" s="2" t="s">
        <v>3607</v>
      </c>
      <c r="I1045" t="s">
        <v>3608</v>
      </c>
      <c r="K1045" s="149">
        <v>0</v>
      </c>
      <c r="L1045" s="149">
        <v>16177700</v>
      </c>
      <c r="M1045" s="149">
        <v>3073763</v>
      </c>
      <c r="N1045" s="149">
        <v>19251463</v>
      </c>
      <c r="O1045">
        <v>0</v>
      </c>
      <c r="P1045">
        <v>0</v>
      </c>
      <c r="Q1045">
        <v>0</v>
      </c>
      <c r="R1045">
        <v>0</v>
      </c>
      <c r="S1045">
        <v>0</v>
      </c>
      <c r="T1045" t="s">
        <v>77</v>
      </c>
      <c r="U1045">
        <v>0</v>
      </c>
      <c r="V1045">
        <v>0</v>
      </c>
      <c r="W1045">
        <v>0</v>
      </c>
      <c r="X1045">
        <v>0</v>
      </c>
      <c r="AC1045">
        <v>0</v>
      </c>
      <c r="AE1045">
        <v>0</v>
      </c>
      <c r="AF1045">
        <v>2</v>
      </c>
      <c r="AG1045">
        <v>0</v>
      </c>
      <c r="AH1045">
        <v>0</v>
      </c>
      <c r="AI1045">
        <v>0</v>
      </c>
      <c r="AM1045">
        <v>0</v>
      </c>
      <c r="AR1045" t="s">
        <v>3640</v>
      </c>
      <c r="AS1045" t="s">
        <v>1680</v>
      </c>
      <c r="AT1045">
        <v>2025</v>
      </c>
      <c r="AU1045">
        <v>7</v>
      </c>
      <c r="AV1045" t="s">
        <v>78</v>
      </c>
      <c r="AX1045" t="s">
        <v>3704</v>
      </c>
    </row>
    <row r="1046" spans="1:50">
      <c r="A1046">
        <v>65</v>
      </c>
      <c r="B1046">
        <v>33</v>
      </c>
      <c r="C1046" t="s">
        <v>74</v>
      </c>
      <c r="D1046" t="s">
        <v>1631</v>
      </c>
      <c r="E1046" t="s">
        <v>1632</v>
      </c>
      <c r="F1046">
        <v>4216</v>
      </c>
      <c r="G1046" s="23" t="s">
        <v>3831</v>
      </c>
      <c r="H1046" s="2" t="s">
        <v>3609</v>
      </c>
      <c r="I1046" s="2"/>
      <c r="K1046" s="149">
        <v>0</v>
      </c>
      <c r="L1046" s="149">
        <v>261360</v>
      </c>
      <c r="M1046" s="149">
        <v>49658</v>
      </c>
      <c r="N1046" s="149">
        <v>311018</v>
      </c>
      <c r="O1046">
        <v>0</v>
      </c>
      <c r="P1046">
        <v>0</v>
      </c>
      <c r="Q1046">
        <v>0</v>
      </c>
      <c r="R1046">
        <v>0</v>
      </c>
      <c r="S1046">
        <v>0</v>
      </c>
      <c r="T1046" t="s">
        <v>77</v>
      </c>
      <c r="U1046">
        <v>0</v>
      </c>
      <c r="V1046">
        <v>0</v>
      </c>
      <c r="W1046">
        <v>0</v>
      </c>
      <c r="X1046">
        <v>0</v>
      </c>
      <c r="Y1046">
        <v>0</v>
      </c>
      <c r="AC1046">
        <v>0</v>
      </c>
      <c r="AE1046">
        <v>0</v>
      </c>
      <c r="AF1046">
        <v>2</v>
      </c>
      <c r="AG1046">
        <v>0</v>
      </c>
      <c r="AH1046">
        <v>0</v>
      </c>
      <c r="AI1046">
        <v>0</v>
      </c>
      <c r="AM1046">
        <v>0</v>
      </c>
      <c r="AR1046" t="s">
        <v>3640</v>
      </c>
      <c r="AS1046" t="s">
        <v>1680</v>
      </c>
      <c r="AT1046">
        <v>2025</v>
      </c>
      <c r="AU1046">
        <v>7</v>
      </c>
      <c r="AV1046" t="s">
        <v>78</v>
      </c>
      <c r="AX1046" t="s">
        <v>3705</v>
      </c>
    </row>
    <row r="1047" spans="1:50">
      <c r="A1047">
        <v>66</v>
      </c>
      <c r="B1047">
        <v>33</v>
      </c>
      <c r="C1047" t="s">
        <v>74</v>
      </c>
      <c r="D1047" t="s">
        <v>1555</v>
      </c>
      <c r="E1047" t="s">
        <v>1556</v>
      </c>
      <c r="F1047">
        <v>4217</v>
      </c>
      <c r="G1047" s="23" t="s">
        <v>3831</v>
      </c>
      <c r="H1047" s="2" t="s">
        <v>3610</v>
      </c>
      <c r="I1047" s="2" t="s">
        <v>3611</v>
      </c>
      <c r="K1047" s="149">
        <v>0</v>
      </c>
      <c r="L1047" s="149">
        <v>3351200</v>
      </c>
      <c r="M1047" s="149">
        <v>636728</v>
      </c>
      <c r="N1047" s="149">
        <v>3987928</v>
      </c>
      <c r="O1047">
        <v>0</v>
      </c>
      <c r="P1047">
        <v>0</v>
      </c>
      <c r="Q1047">
        <v>0</v>
      </c>
      <c r="R1047">
        <v>0</v>
      </c>
      <c r="S1047">
        <v>0</v>
      </c>
      <c r="T1047" t="s">
        <v>77</v>
      </c>
      <c r="U1047">
        <v>0</v>
      </c>
      <c r="V1047">
        <v>0</v>
      </c>
      <c r="W1047">
        <v>0</v>
      </c>
      <c r="X1047">
        <v>0</v>
      </c>
      <c r="AC1047">
        <v>0</v>
      </c>
      <c r="AE1047">
        <v>0</v>
      </c>
      <c r="AF1047">
        <v>2</v>
      </c>
      <c r="AG1047">
        <v>0</v>
      </c>
      <c r="AH1047">
        <v>0</v>
      </c>
      <c r="AI1047">
        <v>0</v>
      </c>
      <c r="AM1047">
        <v>0</v>
      </c>
      <c r="AR1047" t="s">
        <v>3640</v>
      </c>
      <c r="AS1047" t="s">
        <v>1680</v>
      </c>
      <c r="AT1047">
        <v>2025</v>
      </c>
      <c r="AU1047">
        <v>7</v>
      </c>
      <c r="AV1047" t="s">
        <v>78</v>
      </c>
      <c r="AX1047" t="s">
        <v>3706</v>
      </c>
    </row>
    <row r="1048" spans="1:50">
      <c r="A1048">
        <v>67</v>
      </c>
      <c r="B1048">
        <v>33</v>
      </c>
      <c r="C1048" t="s">
        <v>74</v>
      </c>
      <c r="D1048" t="s">
        <v>1222</v>
      </c>
      <c r="E1048" t="s">
        <v>1223</v>
      </c>
      <c r="F1048">
        <v>4218</v>
      </c>
      <c r="G1048" s="23" t="s">
        <v>3831</v>
      </c>
      <c r="H1048" s="2" t="s">
        <v>3612</v>
      </c>
      <c r="I1048" s="2">
        <v>45785.711886574078</v>
      </c>
      <c r="K1048" s="149">
        <v>0</v>
      </c>
      <c r="L1048" s="149">
        <v>9911820</v>
      </c>
      <c r="M1048" s="149">
        <v>1883246</v>
      </c>
      <c r="N1048" s="149">
        <v>11795066</v>
      </c>
      <c r="O1048">
        <v>0</v>
      </c>
      <c r="P1048">
        <v>0</v>
      </c>
      <c r="Q1048">
        <v>0</v>
      </c>
      <c r="R1048">
        <v>0</v>
      </c>
      <c r="S1048">
        <v>0</v>
      </c>
      <c r="T1048" t="s">
        <v>77</v>
      </c>
      <c r="U1048">
        <v>0</v>
      </c>
      <c r="V1048">
        <v>0</v>
      </c>
      <c r="W1048">
        <v>0</v>
      </c>
      <c r="X1048">
        <v>0</v>
      </c>
      <c r="AC1048">
        <v>0</v>
      </c>
      <c r="AE1048">
        <v>0</v>
      </c>
      <c r="AF1048">
        <v>2</v>
      </c>
      <c r="AG1048">
        <v>0</v>
      </c>
      <c r="AH1048">
        <v>0</v>
      </c>
      <c r="AI1048">
        <v>0</v>
      </c>
      <c r="AM1048">
        <v>0</v>
      </c>
      <c r="AR1048" t="s">
        <v>3640</v>
      </c>
      <c r="AS1048" t="s">
        <v>1680</v>
      </c>
      <c r="AT1048">
        <v>2025</v>
      </c>
      <c r="AU1048">
        <v>7</v>
      </c>
      <c r="AV1048" t="s">
        <v>78</v>
      </c>
      <c r="AX1048" t="s">
        <v>3707</v>
      </c>
    </row>
    <row r="1049" spans="1:50">
      <c r="A1049">
        <v>68</v>
      </c>
      <c r="B1049">
        <v>33</v>
      </c>
      <c r="C1049" t="s">
        <v>74</v>
      </c>
      <c r="D1049" t="s">
        <v>1222</v>
      </c>
      <c r="E1049" t="s">
        <v>1223</v>
      </c>
      <c r="F1049">
        <v>4219</v>
      </c>
      <c r="G1049" s="23" t="s">
        <v>3831</v>
      </c>
      <c r="H1049" s="2" t="s">
        <v>3613</v>
      </c>
      <c r="I1049" s="2">
        <v>45785.7424537037</v>
      </c>
      <c r="K1049" s="149">
        <v>0</v>
      </c>
      <c r="L1049" s="149">
        <v>11131820</v>
      </c>
      <c r="M1049" s="149">
        <v>2115046</v>
      </c>
      <c r="N1049" s="149">
        <v>13246866</v>
      </c>
      <c r="O1049">
        <v>0</v>
      </c>
      <c r="P1049">
        <v>0</v>
      </c>
      <c r="Q1049">
        <v>0</v>
      </c>
      <c r="R1049">
        <v>0</v>
      </c>
      <c r="S1049">
        <v>0</v>
      </c>
      <c r="T1049" t="s">
        <v>77</v>
      </c>
      <c r="U1049">
        <v>0</v>
      </c>
      <c r="V1049">
        <v>0</v>
      </c>
      <c r="W1049">
        <v>0</v>
      </c>
      <c r="X1049">
        <v>0</v>
      </c>
      <c r="AC1049">
        <v>0</v>
      </c>
      <c r="AE1049">
        <v>0</v>
      </c>
      <c r="AF1049">
        <v>2</v>
      </c>
      <c r="AG1049">
        <v>0</v>
      </c>
      <c r="AH1049">
        <v>0</v>
      </c>
      <c r="AI1049">
        <v>0</v>
      </c>
      <c r="AM1049">
        <v>0</v>
      </c>
      <c r="AR1049" t="s">
        <v>3640</v>
      </c>
      <c r="AS1049" t="s">
        <v>1680</v>
      </c>
      <c r="AT1049">
        <v>2025</v>
      </c>
      <c r="AU1049">
        <v>7</v>
      </c>
      <c r="AV1049" t="s">
        <v>78</v>
      </c>
      <c r="AX1049" t="s">
        <v>3708</v>
      </c>
    </row>
    <row r="1050" spans="1:50">
      <c r="A1050">
        <v>69</v>
      </c>
      <c r="B1050">
        <v>33</v>
      </c>
      <c r="C1050" t="s">
        <v>74</v>
      </c>
      <c r="D1050" t="s">
        <v>1222</v>
      </c>
      <c r="E1050" t="s">
        <v>1223</v>
      </c>
      <c r="F1050">
        <v>4220</v>
      </c>
      <c r="G1050" s="23" t="s">
        <v>3830</v>
      </c>
      <c r="H1050" s="2" t="s">
        <v>3614</v>
      </c>
      <c r="I1050" s="2">
        <v>45755.550057870372</v>
      </c>
      <c r="K1050" s="149">
        <v>0</v>
      </c>
      <c r="L1050" s="149">
        <v>4493190</v>
      </c>
      <c r="M1050" s="149">
        <v>853706</v>
      </c>
      <c r="N1050" s="149">
        <v>5346896</v>
      </c>
      <c r="O1050">
        <v>0</v>
      </c>
      <c r="P1050">
        <v>0</v>
      </c>
      <c r="Q1050">
        <v>0</v>
      </c>
      <c r="R1050">
        <v>0</v>
      </c>
      <c r="S1050">
        <v>0</v>
      </c>
      <c r="T1050" t="s">
        <v>77</v>
      </c>
      <c r="U1050">
        <v>0</v>
      </c>
      <c r="V1050">
        <v>0</v>
      </c>
      <c r="W1050">
        <v>0</v>
      </c>
      <c r="X1050">
        <v>0</v>
      </c>
      <c r="AC1050">
        <v>0</v>
      </c>
      <c r="AE1050">
        <v>0</v>
      </c>
      <c r="AF1050">
        <v>2</v>
      </c>
      <c r="AG1050">
        <v>0</v>
      </c>
      <c r="AH1050">
        <v>0</v>
      </c>
      <c r="AI1050">
        <v>0</v>
      </c>
      <c r="AM1050">
        <v>0</v>
      </c>
      <c r="AR1050" t="s">
        <v>3640</v>
      </c>
      <c r="AS1050" t="s">
        <v>1680</v>
      </c>
      <c r="AT1050">
        <v>2025</v>
      </c>
      <c r="AU1050">
        <v>7</v>
      </c>
      <c r="AV1050" t="s">
        <v>78</v>
      </c>
      <c r="AX1050" t="s">
        <v>3709</v>
      </c>
    </row>
    <row r="1051" spans="1:50">
      <c r="A1051">
        <v>70</v>
      </c>
      <c r="B1051">
        <v>33</v>
      </c>
      <c r="C1051" t="s">
        <v>74</v>
      </c>
      <c r="D1051" t="s">
        <v>1571</v>
      </c>
      <c r="E1051" t="s">
        <v>1572</v>
      </c>
      <c r="F1051">
        <v>4221</v>
      </c>
      <c r="G1051" s="23" t="s">
        <v>3831</v>
      </c>
      <c r="H1051" s="2" t="s">
        <v>3615</v>
      </c>
      <c r="I1051" s="2"/>
      <c r="J1051" s="2">
        <v>45665.840879629628</v>
      </c>
      <c r="K1051" s="149">
        <v>0</v>
      </c>
      <c r="L1051" s="149">
        <v>2273175</v>
      </c>
      <c r="M1051" s="149">
        <v>431904</v>
      </c>
      <c r="N1051" s="149">
        <v>2705079</v>
      </c>
      <c r="O1051">
        <v>0</v>
      </c>
      <c r="P1051">
        <v>0</v>
      </c>
      <c r="Q1051">
        <v>0</v>
      </c>
      <c r="R1051">
        <v>0</v>
      </c>
      <c r="S1051">
        <v>0</v>
      </c>
      <c r="T1051" t="s">
        <v>77</v>
      </c>
      <c r="U1051">
        <v>0</v>
      </c>
      <c r="V1051">
        <v>0</v>
      </c>
      <c r="W1051">
        <v>0</v>
      </c>
      <c r="X1051">
        <v>0</v>
      </c>
      <c r="AC1051">
        <v>0</v>
      </c>
      <c r="AE1051">
        <v>0</v>
      </c>
      <c r="AF1051">
        <v>2</v>
      </c>
      <c r="AG1051">
        <v>0</v>
      </c>
      <c r="AH1051">
        <v>0</v>
      </c>
      <c r="AI1051">
        <v>0</v>
      </c>
      <c r="AM1051">
        <v>0</v>
      </c>
      <c r="AR1051" t="s">
        <v>3640</v>
      </c>
      <c r="AS1051" t="s">
        <v>1680</v>
      </c>
      <c r="AT1051">
        <v>2025</v>
      </c>
      <c r="AU1051">
        <v>7</v>
      </c>
      <c r="AV1051" t="s">
        <v>78</v>
      </c>
      <c r="AX1051" t="s">
        <v>3710</v>
      </c>
    </row>
    <row r="1052" spans="1:50">
      <c r="A1052">
        <v>71</v>
      </c>
      <c r="B1052">
        <v>33</v>
      </c>
      <c r="C1052" t="s">
        <v>74</v>
      </c>
      <c r="D1052" t="s">
        <v>1592</v>
      </c>
      <c r="E1052" t="s">
        <v>1593</v>
      </c>
      <c r="F1052">
        <v>4222</v>
      </c>
      <c r="G1052" s="23" t="s">
        <v>3831</v>
      </c>
      <c r="H1052" s="2" t="s">
        <v>3616</v>
      </c>
      <c r="I1052" t="s">
        <v>3617</v>
      </c>
      <c r="K1052" s="149">
        <v>0</v>
      </c>
      <c r="L1052" s="149">
        <v>319132</v>
      </c>
      <c r="M1052" s="149">
        <v>60636</v>
      </c>
      <c r="N1052" s="149">
        <v>379768</v>
      </c>
      <c r="O1052">
        <v>0</v>
      </c>
      <c r="P1052">
        <v>0</v>
      </c>
      <c r="Q1052">
        <v>0</v>
      </c>
      <c r="R1052">
        <v>0</v>
      </c>
      <c r="S1052">
        <v>0</v>
      </c>
      <c r="T1052" t="s">
        <v>77</v>
      </c>
      <c r="U1052">
        <v>0</v>
      </c>
      <c r="V1052">
        <v>0</v>
      </c>
      <c r="W1052">
        <v>0</v>
      </c>
      <c r="X1052">
        <v>0</v>
      </c>
      <c r="Y1052">
        <v>0</v>
      </c>
      <c r="AC1052">
        <v>0</v>
      </c>
      <c r="AE1052">
        <v>0</v>
      </c>
      <c r="AF1052">
        <v>2</v>
      </c>
      <c r="AG1052">
        <v>0</v>
      </c>
      <c r="AH1052">
        <v>0</v>
      </c>
      <c r="AI1052">
        <v>0</v>
      </c>
      <c r="AM1052">
        <v>0</v>
      </c>
      <c r="AR1052" t="s">
        <v>3640</v>
      </c>
      <c r="AS1052" t="s">
        <v>1680</v>
      </c>
      <c r="AT1052">
        <v>2025</v>
      </c>
      <c r="AU1052">
        <v>7</v>
      </c>
      <c r="AV1052" t="s">
        <v>78</v>
      </c>
      <c r="AX1052" t="s">
        <v>3711</v>
      </c>
    </row>
    <row r="1053" spans="1:50">
      <c r="A1053">
        <v>72</v>
      </c>
      <c r="B1053">
        <v>33</v>
      </c>
      <c r="C1053" t="s">
        <v>74</v>
      </c>
      <c r="D1053" t="s">
        <v>2509</v>
      </c>
      <c r="E1053" t="s">
        <v>2510</v>
      </c>
      <c r="F1053">
        <v>4223</v>
      </c>
      <c r="G1053" s="23" t="s">
        <v>3831</v>
      </c>
      <c r="H1053" s="2" t="s">
        <v>3618</v>
      </c>
      <c r="I1053" s="2" t="s">
        <v>3619</v>
      </c>
      <c r="K1053" s="149">
        <v>1</v>
      </c>
      <c r="L1053" s="149">
        <v>214840</v>
      </c>
      <c r="M1053" s="149">
        <v>40820</v>
      </c>
      <c r="N1053" s="149">
        <v>255661</v>
      </c>
      <c r="O1053">
        <v>0</v>
      </c>
      <c r="P1053">
        <v>0</v>
      </c>
      <c r="Q1053">
        <v>0</v>
      </c>
      <c r="R1053">
        <v>0</v>
      </c>
      <c r="S1053">
        <v>0</v>
      </c>
      <c r="T1053" t="s">
        <v>77</v>
      </c>
      <c r="U1053">
        <v>0</v>
      </c>
      <c r="V1053">
        <v>0</v>
      </c>
      <c r="W1053">
        <v>0</v>
      </c>
      <c r="X1053">
        <v>0</v>
      </c>
      <c r="Y1053">
        <v>0</v>
      </c>
      <c r="AC1053">
        <v>0</v>
      </c>
      <c r="AE1053">
        <v>0</v>
      </c>
      <c r="AF1053">
        <v>2</v>
      </c>
      <c r="AG1053">
        <v>0</v>
      </c>
      <c r="AH1053">
        <v>0</v>
      </c>
      <c r="AI1053">
        <v>0</v>
      </c>
      <c r="AM1053">
        <v>0</v>
      </c>
      <c r="AR1053" t="s">
        <v>3640</v>
      </c>
      <c r="AS1053" t="s">
        <v>1680</v>
      </c>
      <c r="AT1053">
        <v>2025</v>
      </c>
      <c r="AU1053">
        <v>7</v>
      </c>
      <c r="AV1053" t="s">
        <v>78</v>
      </c>
      <c r="AX1053" t="s">
        <v>3712</v>
      </c>
    </row>
    <row r="1054" spans="1:50">
      <c r="A1054">
        <v>73</v>
      </c>
      <c r="B1054">
        <v>33</v>
      </c>
      <c r="C1054" t="s">
        <v>74</v>
      </c>
      <c r="D1054" t="s">
        <v>1561</v>
      </c>
      <c r="E1054" t="s">
        <v>1562</v>
      </c>
      <c r="F1054">
        <v>4224</v>
      </c>
      <c r="G1054" s="23" t="s">
        <v>3831</v>
      </c>
      <c r="H1054" s="2" t="s">
        <v>3620</v>
      </c>
      <c r="K1054" s="149">
        <v>0</v>
      </c>
      <c r="L1054" s="149">
        <v>5306700</v>
      </c>
      <c r="M1054" s="149">
        <v>1008273</v>
      </c>
      <c r="N1054" s="149">
        <v>6314973</v>
      </c>
      <c r="O1054">
        <v>0</v>
      </c>
      <c r="P1054">
        <v>0</v>
      </c>
      <c r="Q1054">
        <v>0</v>
      </c>
      <c r="R1054">
        <v>0</v>
      </c>
      <c r="S1054">
        <v>0</v>
      </c>
      <c r="T1054" t="s">
        <v>77</v>
      </c>
      <c r="U1054">
        <v>0</v>
      </c>
      <c r="V1054">
        <v>0</v>
      </c>
      <c r="W1054">
        <v>0</v>
      </c>
      <c r="X1054">
        <v>0</v>
      </c>
      <c r="AC1054">
        <v>0</v>
      </c>
      <c r="AE1054">
        <v>0</v>
      </c>
      <c r="AF1054">
        <v>2</v>
      </c>
      <c r="AG1054">
        <v>0</v>
      </c>
      <c r="AH1054">
        <v>0</v>
      </c>
      <c r="AI1054">
        <v>0</v>
      </c>
      <c r="AM1054">
        <v>0</v>
      </c>
      <c r="AR1054" t="s">
        <v>3640</v>
      </c>
      <c r="AS1054" t="s">
        <v>1680</v>
      </c>
      <c r="AT1054">
        <v>2025</v>
      </c>
      <c r="AU1054">
        <v>7</v>
      </c>
      <c r="AV1054" t="s">
        <v>78</v>
      </c>
      <c r="AX1054" t="s">
        <v>3713</v>
      </c>
    </row>
    <row r="1055" spans="1:50">
      <c r="A1055">
        <v>74</v>
      </c>
      <c r="B1055">
        <v>33</v>
      </c>
      <c r="C1055" t="s">
        <v>74</v>
      </c>
      <c r="D1055" t="s">
        <v>1561</v>
      </c>
      <c r="E1055" t="s">
        <v>1562</v>
      </c>
      <c r="F1055">
        <v>4225</v>
      </c>
      <c r="G1055" s="23" t="s">
        <v>3831</v>
      </c>
      <c r="H1055" s="2" t="s">
        <v>3621</v>
      </c>
      <c r="I1055" s="2"/>
      <c r="K1055" s="149">
        <v>0</v>
      </c>
      <c r="L1055" s="149">
        <v>2099328</v>
      </c>
      <c r="M1055" s="149">
        <v>398872</v>
      </c>
      <c r="N1055" s="149">
        <v>2498200</v>
      </c>
      <c r="O1055">
        <v>0</v>
      </c>
      <c r="P1055">
        <v>0</v>
      </c>
      <c r="Q1055">
        <v>0</v>
      </c>
      <c r="R1055">
        <v>0</v>
      </c>
      <c r="S1055">
        <v>0</v>
      </c>
      <c r="T1055" t="s">
        <v>77</v>
      </c>
      <c r="U1055">
        <v>0</v>
      </c>
      <c r="V1055">
        <v>0</v>
      </c>
      <c r="W1055">
        <v>0</v>
      </c>
      <c r="X1055">
        <v>0</v>
      </c>
      <c r="AC1055">
        <v>0</v>
      </c>
      <c r="AE1055">
        <v>0</v>
      </c>
      <c r="AF1055">
        <v>2</v>
      </c>
      <c r="AG1055">
        <v>0</v>
      </c>
      <c r="AH1055">
        <v>0</v>
      </c>
      <c r="AI1055">
        <v>0</v>
      </c>
      <c r="AM1055">
        <v>0</v>
      </c>
      <c r="AR1055" t="s">
        <v>3640</v>
      </c>
      <c r="AS1055" t="s">
        <v>1680</v>
      </c>
      <c r="AT1055">
        <v>2025</v>
      </c>
      <c r="AU1055">
        <v>7</v>
      </c>
      <c r="AV1055" t="s">
        <v>78</v>
      </c>
      <c r="AX1055" t="s">
        <v>3714</v>
      </c>
    </row>
    <row r="1056" spans="1:50">
      <c r="A1056">
        <v>75</v>
      </c>
      <c r="B1056">
        <v>33</v>
      </c>
      <c r="C1056" t="s">
        <v>74</v>
      </c>
      <c r="D1056" t="s">
        <v>1571</v>
      </c>
      <c r="E1056" t="s">
        <v>1572</v>
      </c>
      <c r="F1056">
        <v>4226</v>
      </c>
      <c r="G1056" s="23" t="s">
        <v>3831</v>
      </c>
      <c r="H1056" s="2" t="s">
        <v>3622</v>
      </c>
      <c r="I1056" s="2">
        <v>45665.856724537036</v>
      </c>
      <c r="K1056" s="149">
        <v>0</v>
      </c>
      <c r="L1056" s="149">
        <v>11321995</v>
      </c>
      <c r="M1056" s="149">
        <v>2151179</v>
      </c>
      <c r="N1056" s="149">
        <v>13473174</v>
      </c>
      <c r="O1056">
        <v>0</v>
      </c>
      <c r="P1056">
        <v>0</v>
      </c>
      <c r="Q1056">
        <v>0</v>
      </c>
      <c r="R1056">
        <v>0</v>
      </c>
      <c r="S1056">
        <v>0</v>
      </c>
      <c r="T1056" t="s">
        <v>77</v>
      </c>
      <c r="U1056">
        <v>0</v>
      </c>
      <c r="V1056">
        <v>0</v>
      </c>
      <c r="W1056">
        <v>0</v>
      </c>
      <c r="X1056">
        <v>0</v>
      </c>
      <c r="AC1056">
        <v>0</v>
      </c>
      <c r="AE1056">
        <v>0</v>
      </c>
      <c r="AF1056">
        <v>2</v>
      </c>
      <c r="AG1056">
        <v>0</v>
      </c>
      <c r="AH1056">
        <v>0</v>
      </c>
      <c r="AI1056">
        <v>0</v>
      </c>
      <c r="AM1056">
        <v>0</v>
      </c>
      <c r="AR1056" t="s">
        <v>3640</v>
      </c>
      <c r="AS1056" t="s">
        <v>1680</v>
      </c>
      <c r="AT1056">
        <v>2025</v>
      </c>
      <c r="AU1056">
        <v>7</v>
      </c>
      <c r="AV1056" t="s">
        <v>78</v>
      </c>
      <c r="AX1056" t="s">
        <v>3715</v>
      </c>
    </row>
    <row r="1057" spans="1:50">
      <c r="A1057">
        <v>76</v>
      </c>
      <c r="B1057">
        <v>33</v>
      </c>
      <c r="C1057" t="s">
        <v>74</v>
      </c>
      <c r="D1057" t="s">
        <v>1571</v>
      </c>
      <c r="E1057" t="s">
        <v>1572</v>
      </c>
      <c r="F1057">
        <v>4227</v>
      </c>
      <c r="G1057" s="23" t="s">
        <v>3831</v>
      </c>
      <c r="H1057" s="2" t="s">
        <v>3623</v>
      </c>
      <c r="I1057" s="2">
        <v>45665.856192129628</v>
      </c>
      <c r="K1057" s="149">
        <v>0</v>
      </c>
      <c r="L1057" s="149">
        <v>9171540</v>
      </c>
      <c r="M1057" s="149">
        <v>1742593</v>
      </c>
      <c r="N1057" s="149">
        <v>10914133</v>
      </c>
      <c r="O1057">
        <v>0</v>
      </c>
      <c r="P1057">
        <v>0</v>
      </c>
      <c r="Q1057">
        <v>0</v>
      </c>
      <c r="R1057">
        <v>0</v>
      </c>
      <c r="S1057">
        <v>0</v>
      </c>
      <c r="T1057" t="s">
        <v>77</v>
      </c>
      <c r="U1057">
        <v>0</v>
      </c>
      <c r="V1057">
        <v>0</v>
      </c>
      <c r="W1057">
        <v>0</v>
      </c>
      <c r="X1057">
        <v>0</v>
      </c>
      <c r="AC1057">
        <v>0</v>
      </c>
      <c r="AE1057">
        <v>0</v>
      </c>
      <c r="AF1057">
        <v>2</v>
      </c>
      <c r="AG1057">
        <v>0</v>
      </c>
      <c r="AH1057">
        <v>0</v>
      </c>
      <c r="AI1057">
        <v>0</v>
      </c>
      <c r="AM1057">
        <v>0</v>
      </c>
      <c r="AR1057" t="s">
        <v>3640</v>
      </c>
      <c r="AS1057" t="s">
        <v>1680</v>
      </c>
      <c r="AT1057">
        <v>2025</v>
      </c>
      <c r="AU1057">
        <v>7</v>
      </c>
      <c r="AV1057" t="s">
        <v>78</v>
      </c>
      <c r="AX1057" t="s">
        <v>3716</v>
      </c>
    </row>
    <row r="1058" spans="1:50">
      <c r="A1058">
        <v>77</v>
      </c>
      <c r="B1058">
        <v>33</v>
      </c>
      <c r="C1058" t="s">
        <v>74</v>
      </c>
      <c r="D1058" t="s">
        <v>1571</v>
      </c>
      <c r="E1058" t="s">
        <v>1572</v>
      </c>
      <c r="F1058">
        <v>4228</v>
      </c>
      <c r="G1058" s="23" t="s">
        <v>3831</v>
      </c>
      <c r="H1058" s="2" t="s">
        <v>3624</v>
      </c>
      <c r="I1058" s="2">
        <v>45665.856527777774</v>
      </c>
      <c r="K1058" s="149">
        <v>0</v>
      </c>
      <c r="L1058" s="149">
        <v>6667042</v>
      </c>
      <c r="M1058" s="149">
        <v>1266739</v>
      </c>
      <c r="N1058" s="149">
        <v>7933781</v>
      </c>
      <c r="O1058">
        <v>0</v>
      </c>
      <c r="P1058">
        <v>0</v>
      </c>
      <c r="Q1058">
        <v>0</v>
      </c>
      <c r="R1058">
        <v>0</v>
      </c>
      <c r="S1058">
        <v>0</v>
      </c>
      <c r="T1058" t="s">
        <v>77</v>
      </c>
      <c r="U1058">
        <v>0</v>
      </c>
      <c r="V1058">
        <v>0</v>
      </c>
      <c r="W1058">
        <v>0</v>
      </c>
      <c r="X1058">
        <v>0</v>
      </c>
      <c r="AC1058">
        <v>0</v>
      </c>
      <c r="AE1058">
        <v>0</v>
      </c>
      <c r="AF1058">
        <v>2</v>
      </c>
      <c r="AG1058">
        <v>0</v>
      </c>
      <c r="AH1058">
        <v>0</v>
      </c>
      <c r="AI1058">
        <v>0</v>
      </c>
      <c r="AM1058">
        <v>0</v>
      </c>
      <c r="AR1058" t="s">
        <v>3640</v>
      </c>
      <c r="AS1058" t="s">
        <v>1680</v>
      </c>
      <c r="AT1058">
        <v>2025</v>
      </c>
      <c r="AU1058">
        <v>7</v>
      </c>
      <c r="AV1058" t="s">
        <v>78</v>
      </c>
      <c r="AX1058" t="s">
        <v>3717</v>
      </c>
    </row>
    <row r="1059" spans="1:50">
      <c r="A1059">
        <v>78</v>
      </c>
      <c r="B1059">
        <v>33</v>
      </c>
      <c r="C1059" t="s">
        <v>74</v>
      </c>
      <c r="D1059" t="s">
        <v>1571</v>
      </c>
      <c r="E1059" t="s">
        <v>1572</v>
      </c>
      <c r="F1059">
        <v>4229</v>
      </c>
      <c r="G1059" s="23" t="s">
        <v>3831</v>
      </c>
      <c r="H1059" s="2" t="s">
        <v>3625</v>
      </c>
      <c r="I1059" s="2">
        <v>45665.85665509259</v>
      </c>
      <c r="K1059" s="149">
        <v>0</v>
      </c>
      <c r="L1059" s="149">
        <v>2264447</v>
      </c>
      <c r="M1059" s="149">
        <v>430245</v>
      </c>
      <c r="N1059" s="149">
        <v>2694692</v>
      </c>
      <c r="O1059">
        <v>0</v>
      </c>
      <c r="P1059">
        <v>0</v>
      </c>
      <c r="Q1059">
        <v>0</v>
      </c>
      <c r="R1059">
        <v>0</v>
      </c>
      <c r="S1059">
        <v>0</v>
      </c>
      <c r="T1059" t="s">
        <v>77</v>
      </c>
      <c r="U1059">
        <v>0</v>
      </c>
      <c r="V1059">
        <v>0</v>
      </c>
      <c r="W1059">
        <v>0</v>
      </c>
      <c r="X1059">
        <v>0</v>
      </c>
      <c r="AC1059">
        <v>0</v>
      </c>
      <c r="AE1059">
        <v>0</v>
      </c>
      <c r="AF1059">
        <v>2</v>
      </c>
      <c r="AG1059">
        <v>0</v>
      </c>
      <c r="AH1059">
        <v>0</v>
      </c>
      <c r="AI1059">
        <v>0</v>
      </c>
      <c r="AM1059">
        <v>0</v>
      </c>
      <c r="AR1059" t="s">
        <v>3640</v>
      </c>
      <c r="AS1059" t="s">
        <v>1680</v>
      </c>
      <c r="AT1059">
        <v>2025</v>
      </c>
      <c r="AU1059">
        <v>7</v>
      </c>
      <c r="AV1059" t="s">
        <v>78</v>
      </c>
      <c r="AX1059" t="s">
        <v>3718</v>
      </c>
    </row>
    <row r="1060" spans="1:50">
      <c r="A1060">
        <v>79</v>
      </c>
      <c r="B1060">
        <v>61</v>
      </c>
      <c r="C1060" t="s">
        <v>74</v>
      </c>
      <c r="D1060" t="s">
        <v>3419</v>
      </c>
      <c r="E1060" t="s">
        <v>3420</v>
      </c>
      <c r="F1060">
        <v>869</v>
      </c>
      <c r="G1060" s="23">
        <v>45839</v>
      </c>
      <c r="H1060" s="2">
        <v>45664.610277777778</v>
      </c>
      <c r="I1060" s="2"/>
      <c r="K1060" s="149">
        <v>0</v>
      </c>
      <c r="L1060" s="149">
        <v>-49600</v>
      </c>
      <c r="M1060" s="149">
        <v>-9424</v>
      </c>
      <c r="N1060" s="149">
        <v>-59024</v>
      </c>
      <c r="O1060">
        <v>0</v>
      </c>
      <c r="P1060">
        <v>0</v>
      </c>
      <c r="Q1060">
        <v>0</v>
      </c>
      <c r="R1060">
        <v>0</v>
      </c>
      <c r="S1060">
        <v>0</v>
      </c>
      <c r="T1060" t="s">
        <v>77</v>
      </c>
      <c r="U1060">
        <v>0</v>
      </c>
      <c r="V1060">
        <v>0</v>
      </c>
      <c r="W1060">
        <v>0</v>
      </c>
      <c r="X1060">
        <v>0</v>
      </c>
      <c r="Y1060">
        <v>33</v>
      </c>
      <c r="Z1060">
        <v>4146</v>
      </c>
      <c r="AC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M1060">
        <v>0</v>
      </c>
      <c r="AR1060" t="s">
        <v>3640</v>
      </c>
      <c r="AS1060" t="s">
        <v>1680</v>
      </c>
      <c r="AT1060">
        <v>2025</v>
      </c>
      <c r="AU1060">
        <v>7</v>
      </c>
      <c r="AV1060" t="s">
        <v>318</v>
      </c>
      <c r="AX1060" t="s">
        <v>3719</v>
      </c>
    </row>
    <row r="1061" spans="1:50">
      <c r="A1061">
        <v>80</v>
      </c>
      <c r="B1061">
        <v>61</v>
      </c>
      <c r="C1061" t="s">
        <v>74</v>
      </c>
      <c r="D1061" t="s">
        <v>1988</v>
      </c>
      <c r="E1061" t="s">
        <v>1989</v>
      </c>
      <c r="F1061">
        <v>870</v>
      </c>
      <c r="G1061" s="23">
        <v>45840</v>
      </c>
      <c r="H1061" s="2">
        <v>45695.464687500003</v>
      </c>
      <c r="I1061" s="2"/>
      <c r="K1061" s="149">
        <v>0</v>
      </c>
      <c r="L1061" s="149">
        <v>-1926940</v>
      </c>
      <c r="M1061" s="149">
        <v>-366119</v>
      </c>
      <c r="N1061" s="149">
        <v>-2293059</v>
      </c>
      <c r="O1061">
        <v>0</v>
      </c>
      <c r="P1061">
        <v>0</v>
      </c>
      <c r="Q1061">
        <v>0</v>
      </c>
      <c r="R1061">
        <v>0</v>
      </c>
      <c r="S1061">
        <v>0</v>
      </c>
      <c r="T1061" t="s">
        <v>77</v>
      </c>
      <c r="U1061">
        <v>0</v>
      </c>
      <c r="V1061">
        <v>0</v>
      </c>
      <c r="W1061">
        <v>0</v>
      </c>
      <c r="X1061">
        <v>0</v>
      </c>
      <c r="Y1061">
        <v>33</v>
      </c>
      <c r="Z1061">
        <v>3843</v>
      </c>
      <c r="AC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M1061">
        <v>0</v>
      </c>
      <c r="AR1061" t="s">
        <v>3640</v>
      </c>
      <c r="AS1061" t="s">
        <v>1680</v>
      </c>
      <c r="AT1061">
        <v>2025</v>
      </c>
      <c r="AU1061">
        <v>7</v>
      </c>
      <c r="AV1061" t="s">
        <v>318</v>
      </c>
      <c r="AX1061" t="s">
        <v>3720</v>
      </c>
    </row>
    <row r="1062" spans="1:50">
      <c r="A1062">
        <v>81</v>
      </c>
      <c r="B1062">
        <v>61</v>
      </c>
      <c r="C1062" t="s">
        <v>74</v>
      </c>
      <c r="D1062" t="s">
        <v>1353</v>
      </c>
      <c r="E1062" t="s">
        <v>1354</v>
      </c>
      <c r="F1062">
        <v>871</v>
      </c>
      <c r="G1062" s="23">
        <v>45841</v>
      </c>
      <c r="H1062" s="2">
        <v>45723.526307870372</v>
      </c>
      <c r="I1062" s="2"/>
      <c r="K1062" s="149">
        <v>0</v>
      </c>
      <c r="L1062" s="149">
        <v>-379950</v>
      </c>
      <c r="M1062" s="149">
        <v>-72191</v>
      </c>
      <c r="N1062" s="149">
        <v>-452141</v>
      </c>
      <c r="O1062">
        <v>0</v>
      </c>
      <c r="P1062">
        <v>0</v>
      </c>
      <c r="Q1062">
        <v>0</v>
      </c>
      <c r="R1062">
        <v>0</v>
      </c>
      <c r="S1062">
        <v>0</v>
      </c>
      <c r="T1062" t="s">
        <v>77</v>
      </c>
      <c r="U1062">
        <v>0</v>
      </c>
      <c r="V1062">
        <v>0</v>
      </c>
      <c r="W1062">
        <v>0</v>
      </c>
      <c r="X1062">
        <v>0</v>
      </c>
      <c r="Y1062">
        <v>33</v>
      </c>
      <c r="Z1062">
        <v>4147</v>
      </c>
      <c r="AC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M1062">
        <v>0</v>
      </c>
      <c r="AR1062" t="s">
        <v>3640</v>
      </c>
      <c r="AS1062" t="s">
        <v>1680</v>
      </c>
      <c r="AT1062">
        <v>2025</v>
      </c>
      <c r="AU1062">
        <v>7</v>
      </c>
      <c r="AV1062" t="s">
        <v>318</v>
      </c>
      <c r="AX1062" t="s">
        <v>3721</v>
      </c>
    </row>
    <row r="1063" spans="1:50">
      <c r="A1063">
        <v>82</v>
      </c>
      <c r="B1063">
        <v>61</v>
      </c>
      <c r="C1063" t="s">
        <v>74</v>
      </c>
      <c r="D1063" t="s">
        <v>1569</v>
      </c>
      <c r="E1063" t="s">
        <v>1570</v>
      </c>
      <c r="F1063">
        <v>872</v>
      </c>
      <c r="G1063" s="23">
        <v>45845</v>
      </c>
      <c r="H1063" s="2">
        <v>45845.466215277775</v>
      </c>
      <c r="I1063" s="2"/>
      <c r="K1063" s="149">
        <v>0</v>
      </c>
      <c r="L1063" s="149">
        <v>-60638</v>
      </c>
      <c r="M1063" s="149">
        <v>-11521</v>
      </c>
      <c r="N1063" s="149">
        <v>-72159</v>
      </c>
      <c r="O1063">
        <v>0</v>
      </c>
      <c r="P1063">
        <v>0</v>
      </c>
      <c r="Q1063">
        <v>0</v>
      </c>
      <c r="R1063">
        <v>0</v>
      </c>
      <c r="S1063">
        <v>0</v>
      </c>
      <c r="T1063" t="s">
        <v>77</v>
      </c>
      <c r="U1063">
        <v>0</v>
      </c>
      <c r="V1063">
        <v>0</v>
      </c>
      <c r="W1063">
        <v>0</v>
      </c>
      <c r="X1063">
        <v>0</v>
      </c>
      <c r="Y1063">
        <v>33</v>
      </c>
      <c r="Z1063">
        <v>4150</v>
      </c>
      <c r="AC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M1063">
        <v>0</v>
      </c>
      <c r="AR1063" t="s">
        <v>3640</v>
      </c>
      <c r="AS1063" t="s">
        <v>1680</v>
      </c>
      <c r="AT1063">
        <v>2025</v>
      </c>
      <c r="AU1063">
        <v>7</v>
      </c>
      <c r="AV1063" t="s">
        <v>318</v>
      </c>
      <c r="AX1063" t="s">
        <v>3722</v>
      </c>
    </row>
    <row r="1064" spans="1:50">
      <c r="A1064">
        <v>83</v>
      </c>
      <c r="B1064">
        <v>61</v>
      </c>
      <c r="C1064" t="s">
        <v>74</v>
      </c>
      <c r="D1064" t="s">
        <v>1222</v>
      </c>
      <c r="E1064" t="s">
        <v>1223</v>
      </c>
      <c r="F1064">
        <v>873</v>
      </c>
      <c r="G1064" s="23">
        <v>45845</v>
      </c>
      <c r="H1064" s="2">
        <v>45845.74145833333</v>
      </c>
      <c r="I1064" s="2"/>
      <c r="K1064" s="149">
        <v>0</v>
      </c>
      <c r="L1064" s="149">
        <v>-15783000</v>
      </c>
      <c r="M1064" s="149">
        <v>-2998770</v>
      </c>
      <c r="N1064" s="149">
        <v>-18781770</v>
      </c>
      <c r="O1064">
        <v>0</v>
      </c>
      <c r="P1064">
        <v>0</v>
      </c>
      <c r="Q1064">
        <v>0</v>
      </c>
      <c r="R1064">
        <v>0</v>
      </c>
      <c r="S1064">
        <v>0</v>
      </c>
      <c r="T1064" t="s">
        <v>77</v>
      </c>
      <c r="U1064">
        <v>0</v>
      </c>
      <c r="V1064">
        <v>0</v>
      </c>
      <c r="W1064">
        <v>0</v>
      </c>
      <c r="X1064">
        <v>0</v>
      </c>
      <c r="Y1064">
        <v>33</v>
      </c>
      <c r="Z1064">
        <v>4110</v>
      </c>
      <c r="AC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M1064">
        <v>0</v>
      </c>
      <c r="AR1064" t="s">
        <v>3640</v>
      </c>
      <c r="AS1064" t="s">
        <v>1680</v>
      </c>
      <c r="AT1064">
        <v>2025</v>
      </c>
      <c r="AU1064">
        <v>7</v>
      </c>
      <c r="AV1064" t="s">
        <v>318</v>
      </c>
      <c r="AX1064" t="s">
        <v>3723</v>
      </c>
    </row>
    <row r="1065" spans="1:50">
      <c r="A1065">
        <v>84</v>
      </c>
      <c r="B1065">
        <v>61</v>
      </c>
      <c r="C1065" t="s">
        <v>74</v>
      </c>
      <c r="D1065" t="s">
        <v>3200</v>
      </c>
      <c r="E1065" t="s">
        <v>3201</v>
      </c>
      <c r="F1065">
        <v>874</v>
      </c>
      <c r="G1065" s="23">
        <v>45848</v>
      </c>
      <c r="H1065" s="2">
        <v>45876.801689814813</v>
      </c>
      <c r="I1065" s="2"/>
      <c r="K1065" s="149">
        <v>0</v>
      </c>
      <c r="L1065" s="149">
        <v>-497700</v>
      </c>
      <c r="M1065" s="149">
        <v>-94563</v>
      </c>
      <c r="N1065" s="149">
        <v>-592263</v>
      </c>
      <c r="O1065">
        <v>0</v>
      </c>
      <c r="P1065">
        <v>0</v>
      </c>
      <c r="Q1065">
        <v>0</v>
      </c>
      <c r="R1065">
        <v>0</v>
      </c>
      <c r="S1065">
        <v>0</v>
      </c>
      <c r="T1065" t="s">
        <v>77</v>
      </c>
      <c r="U1065">
        <v>0</v>
      </c>
      <c r="V1065">
        <v>0</v>
      </c>
      <c r="W1065">
        <v>0</v>
      </c>
      <c r="X1065">
        <v>0</v>
      </c>
      <c r="Y1065">
        <v>33</v>
      </c>
      <c r="Z1065">
        <v>4169</v>
      </c>
      <c r="AC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M1065">
        <v>0</v>
      </c>
      <c r="AR1065" t="s">
        <v>3640</v>
      </c>
      <c r="AS1065" t="s">
        <v>1680</v>
      </c>
      <c r="AT1065">
        <v>2025</v>
      </c>
      <c r="AU1065">
        <v>7</v>
      </c>
      <c r="AV1065" t="s">
        <v>318</v>
      </c>
      <c r="AX1065" t="s">
        <v>3724</v>
      </c>
    </row>
    <row r="1066" spans="1:50">
      <c r="A1066">
        <v>85</v>
      </c>
      <c r="B1066">
        <v>61</v>
      </c>
      <c r="C1066" t="s">
        <v>74</v>
      </c>
      <c r="D1066" t="s">
        <v>1571</v>
      </c>
      <c r="E1066" t="s">
        <v>1572</v>
      </c>
      <c r="F1066">
        <v>875</v>
      </c>
      <c r="G1066" s="23">
        <v>45848</v>
      </c>
      <c r="H1066" s="2">
        <v>45876.83861111111</v>
      </c>
      <c r="I1066" s="2"/>
      <c r="K1066" s="149">
        <v>0</v>
      </c>
      <c r="L1066" s="149">
        <v>-22145119</v>
      </c>
      <c r="M1066" s="149">
        <v>-4207573</v>
      </c>
      <c r="N1066" s="149">
        <v>-26352692</v>
      </c>
      <c r="O1066">
        <v>0</v>
      </c>
      <c r="P1066">
        <v>0</v>
      </c>
      <c r="Q1066">
        <v>0</v>
      </c>
      <c r="R1066">
        <v>0</v>
      </c>
      <c r="S1066">
        <v>0</v>
      </c>
      <c r="T1066" t="s">
        <v>77</v>
      </c>
      <c r="U1066">
        <v>0</v>
      </c>
      <c r="V1066">
        <v>0</v>
      </c>
      <c r="W1066">
        <v>0</v>
      </c>
      <c r="X1066">
        <v>0</v>
      </c>
      <c r="Y1066">
        <v>33</v>
      </c>
      <c r="Z1066">
        <v>4107</v>
      </c>
      <c r="AC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M1066">
        <v>0</v>
      </c>
      <c r="AR1066" t="s">
        <v>3640</v>
      </c>
      <c r="AS1066" t="s">
        <v>1680</v>
      </c>
      <c r="AT1066">
        <v>2025</v>
      </c>
      <c r="AU1066">
        <v>7</v>
      </c>
      <c r="AV1066" t="s">
        <v>318</v>
      </c>
      <c r="AX1066" t="s">
        <v>3725</v>
      </c>
    </row>
    <row r="1067" spans="1:50">
      <c r="A1067">
        <v>86</v>
      </c>
      <c r="B1067">
        <v>61</v>
      </c>
      <c r="C1067" t="s">
        <v>74</v>
      </c>
      <c r="D1067" t="s">
        <v>1222</v>
      </c>
      <c r="E1067" t="s">
        <v>1223</v>
      </c>
      <c r="F1067">
        <v>876</v>
      </c>
      <c r="G1067" s="23">
        <v>45848</v>
      </c>
      <c r="H1067" s="2">
        <v>45907.704629629632</v>
      </c>
      <c r="I1067" s="2" t="s">
        <v>3544</v>
      </c>
      <c r="K1067" s="149">
        <v>0</v>
      </c>
      <c r="L1067" s="149">
        <v>-15632520</v>
      </c>
      <c r="M1067" s="149">
        <v>-2970179</v>
      </c>
      <c r="N1067" s="149">
        <v>-18602699</v>
      </c>
      <c r="O1067">
        <v>0</v>
      </c>
      <c r="P1067">
        <v>0</v>
      </c>
      <c r="Q1067">
        <v>0</v>
      </c>
      <c r="R1067">
        <v>0</v>
      </c>
      <c r="S1067">
        <v>0</v>
      </c>
      <c r="T1067" t="s">
        <v>77</v>
      </c>
      <c r="U1067">
        <v>0</v>
      </c>
      <c r="V1067">
        <v>0</v>
      </c>
      <c r="W1067">
        <v>0</v>
      </c>
      <c r="X1067">
        <v>0</v>
      </c>
      <c r="Y1067">
        <v>33</v>
      </c>
      <c r="Z1067">
        <v>4168</v>
      </c>
      <c r="AC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M1067">
        <v>0</v>
      </c>
      <c r="AR1067" t="s">
        <v>3640</v>
      </c>
      <c r="AS1067" t="s">
        <v>1680</v>
      </c>
      <c r="AT1067">
        <v>2025</v>
      </c>
      <c r="AU1067">
        <v>7</v>
      </c>
      <c r="AV1067" t="s">
        <v>318</v>
      </c>
      <c r="AX1067" t="s">
        <v>3726</v>
      </c>
    </row>
    <row r="1068" spans="1:50">
      <c r="A1068">
        <v>87</v>
      </c>
      <c r="B1068">
        <v>61</v>
      </c>
      <c r="C1068" t="s">
        <v>74</v>
      </c>
      <c r="D1068" t="s">
        <v>1222</v>
      </c>
      <c r="E1068" t="s">
        <v>1223</v>
      </c>
      <c r="F1068">
        <v>877</v>
      </c>
      <c r="G1068" s="23" t="s">
        <v>1544</v>
      </c>
      <c r="H1068" s="2" t="s">
        <v>3626</v>
      </c>
      <c r="I1068" s="2" t="s">
        <v>3544</v>
      </c>
      <c r="K1068" s="149">
        <v>0</v>
      </c>
      <c r="L1068" s="149">
        <v>-174985</v>
      </c>
      <c r="M1068" s="149">
        <v>-33247</v>
      </c>
      <c r="N1068" s="149">
        <v>-208232</v>
      </c>
      <c r="O1068">
        <v>0</v>
      </c>
      <c r="P1068">
        <v>0</v>
      </c>
      <c r="Q1068">
        <v>0</v>
      </c>
      <c r="R1068">
        <v>0</v>
      </c>
      <c r="S1068">
        <v>0</v>
      </c>
      <c r="T1068" t="s">
        <v>77</v>
      </c>
      <c r="U1068">
        <v>0</v>
      </c>
      <c r="V1068">
        <v>0</v>
      </c>
      <c r="W1068">
        <v>0</v>
      </c>
      <c r="X1068">
        <v>0</v>
      </c>
      <c r="Y1068">
        <v>33</v>
      </c>
      <c r="Z1068">
        <v>4168</v>
      </c>
      <c r="AC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M1068">
        <v>0</v>
      </c>
      <c r="AR1068" t="s">
        <v>3640</v>
      </c>
      <c r="AS1068" t="s">
        <v>1680</v>
      </c>
      <c r="AT1068">
        <v>2025</v>
      </c>
      <c r="AU1068">
        <v>7</v>
      </c>
      <c r="AV1068" t="s">
        <v>318</v>
      </c>
      <c r="AX1068" t="s">
        <v>3727</v>
      </c>
    </row>
    <row r="1069" spans="1:50">
      <c r="A1069">
        <v>88</v>
      </c>
      <c r="B1069">
        <v>61</v>
      </c>
      <c r="C1069" t="s">
        <v>74</v>
      </c>
      <c r="D1069" t="s">
        <v>1571</v>
      </c>
      <c r="E1069" t="s">
        <v>1572</v>
      </c>
      <c r="F1069">
        <v>878</v>
      </c>
      <c r="G1069" s="23" t="s">
        <v>1545</v>
      </c>
      <c r="H1069" s="2" t="s">
        <v>3627</v>
      </c>
      <c r="I1069" s="2"/>
      <c r="K1069" s="149">
        <v>0</v>
      </c>
      <c r="L1069" s="149">
        <v>-13102421</v>
      </c>
      <c r="M1069" s="149">
        <v>-2489462</v>
      </c>
      <c r="N1069" s="149">
        <v>-15591883</v>
      </c>
      <c r="O1069">
        <v>0</v>
      </c>
      <c r="P1069">
        <v>0</v>
      </c>
      <c r="Q1069">
        <v>0</v>
      </c>
      <c r="R1069">
        <v>0</v>
      </c>
      <c r="S1069">
        <v>0</v>
      </c>
      <c r="T1069" t="s">
        <v>77</v>
      </c>
      <c r="U1069">
        <v>0</v>
      </c>
      <c r="V1069">
        <v>0</v>
      </c>
      <c r="W1069">
        <v>0</v>
      </c>
      <c r="X1069">
        <v>0</v>
      </c>
      <c r="Y1069">
        <v>33</v>
      </c>
      <c r="Z1069">
        <v>4092</v>
      </c>
      <c r="AC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M1069">
        <v>0</v>
      </c>
      <c r="AR1069" t="s">
        <v>3640</v>
      </c>
      <c r="AS1069" t="s">
        <v>1680</v>
      </c>
      <c r="AT1069">
        <v>2025</v>
      </c>
      <c r="AU1069">
        <v>7</v>
      </c>
      <c r="AV1069" t="s">
        <v>318</v>
      </c>
      <c r="AX1069" t="s">
        <v>3728</v>
      </c>
    </row>
    <row r="1070" spans="1:50">
      <c r="A1070">
        <v>89</v>
      </c>
      <c r="B1070">
        <v>61</v>
      </c>
      <c r="C1070" t="s">
        <v>74</v>
      </c>
      <c r="D1070" t="s">
        <v>2329</v>
      </c>
      <c r="E1070" t="s">
        <v>2330</v>
      </c>
      <c r="F1070">
        <v>879</v>
      </c>
      <c r="G1070" s="23" t="s">
        <v>1547</v>
      </c>
      <c r="H1070" s="2" t="s">
        <v>3628</v>
      </c>
      <c r="I1070" s="2"/>
      <c r="K1070" s="149">
        <v>0</v>
      </c>
      <c r="L1070" s="149">
        <v>-28000</v>
      </c>
      <c r="M1070" s="149">
        <v>-5320</v>
      </c>
      <c r="N1070" s="149">
        <v>-33320</v>
      </c>
      <c r="O1070">
        <v>0</v>
      </c>
      <c r="P1070">
        <v>0</v>
      </c>
      <c r="Q1070">
        <v>0</v>
      </c>
      <c r="R1070">
        <v>0</v>
      </c>
      <c r="S1070">
        <v>0</v>
      </c>
      <c r="T1070" t="s">
        <v>77</v>
      </c>
      <c r="U1070">
        <v>0</v>
      </c>
      <c r="V1070">
        <v>0</v>
      </c>
      <c r="W1070">
        <v>0</v>
      </c>
      <c r="X1070">
        <v>0</v>
      </c>
      <c r="Y1070">
        <v>33</v>
      </c>
      <c r="Z1070">
        <v>4198</v>
      </c>
      <c r="AC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M1070">
        <v>0</v>
      </c>
      <c r="AR1070" t="s">
        <v>3640</v>
      </c>
      <c r="AS1070" t="s">
        <v>1680</v>
      </c>
      <c r="AT1070">
        <v>2025</v>
      </c>
      <c r="AU1070">
        <v>7</v>
      </c>
      <c r="AV1070" t="s">
        <v>318</v>
      </c>
      <c r="AX1070" t="s">
        <v>3729</v>
      </c>
    </row>
    <row r="1071" spans="1:50">
      <c r="A1071">
        <v>90</v>
      </c>
      <c r="B1071">
        <v>61</v>
      </c>
      <c r="C1071" t="s">
        <v>74</v>
      </c>
      <c r="D1071" t="s">
        <v>1222</v>
      </c>
      <c r="E1071" t="s">
        <v>1223</v>
      </c>
      <c r="F1071">
        <v>880</v>
      </c>
      <c r="G1071" s="23" t="s">
        <v>1547</v>
      </c>
      <c r="H1071" s="2" t="s">
        <v>3629</v>
      </c>
      <c r="I1071" s="2" t="s">
        <v>3570</v>
      </c>
      <c r="K1071" s="149">
        <v>0</v>
      </c>
      <c r="L1071" s="149">
        <v>-174985</v>
      </c>
      <c r="M1071" s="149">
        <v>-33247</v>
      </c>
      <c r="N1071" s="149">
        <v>-208232</v>
      </c>
      <c r="O1071">
        <v>0</v>
      </c>
      <c r="P1071">
        <v>0</v>
      </c>
      <c r="Q1071">
        <v>0</v>
      </c>
      <c r="R1071">
        <v>0</v>
      </c>
      <c r="S1071">
        <v>0</v>
      </c>
      <c r="T1071" t="s">
        <v>77</v>
      </c>
      <c r="U1071">
        <v>0</v>
      </c>
      <c r="V1071">
        <v>0</v>
      </c>
      <c r="W1071">
        <v>0</v>
      </c>
      <c r="X1071">
        <v>0</v>
      </c>
      <c r="Y1071">
        <v>33</v>
      </c>
      <c r="Z1071">
        <v>4193</v>
      </c>
      <c r="AC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M1071">
        <v>0</v>
      </c>
      <c r="AR1071" t="s">
        <v>3640</v>
      </c>
      <c r="AS1071" t="s">
        <v>1680</v>
      </c>
      <c r="AT1071">
        <v>2025</v>
      </c>
      <c r="AU1071">
        <v>7</v>
      </c>
      <c r="AV1071" t="s">
        <v>318</v>
      </c>
      <c r="AX1071" t="s">
        <v>3730</v>
      </c>
    </row>
    <row r="1072" spans="1:50">
      <c r="A1072">
        <v>91</v>
      </c>
      <c r="B1072">
        <v>61</v>
      </c>
      <c r="C1072" t="s">
        <v>74</v>
      </c>
      <c r="D1072" t="s">
        <v>1571</v>
      </c>
      <c r="E1072" t="s">
        <v>1572</v>
      </c>
      <c r="F1072">
        <v>881</v>
      </c>
      <c r="G1072" s="23" t="s">
        <v>3827</v>
      </c>
      <c r="H1072" s="2" t="s">
        <v>3630</v>
      </c>
      <c r="J1072" t="s">
        <v>3578</v>
      </c>
      <c r="K1072" s="149">
        <v>0</v>
      </c>
      <c r="L1072" s="149">
        <v>-345318</v>
      </c>
      <c r="M1072" s="149">
        <v>-65611</v>
      </c>
      <c r="N1072" s="149">
        <v>-410929</v>
      </c>
      <c r="O1072">
        <v>0</v>
      </c>
      <c r="P1072">
        <v>0</v>
      </c>
      <c r="Q1072">
        <v>0</v>
      </c>
      <c r="R1072">
        <v>0</v>
      </c>
      <c r="S1072">
        <v>0</v>
      </c>
      <c r="T1072" t="s">
        <v>77</v>
      </c>
      <c r="U1072">
        <v>0</v>
      </c>
      <c r="V1072">
        <v>0</v>
      </c>
      <c r="W1072">
        <v>0</v>
      </c>
      <c r="X1072">
        <v>0</v>
      </c>
      <c r="Y1072">
        <v>33</v>
      </c>
      <c r="Z1072">
        <v>4197</v>
      </c>
      <c r="AC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M1072">
        <v>0</v>
      </c>
      <c r="AR1072" t="s">
        <v>3640</v>
      </c>
      <c r="AS1072" t="s">
        <v>1680</v>
      </c>
      <c r="AT1072">
        <v>2025</v>
      </c>
      <c r="AU1072">
        <v>7</v>
      </c>
      <c r="AV1072" t="s">
        <v>318</v>
      </c>
      <c r="AX1072" t="s">
        <v>3731</v>
      </c>
    </row>
    <row r="1073" spans="1:50">
      <c r="A1073">
        <v>92</v>
      </c>
      <c r="B1073">
        <v>61</v>
      </c>
      <c r="C1073" t="s">
        <v>74</v>
      </c>
      <c r="D1073" t="s">
        <v>1571</v>
      </c>
      <c r="E1073" t="s">
        <v>1572</v>
      </c>
      <c r="F1073">
        <v>882</v>
      </c>
      <c r="G1073" s="23" t="s">
        <v>1548</v>
      </c>
      <c r="H1073" s="2" t="s">
        <v>3631</v>
      </c>
      <c r="I1073" s="2"/>
      <c r="K1073" s="149">
        <v>0</v>
      </c>
      <c r="L1073" s="149">
        <v>-20493535</v>
      </c>
      <c r="M1073" s="149">
        <v>-3893772</v>
      </c>
      <c r="N1073" s="149">
        <v>-24387307</v>
      </c>
      <c r="O1073">
        <v>0</v>
      </c>
      <c r="P1073">
        <v>0</v>
      </c>
      <c r="Q1073">
        <v>0</v>
      </c>
      <c r="R1073">
        <v>0</v>
      </c>
      <c r="S1073">
        <v>0</v>
      </c>
      <c r="T1073" t="s">
        <v>77</v>
      </c>
      <c r="U1073">
        <v>0</v>
      </c>
      <c r="V1073">
        <v>0</v>
      </c>
      <c r="W1073">
        <v>0</v>
      </c>
      <c r="X1073">
        <v>0</v>
      </c>
      <c r="Y1073">
        <v>33</v>
      </c>
      <c r="Z1073">
        <v>4187</v>
      </c>
      <c r="AC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M1073">
        <v>0</v>
      </c>
      <c r="AR1073" t="s">
        <v>3640</v>
      </c>
      <c r="AS1073" t="s">
        <v>1680</v>
      </c>
      <c r="AT1073">
        <v>2025</v>
      </c>
      <c r="AU1073">
        <v>7</v>
      </c>
      <c r="AV1073" t="s">
        <v>318</v>
      </c>
      <c r="AX1073" t="s">
        <v>3732</v>
      </c>
    </row>
    <row r="1074" spans="1:50">
      <c r="A1074">
        <v>93</v>
      </c>
      <c r="B1074">
        <v>61</v>
      </c>
      <c r="C1074" t="s">
        <v>74</v>
      </c>
      <c r="D1074" t="s">
        <v>1222</v>
      </c>
      <c r="E1074" t="s">
        <v>1223</v>
      </c>
      <c r="F1074">
        <v>883</v>
      </c>
      <c r="G1074" s="23" t="s">
        <v>1548</v>
      </c>
      <c r="H1074" s="2" t="s">
        <v>3632</v>
      </c>
      <c r="I1074" s="2" t="s">
        <v>3585</v>
      </c>
      <c r="K1074" s="149">
        <v>0</v>
      </c>
      <c r="L1074" s="149">
        <v>-144900</v>
      </c>
      <c r="M1074" s="149">
        <v>-27531</v>
      </c>
      <c r="N1074" s="149">
        <v>-172431</v>
      </c>
      <c r="O1074">
        <v>0</v>
      </c>
      <c r="P1074">
        <v>0</v>
      </c>
      <c r="Q1074">
        <v>0</v>
      </c>
      <c r="R1074">
        <v>0</v>
      </c>
      <c r="S1074">
        <v>0</v>
      </c>
      <c r="T1074" t="s">
        <v>77</v>
      </c>
      <c r="U1074">
        <v>0</v>
      </c>
      <c r="V1074">
        <v>0</v>
      </c>
      <c r="W1074">
        <v>0</v>
      </c>
      <c r="X1074">
        <v>0</v>
      </c>
      <c r="Y1074">
        <v>33</v>
      </c>
      <c r="Z1074">
        <v>4202</v>
      </c>
      <c r="AC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M1074">
        <v>0</v>
      </c>
      <c r="AR1074" t="s">
        <v>3640</v>
      </c>
      <c r="AS1074" t="s">
        <v>1680</v>
      </c>
      <c r="AT1074">
        <v>2025</v>
      </c>
      <c r="AU1074">
        <v>7</v>
      </c>
      <c r="AV1074" t="s">
        <v>318</v>
      </c>
      <c r="AX1074" t="s">
        <v>3733</v>
      </c>
    </row>
    <row r="1075" spans="1:50">
      <c r="A1075">
        <v>94</v>
      </c>
      <c r="B1075">
        <v>61</v>
      </c>
      <c r="C1075" t="s">
        <v>74</v>
      </c>
      <c r="D1075" t="s">
        <v>1680</v>
      </c>
      <c r="E1075" t="s">
        <v>3139</v>
      </c>
      <c r="F1075">
        <v>884</v>
      </c>
      <c r="G1075" s="23" t="s">
        <v>1548</v>
      </c>
      <c r="H1075" s="2" t="s">
        <v>3633</v>
      </c>
      <c r="I1075" s="2"/>
      <c r="K1075" s="149">
        <v>0</v>
      </c>
      <c r="L1075" s="149">
        <v>-9000</v>
      </c>
      <c r="M1075" s="149">
        <v>-1710</v>
      </c>
      <c r="N1075" s="149">
        <v>-10710</v>
      </c>
      <c r="O1075">
        <v>0</v>
      </c>
      <c r="P1075">
        <v>0</v>
      </c>
      <c r="Q1075">
        <v>0</v>
      </c>
      <c r="R1075">
        <v>0</v>
      </c>
      <c r="S1075">
        <v>0</v>
      </c>
      <c r="T1075" t="s">
        <v>77</v>
      </c>
      <c r="U1075">
        <v>0</v>
      </c>
      <c r="V1075">
        <v>0</v>
      </c>
      <c r="W1075">
        <v>0</v>
      </c>
      <c r="X1075">
        <v>0</v>
      </c>
      <c r="Y1075">
        <v>33</v>
      </c>
      <c r="Z1075">
        <v>4204</v>
      </c>
      <c r="AC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M1075">
        <v>0</v>
      </c>
      <c r="AR1075" t="s">
        <v>3640</v>
      </c>
      <c r="AS1075" t="s">
        <v>1680</v>
      </c>
      <c r="AT1075">
        <v>2025</v>
      </c>
      <c r="AU1075">
        <v>7</v>
      </c>
      <c r="AV1075" t="s">
        <v>318</v>
      </c>
      <c r="AX1075" t="s">
        <v>3734</v>
      </c>
    </row>
    <row r="1076" spans="1:50">
      <c r="A1076">
        <v>95</v>
      </c>
      <c r="B1076">
        <v>61</v>
      </c>
      <c r="C1076" t="s">
        <v>74</v>
      </c>
      <c r="D1076" t="s">
        <v>1571</v>
      </c>
      <c r="E1076" t="s">
        <v>1572</v>
      </c>
      <c r="F1076">
        <v>885</v>
      </c>
      <c r="G1076" s="23" t="s">
        <v>3828</v>
      </c>
      <c r="H1076" s="2" t="s">
        <v>3634</v>
      </c>
      <c r="I1076" s="2"/>
      <c r="K1076" s="149">
        <v>0</v>
      </c>
      <c r="L1076" s="149">
        <v>-9485432</v>
      </c>
      <c r="M1076" s="149">
        <v>-1802232</v>
      </c>
      <c r="N1076" s="149">
        <v>-11287664</v>
      </c>
      <c r="O1076">
        <v>0</v>
      </c>
      <c r="P1076">
        <v>0</v>
      </c>
      <c r="Q1076">
        <v>0</v>
      </c>
      <c r="R1076">
        <v>0</v>
      </c>
      <c r="S1076">
        <v>0</v>
      </c>
      <c r="T1076" t="s">
        <v>77</v>
      </c>
      <c r="U1076">
        <v>0</v>
      </c>
      <c r="V1076">
        <v>0</v>
      </c>
      <c r="W1076">
        <v>0</v>
      </c>
      <c r="X1076">
        <v>0</v>
      </c>
      <c r="Y1076">
        <v>33</v>
      </c>
      <c r="Z1076">
        <v>4197</v>
      </c>
      <c r="AC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M1076">
        <v>0</v>
      </c>
      <c r="AR1076" t="s">
        <v>3640</v>
      </c>
      <c r="AS1076" t="s">
        <v>1680</v>
      </c>
      <c r="AT1076">
        <v>2025</v>
      </c>
      <c r="AU1076">
        <v>7</v>
      </c>
      <c r="AV1076" t="s">
        <v>318</v>
      </c>
      <c r="AX1076" t="s">
        <v>3735</v>
      </c>
    </row>
    <row r="1077" spans="1:50">
      <c r="A1077">
        <v>96</v>
      </c>
      <c r="B1077">
        <v>61</v>
      </c>
      <c r="C1077" t="s">
        <v>74</v>
      </c>
      <c r="D1077" t="s">
        <v>1571</v>
      </c>
      <c r="E1077" t="s">
        <v>1572</v>
      </c>
      <c r="F1077">
        <v>886</v>
      </c>
      <c r="G1077" s="23" t="s">
        <v>3828</v>
      </c>
      <c r="H1077" s="2" t="s">
        <v>3635</v>
      </c>
      <c r="J1077" s="2">
        <v>45665.335370370369</v>
      </c>
      <c r="K1077" s="149">
        <v>0</v>
      </c>
      <c r="L1077" s="149">
        <v>-1037646</v>
      </c>
      <c r="M1077" s="149">
        <v>-197153</v>
      </c>
      <c r="N1077" s="149">
        <v>-1234799</v>
      </c>
      <c r="O1077">
        <v>0</v>
      </c>
      <c r="P1077">
        <v>0</v>
      </c>
      <c r="Q1077">
        <v>0</v>
      </c>
      <c r="R1077">
        <v>0</v>
      </c>
      <c r="S1077">
        <v>0</v>
      </c>
      <c r="T1077" t="s">
        <v>77</v>
      </c>
      <c r="U1077">
        <v>0</v>
      </c>
      <c r="V1077">
        <v>0</v>
      </c>
      <c r="W1077">
        <v>0</v>
      </c>
      <c r="X1077">
        <v>0</v>
      </c>
      <c r="Y1077">
        <v>33</v>
      </c>
      <c r="Z1077">
        <v>4207</v>
      </c>
      <c r="AC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M1077">
        <v>0</v>
      </c>
      <c r="AR1077" t="s">
        <v>3640</v>
      </c>
      <c r="AS1077" t="s">
        <v>1680</v>
      </c>
      <c r="AT1077">
        <v>2025</v>
      </c>
      <c r="AU1077">
        <v>7</v>
      </c>
      <c r="AV1077" t="s">
        <v>318</v>
      </c>
      <c r="AX1077" t="s">
        <v>3736</v>
      </c>
    </row>
    <row r="1078" spans="1:50">
      <c r="A1078">
        <v>97</v>
      </c>
      <c r="B1078">
        <v>61</v>
      </c>
      <c r="C1078" t="s">
        <v>74</v>
      </c>
      <c r="D1078" t="s">
        <v>1579</v>
      </c>
      <c r="E1078" t="s">
        <v>1580</v>
      </c>
      <c r="F1078">
        <v>887</v>
      </c>
      <c r="G1078" s="23" t="s">
        <v>1550</v>
      </c>
      <c r="H1078" s="2" t="s">
        <v>3636</v>
      </c>
      <c r="K1078" s="149">
        <v>0</v>
      </c>
      <c r="L1078" s="149">
        <v>-16177700</v>
      </c>
      <c r="M1078" s="149">
        <v>-3073763</v>
      </c>
      <c r="N1078" s="149">
        <v>-19251463</v>
      </c>
      <c r="O1078">
        <v>0</v>
      </c>
      <c r="P1078">
        <v>0</v>
      </c>
      <c r="Q1078">
        <v>0</v>
      </c>
      <c r="R1078">
        <v>0</v>
      </c>
      <c r="S1078">
        <v>0</v>
      </c>
      <c r="T1078" t="s">
        <v>77</v>
      </c>
      <c r="U1078">
        <v>0</v>
      </c>
      <c r="V1078">
        <v>0</v>
      </c>
      <c r="W1078">
        <v>0</v>
      </c>
      <c r="X1078">
        <v>0</v>
      </c>
      <c r="Y1078">
        <v>33</v>
      </c>
      <c r="Z1078">
        <v>4205</v>
      </c>
      <c r="AC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M1078">
        <v>0</v>
      </c>
      <c r="AR1078" t="s">
        <v>3640</v>
      </c>
      <c r="AS1078" t="s">
        <v>1680</v>
      </c>
      <c r="AT1078">
        <v>2025</v>
      </c>
      <c r="AU1078">
        <v>7</v>
      </c>
      <c r="AV1078" t="s">
        <v>318</v>
      </c>
      <c r="AX1078" t="s">
        <v>3737</v>
      </c>
    </row>
    <row r="1079" spans="1:50">
      <c r="A1079">
        <v>98</v>
      </c>
      <c r="B1079">
        <v>61</v>
      </c>
      <c r="C1079" t="s">
        <v>74</v>
      </c>
      <c r="D1079" t="s">
        <v>1571</v>
      </c>
      <c r="E1079" t="s">
        <v>1572</v>
      </c>
      <c r="F1079">
        <v>888</v>
      </c>
      <c r="G1079" s="23" t="s">
        <v>3830</v>
      </c>
      <c r="H1079" s="2" t="s">
        <v>3637</v>
      </c>
      <c r="J1079" s="2">
        <v>45665.335370370369</v>
      </c>
      <c r="K1079" s="149">
        <v>0</v>
      </c>
      <c r="L1079" s="149">
        <v>-6667042</v>
      </c>
      <c r="M1079" s="149">
        <v>-1266739</v>
      </c>
      <c r="N1079" s="149">
        <v>-7933781</v>
      </c>
      <c r="O1079">
        <v>0</v>
      </c>
      <c r="P1079">
        <v>0</v>
      </c>
      <c r="Q1079">
        <v>0</v>
      </c>
      <c r="R1079">
        <v>0</v>
      </c>
      <c r="S1079">
        <v>0</v>
      </c>
      <c r="T1079" t="s">
        <v>77</v>
      </c>
      <c r="U1079">
        <v>0</v>
      </c>
      <c r="V1079">
        <v>0</v>
      </c>
      <c r="W1079">
        <v>0</v>
      </c>
      <c r="X1079">
        <v>0</v>
      </c>
      <c r="Y1079">
        <v>33</v>
      </c>
      <c r="Z1079">
        <v>4207</v>
      </c>
      <c r="AC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M1079">
        <v>0</v>
      </c>
      <c r="AR1079" t="s">
        <v>3640</v>
      </c>
      <c r="AS1079" t="s">
        <v>1680</v>
      </c>
      <c r="AT1079">
        <v>2025</v>
      </c>
      <c r="AU1079">
        <v>7</v>
      </c>
      <c r="AV1079" t="s">
        <v>318</v>
      </c>
      <c r="AX1079" t="s">
        <v>3738</v>
      </c>
    </row>
    <row r="1080" spans="1:50">
      <c r="A1080">
        <v>99</v>
      </c>
      <c r="B1080">
        <v>61</v>
      </c>
      <c r="C1080" t="s">
        <v>74</v>
      </c>
      <c r="D1080" t="s">
        <v>1571</v>
      </c>
      <c r="E1080" t="s">
        <v>1572</v>
      </c>
      <c r="F1080">
        <v>889</v>
      </c>
      <c r="G1080" s="23" t="s">
        <v>3830</v>
      </c>
      <c r="H1080" s="2" t="s">
        <v>3638</v>
      </c>
      <c r="J1080" t="s">
        <v>3600</v>
      </c>
      <c r="K1080" s="149">
        <v>0</v>
      </c>
      <c r="L1080" s="149">
        <v>-20493535</v>
      </c>
      <c r="M1080" s="149">
        <v>-3893772</v>
      </c>
      <c r="N1080" s="149">
        <v>-24387307</v>
      </c>
      <c r="O1080">
        <v>0</v>
      </c>
      <c r="P1080">
        <v>0</v>
      </c>
      <c r="Q1080">
        <v>0</v>
      </c>
      <c r="R1080">
        <v>0</v>
      </c>
      <c r="S1080">
        <v>0</v>
      </c>
      <c r="T1080" t="s">
        <v>77</v>
      </c>
      <c r="U1080">
        <v>0</v>
      </c>
      <c r="V1080">
        <v>0</v>
      </c>
      <c r="W1080">
        <v>0</v>
      </c>
      <c r="X1080">
        <v>0</v>
      </c>
      <c r="Y1080">
        <v>33</v>
      </c>
      <c r="Z1080">
        <v>4211</v>
      </c>
      <c r="AC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M1080">
        <v>0</v>
      </c>
      <c r="AR1080" t="s">
        <v>3640</v>
      </c>
      <c r="AS1080" t="s">
        <v>1680</v>
      </c>
      <c r="AT1080">
        <v>2025</v>
      </c>
      <c r="AU1080">
        <v>7</v>
      </c>
      <c r="AV1080" t="s">
        <v>318</v>
      </c>
      <c r="AX1080" t="s">
        <v>3739</v>
      </c>
    </row>
    <row r="1081" spans="1:50">
      <c r="A1081">
        <v>100</v>
      </c>
      <c r="B1081">
        <v>61</v>
      </c>
      <c r="C1081" t="s">
        <v>74</v>
      </c>
      <c r="D1081" t="s">
        <v>1571</v>
      </c>
      <c r="E1081" t="s">
        <v>1572</v>
      </c>
      <c r="F1081">
        <v>890</v>
      </c>
      <c r="G1081" s="23" t="s">
        <v>3831</v>
      </c>
      <c r="H1081" s="2" t="s">
        <v>3639</v>
      </c>
      <c r="J1081" s="2">
        <v>45665.840879629628</v>
      </c>
      <c r="K1081" s="149">
        <v>0</v>
      </c>
      <c r="L1081" s="149">
        <v>-2273175</v>
      </c>
      <c r="M1081" s="149">
        <v>-431904</v>
      </c>
      <c r="N1081" s="149">
        <v>-2705079</v>
      </c>
      <c r="O1081">
        <v>0</v>
      </c>
      <c r="P1081">
        <v>0</v>
      </c>
      <c r="Q1081">
        <v>0</v>
      </c>
      <c r="R1081">
        <v>0</v>
      </c>
      <c r="S1081">
        <v>0</v>
      </c>
      <c r="T1081" t="s">
        <v>77</v>
      </c>
      <c r="U1081">
        <v>0</v>
      </c>
      <c r="V1081">
        <v>0</v>
      </c>
      <c r="W1081">
        <v>0</v>
      </c>
      <c r="X1081">
        <v>0</v>
      </c>
      <c r="Y1081">
        <v>33</v>
      </c>
      <c r="Z1081">
        <v>4221</v>
      </c>
      <c r="AC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M1081">
        <v>0</v>
      </c>
      <c r="AR1081" t="s">
        <v>3640</v>
      </c>
      <c r="AS1081" t="s">
        <v>1680</v>
      </c>
      <c r="AT1081">
        <v>2025</v>
      </c>
      <c r="AU1081">
        <v>7</v>
      </c>
      <c r="AV1081" t="s">
        <v>318</v>
      </c>
      <c r="AX1081" t="s">
        <v>3740</v>
      </c>
    </row>
    <row r="1082" spans="1:50">
      <c r="H1082" s="2"/>
      <c r="I1082" s="2"/>
      <c r="K1082" s="149"/>
      <c r="L1082" s="149"/>
      <c r="M1082" s="149"/>
      <c r="N1082" s="149"/>
    </row>
    <row r="1083" spans="1:50">
      <c r="H1083" s="2"/>
      <c r="J1083" s="2"/>
      <c r="K1083" s="149"/>
      <c r="L1083" s="149"/>
      <c r="M1083" s="149"/>
      <c r="N1083" s="149"/>
    </row>
    <row r="1084" spans="1:50">
      <c r="H1084" s="2"/>
      <c r="K1084" s="149"/>
      <c r="L1084" s="149"/>
      <c r="M1084" s="149"/>
      <c r="N1084" s="149"/>
    </row>
    <row r="1085" spans="1:50">
      <c r="H1085" s="2"/>
      <c r="K1085" s="149"/>
      <c r="L1085" s="149"/>
      <c r="M1085" s="149"/>
      <c r="N1085" s="149"/>
    </row>
    <row r="1086" spans="1:50">
      <c r="H1086" s="2"/>
      <c r="K1086" s="149"/>
      <c r="L1086" s="149"/>
      <c r="M1086" s="149"/>
      <c r="N1086" s="149"/>
    </row>
    <row r="1087" spans="1:50">
      <c r="H1087" s="2"/>
      <c r="I1087" s="2"/>
      <c r="K1087" s="149"/>
      <c r="L1087" s="149"/>
      <c r="M1087" s="149"/>
      <c r="N1087" s="149"/>
    </row>
    <row r="1088" spans="1:50">
      <c r="H1088" s="2"/>
      <c r="I1088" s="2"/>
      <c r="K1088" s="149"/>
      <c r="L1088" s="149"/>
      <c r="M1088" s="149"/>
      <c r="N1088" s="149"/>
    </row>
    <row r="1089" spans="8:14">
      <c r="H1089" s="2"/>
      <c r="I1089" s="2"/>
      <c r="K1089" s="149"/>
      <c r="L1089" s="149"/>
      <c r="M1089" s="149"/>
      <c r="N1089" s="149"/>
    </row>
    <row r="1090" spans="8:14">
      <c r="H1090" s="2"/>
      <c r="I1090" s="2"/>
      <c r="K1090" s="149"/>
      <c r="L1090" s="149"/>
      <c r="M1090" s="149"/>
      <c r="N1090" s="149"/>
    </row>
    <row r="1091" spans="8:14">
      <c r="H1091" s="2"/>
      <c r="I1091" s="2"/>
      <c r="K1091" s="149"/>
      <c r="L1091" s="149"/>
      <c r="M1091" s="149"/>
      <c r="N1091" s="149"/>
    </row>
    <row r="1092" spans="8:14">
      <c r="H1092" s="2"/>
      <c r="I1092" s="2"/>
      <c r="K1092" s="149"/>
      <c r="L1092" s="149"/>
      <c r="M1092" s="149"/>
      <c r="N1092" s="149"/>
    </row>
    <row r="1093" spans="8:14">
      <c r="H1093" s="2"/>
      <c r="I1093" s="2"/>
      <c r="K1093" s="149"/>
      <c r="L1093" s="149"/>
      <c r="M1093" s="149"/>
      <c r="N1093" s="149"/>
    </row>
    <row r="1094" spans="8:14">
      <c r="H1094" s="2"/>
      <c r="I1094" s="2"/>
      <c r="K1094" s="149"/>
      <c r="L1094" s="149"/>
      <c r="M1094" s="149"/>
      <c r="N1094" s="149"/>
    </row>
    <row r="1095" spans="8:14">
      <c r="H1095" s="2"/>
      <c r="I1095" s="2"/>
      <c r="K1095" s="149"/>
      <c r="L1095" s="149"/>
      <c r="M1095" s="149"/>
      <c r="N1095" s="149"/>
    </row>
    <row r="1096" spans="8:14">
      <c r="H1096" s="2"/>
      <c r="I1096" s="2"/>
      <c r="K1096" s="149"/>
      <c r="L1096" s="149"/>
      <c r="M1096" s="149"/>
      <c r="N1096" s="149"/>
    </row>
    <row r="1097" spans="8:14">
      <c r="H1097" s="2"/>
      <c r="I1097" s="2"/>
      <c r="K1097" s="149"/>
      <c r="L1097" s="149"/>
      <c r="M1097" s="149"/>
      <c r="N1097" s="149"/>
    </row>
    <row r="1098" spans="8:14">
      <c r="H1098" s="2"/>
      <c r="I1098" s="2"/>
      <c r="K1098" s="149"/>
      <c r="L1098" s="149"/>
      <c r="M1098" s="149"/>
      <c r="N1098" s="149"/>
    </row>
    <row r="1099" spans="8:14">
      <c r="H1099" s="2"/>
      <c r="I1099" s="2"/>
      <c r="K1099" s="149"/>
      <c r="L1099" s="149"/>
      <c r="M1099" s="149"/>
      <c r="N1099" s="149"/>
    </row>
    <row r="1100" spans="8:14">
      <c r="H1100" s="2"/>
      <c r="I1100" s="2"/>
      <c r="K1100" s="149"/>
      <c r="L1100" s="149"/>
      <c r="M1100" s="149"/>
      <c r="N1100" s="149"/>
    </row>
    <row r="1101" spans="8:14">
      <c r="H1101" s="2"/>
      <c r="I1101" s="2"/>
      <c r="K1101" s="149"/>
      <c r="L1101" s="149"/>
      <c r="M1101" s="149"/>
      <c r="N1101" s="149"/>
    </row>
    <row r="1102" spans="8:14">
      <c r="H1102" s="2"/>
      <c r="I1102" s="2"/>
      <c r="K1102" s="149"/>
      <c r="L1102" s="149"/>
      <c r="M1102" s="149"/>
      <c r="N1102" s="149"/>
    </row>
    <row r="1103" spans="8:14">
      <c r="H1103" s="2"/>
      <c r="I1103" s="2"/>
      <c r="K1103" s="149"/>
      <c r="L1103" s="149"/>
      <c r="M1103" s="149"/>
      <c r="N1103" s="149"/>
    </row>
    <row r="1104" spans="8:14">
      <c r="H1104" s="2"/>
      <c r="I1104" s="2"/>
      <c r="K1104" s="149"/>
      <c r="L1104" s="149"/>
      <c r="M1104" s="149"/>
      <c r="N1104" s="149"/>
    </row>
    <row r="1105" spans="8:14">
      <c r="H1105" s="2"/>
      <c r="I1105" s="2"/>
      <c r="K1105" s="149"/>
      <c r="L1105" s="149"/>
      <c r="M1105" s="149"/>
      <c r="N1105" s="149"/>
    </row>
    <row r="1106" spans="8:14">
      <c r="H1106" s="2"/>
      <c r="I1106" s="2"/>
      <c r="K1106" s="149"/>
      <c r="L1106" s="149"/>
      <c r="M1106" s="149"/>
      <c r="N1106" s="149"/>
    </row>
    <row r="1107" spans="8:14">
      <c r="H1107" s="2"/>
      <c r="I1107" s="2"/>
      <c r="K1107" s="149"/>
      <c r="L1107" s="149"/>
      <c r="M1107" s="149"/>
      <c r="N1107" s="149"/>
    </row>
    <row r="1108" spans="8:14">
      <c r="H1108" s="2"/>
      <c r="I1108" s="2"/>
      <c r="K1108" s="149"/>
      <c r="L1108" s="149"/>
      <c r="M1108" s="149"/>
      <c r="N1108" s="149"/>
    </row>
    <row r="1109" spans="8:14">
      <c r="H1109" s="2"/>
      <c r="I1109" s="2"/>
      <c r="K1109" s="149"/>
      <c r="L1109" s="149"/>
      <c r="M1109" s="149"/>
      <c r="N1109" s="149"/>
    </row>
    <row r="1110" spans="8:14">
      <c r="H1110" s="2"/>
      <c r="I1110" s="2"/>
      <c r="K1110" s="149"/>
      <c r="L1110" s="149"/>
      <c r="M1110" s="149"/>
      <c r="N1110" s="149"/>
    </row>
    <row r="1111" spans="8:14">
      <c r="H1111" s="2"/>
      <c r="I1111" s="2"/>
      <c r="K1111" s="149"/>
      <c r="L1111" s="149"/>
      <c r="M1111" s="149"/>
      <c r="N1111" s="149"/>
    </row>
    <row r="1112" spans="8:14">
      <c r="H1112" s="2"/>
      <c r="I1112" s="2"/>
      <c r="K1112" s="149"/>
      <c r="L1112" s="149"/>
      <c r="M1112" s="149"/>
      <c r="N1112" s="149"/>
    </row>
    <row r="1113" spans="8:14">
      <c r="H1113" s="2"/>
      <c r="I1113" s="2"/>
      <c r="K1113" s="149"/>
      <c r="L1113" s="149"/>
      <c r="M1113" s="149"/>
      <c r="N1113" s="149"/>
    </row>
    <row r="1114" spans="8:14">
      <c r="H1114" s="2"/>
      <c r="I1114" s="2"/>
      <c r="K1114" s="149"/>
      <c r="L1114" s="149"/>
      <c r="M1114" s="149"/>
      <c r="N1114" s="149"/>
    </row>
    <row r="1115" spans="8:14">
      <c r="H1115" s="2"/>
      <c r="I1115" s="2"/>
      <c r="K1115" s="149"/>
      <c r="L1115" s="149"/>
      <c r="M1115" s="149"/>
      <c r="N1115" s="149"/>
    </row>
    <row r="1116" spans="8:14">
      <c r="H1116" s="2"/>
      <c r="I1116" s="2"/>
      <c r="K1116" s="149"/>
      <c r="L1116" s="149"/>
      <c r="M1116" s="149"/>
      <c r="N1116" s="149"/>
    </row>
    <row r="1117" spans="8:14">
      <c r="H1117" s="2"/>
      <c r="I1117" s="2"/>
      <c r="K1117" s="149"/>
      <c r="L1117" s="149"/>
      <c r="M1117" s="149"/>
      <c r="N1117" s="149"/>
    </row>
    <row r="1118" spans="8:14">
      <c r="H1118" s="2"/>
      <c r="I1118" s="2"/>
      <c r="K1118" s="149"/>
      <c r="L1118" s="149"/>
      <c r="M1118" s="149"/>
      <c r="N1118" s="149"/>
    </row>
    <row r="1119" spans="8:14">
      <c r="H1119" s="2"/>
      <c r="I1119" s="2"/>
      <c r="K1119" s="149"/>
      <c r="L1119" s="149"/>
      <c r="M1119" s="149"/>
      <c r="N1119" s="149"/>
    </row>
    <row r="1120" spans="8:14">
      <c r="H1120" s="2"/>
      <c r="I1120" s="2"/>
      <c r="K1120" s="149"/>
      <c r="L1120" s="149"/>
      <c r="M1120" s="149"/>
      <c r="N1120" s="149"/>
    </row>
    <row r="1121" spans="8:14">
      <c r="H1121" s="2"/>
      <c r="I1121" s="2"/>
      <c r="K1121" s="149"/>
      <c r="L1121" s="149"/>
      <c r="M1121" s="149"/>
      <c r="N1121" s="149"/>
    </row>
    <row r="1122" spans="8:14">
      <c r="H1122" s="2"/>
      <c r="I1122" s="2"/>
      <c r="K1122" s="149"/>
      <c r="L1122" s="149"/>
      <c r="M1122" s="149"/>
      <c r="N1122" s="149"/>
    </row>
    <row r="1123" spans="8:14">
      <c r="H1123" s="2"/>
      <c r="I1123" s="2"/>
      <c r="K1123" s="149"/>
      <c r="L1123" s="149"/>
      <c r="M1123" s="149"/>
      <c r="N1123" s="149"/>
    </row>
    <row r="1124" spans="8:14">
      <c r="H1124" s="2"/>
      <c r="K1124" s="149"/>
      <c r="L1124" s="149"/>
      <c r="M1124" s="149"/>
      <c r="N1124" s="149"/>
    </row>
    <row r="1125" spans="8:14">
      <c r="H1125" s="2"/>
      <c r="I1125" s="2"/>
      <c r="K1125" s="149"/>
      <c r="L1125" s="149"/>
      <c r="M1125" s="149"/>
      <c r="N1125" s="149"/>
    </row>
    <row r="1126" spans="8:14">
      <c r="H1126" s="2"/>
      <c r="I1126" s="2"/>
      <c r="K1126" s="149"/>
      <c r="L1126" s="149"/>
      <c r="M1126" s="149"/>
      <c r="N1126" s="149"/>
    </row>
    <row r="1127" spans="8:14">
      <c r="H1127" s="2"/>
      <c r="K1127" s="149"/>
      <c r="L1127" s="149"/>
      <c r="M1127" s="149"/>
      <c r="N1127" s="149"/>
    </row>
    <row r="1128" spans="8:14">
      <c r="H1128" s="2"/>
      <c r="I1128" s="2"/>
      <c r="K1128" s="149"/>
      <c r="L1128" s="149"/>
      <c r="M1128" s="149"/>
      <c r="N1128" s="149"/>
    </row>
    <row r="1129" spans="8:14">
      <c r="H1129" s="2"/>
      <c r="I1129" s="2"/>
      <c r="K1129" s="149"/>
      <c r="L1129" s="149"/>
      <c r="M1129" s="149"/>
      <c r="N1129" s="149"/>
    </row>
    <row r="1130" spans="8:14">
      <c r="H1130" s="2"/>
      <c r="I1130" s="2"/>
      <c r="K1130" s="149"/>
      <c r="L1130" s="149"/>
      <c r="M1130" s="149"/>
      <c r="N1130" s="149"/>
    </row>
    <row r="1131" spans="8:14">
      <c r="H1131" s="2"/>
      <c r="I1131" s="2"/>
      <c r="K1131" s="149"/>
      <c r="L1131" s="149"/>
      <c r="M1131" s="149"/>
      <c r="N1131" s="149"/>
    </row>
    <row r="1132" spans="8:14">
      <c r="H1132" s="2"/>
      <c r="I1132" s="2"/>
      <c r="K1132" s="149"/>
      <c r="L1132" s="149"/>
      <c r="M1132" s="149"/>
      <c r="N1132" s="149"/>
    </row>
    <row r="1133" spans="8:14">
      <c r="H1133" s="2"/>
      <c r="I1133" s="2"/>
      <c r="K1133" s="149"/>
      <c r="L1133" s="149"/>
      <c r="M1133" s="149"/>
      <c r="N1133" s="149"/>
    </row>
    <row r="1134" spans="8:14">
      <c r="H1134" s="2"/>
      <c r="I1134" s="2"/>
      <c r="K1134" s="149"/>
      <c r="L1134" s="149"/>
      <c r="M1134" s="149"/>
      <c r="N1134" s="149"/>
    </row>
    <row r="1135" spans="8:14">
      <c r="H1135" s="2"/>
      <c r="I1135" s="2"/>
      <c r="K1135" s="149"/>
      <c r="L1135" s="149"/>
      <c r="M1135" s="149"/>
      <c r="N1135" s="149"/>
    </row>
    <row r="1136" spans="8:14">
      <c r="H1136" s="2"/>
      <c r="K1136" s="149"/>
      <c r="L1136" s="149"/>
      <c r="M1136" s="149"/>
      <c r="N1136" s="149"/>
    </row>
    <row r="1137" spans="8:14">
      <c r="H1137" s="2"/>
      <c r="I1137" s="2"/>
      <c r="K1137" s="149"/>
      <c r="L1137" s="149"/>
      <c r="M1137" s="149"/>
      <c r="N1137" s="149"/>
    </row>
    <row r="1138" spans="8:14">
      <c r="H1138" s="2"/>
      <c r="I1138" s="2"/>
      <c r="K1138" s="149"/>
      <c r="L1138" s="149"/>
      <c r="M1138" s="149"/>
      <c r="N1138" s="149"/>
    </row>
    <row r="1139" spans="8:14">
      <c r="H1139" s="2"/>
      <c r="K1139" s="149"/>
      <c r="L1139" s="149"/>
      <c r="M1139" s="149"/>
      <c r="N1139" s="149"/>
    </row>
    <row r="1140" spans="8:14">
      <c r="H1140" s="2"/>
      <c r="K1140" s="149"/>
      <c r="L1140" s="149"/>
      <c r="M1140" s="149"/>
      <c r="N1140" s="149"/>
    </row>
    <row r="1141" spans="8:14">
      <c r="H1141" s="2"/>
      <c r="K1141" s="149"/>
      <c r="L1141" s="149"/>
      <c r="M1141" s="149"/>
      <c r="N1141" s="149"/>
    </row>
    <row r="1142" spans="8:14">
      <c r="H1142" s="2"/>
      <c r="K1142" s="149"/>
      <c r="L1142" s="149"/>
      <c r="M1142" s="149"/>
      <c r="N1142" s="149"/>
    </row>
    <row r="1143" spans="8:14">
      <c r="H1143" s="2"/>
      <c r="K1143" s="149"/>
      <c r="L1143" s="149"/>
      <c r="M1143" s="149"/>
      <c r="N1143" s="149"/>
    </row>
    <row r="1144" spans="8:14">
      <c r="H1144" s="2"/>
      <c r="I1144" s="2"/>
      <c r="K1144" s="149"/>
      <c r="L1144" s="149"/>
      <c r="M1144" s="149"/>
      <c r="N1144" s="149"/>
    </row>
    <row r="1145" spans="8:14">
      <c r="H1145" s="2"/>
      <c r="I1145" s="2"/>
      <c r="K1145" s="149"/>
      <c r="L1145" s="149"/>
      <c r="M1145" s="149"/>
      <c r="N1145" s="149"/>
    </row>
    <row r="1146" spans="8:14">
      <c r="H1146" s="2"/>
      <c r="I1146" s="2"/>
      <c r="K1146" s="149"/>
      <c r="L1146" s="149"/>
      <c r="M1146" s="149"/>
      <c r="N1146" s="149"/>
    </row>
    <row r="1147" spans="8:14">
      <c r="H1147" s="2"/>
      <c r="K1147" s="149"/>
      <c r="L1147" s="149"/>
      <c r="M1147" s="149"/>
      <c r="N1147" s="149"/>
    </row>
    <row r="1148" spans="8:14">
      <c r="H1148" s="2"/>
      <c r="K1148" s="149"/>
      <c r="L1148" s="149"/>
      <c r="M1148" s="149"/>
      <c r="N1148" s="149"/>
    </row>
    <row r="1149" spans="8:14">
      <c r="H1149" s="2"/>
      <c r="I1149" s="2"/>
      <c r="K1149" s="149"/>
      <c r="L1149" s="149"/>
      <c r="M1149" s="149"/>
      <c r="N1149" s="149"/>
    </row>
    <row r="1150" spans="8:14">
      <c r="H1150" s="2"/>
      <c r="K1150" s="149"/>
      <c r="L1150" s="149"/>
      <c r="M1150" s="149"/>
      <c r="N1150" s="149"/>
    </row>
    <row r="1151" spans="8:14">
      <c r="H1151" s="2"/>
      <c r="I1151" s="2"/>
      <c r="K1151" s="149"/>
      <c r="L1151" s="149"/>
      <c r="M1151" s="149"/>
      <c r="N1151" s="149"/>
    </row>
    <row r="1152" spans="8:14">
      <c r="H1152" s="2"/>
      <c r="K1152" s="149"/>
      <c r="L1152" s="149"/>
      <c r="M1152" s="149"/>
      <c r="N1152" s="149"/>
    </row>
    <row r="1153" spans="8:14">
      <c r="H1153" s="2"/>
      <c r="I1153" s="2"/>
      <c r="K1153" s="149"/>
      <c r="L1153" s="149"/>
      <c r="M1153" s="149"/>
      <c r="N1153" s="149"/>
    </row>
    <row r="1154" spans="8:14">
      <c r="H1154" s="2"/>
      <c r="K1154" s="149"/>
      <c r="L1154" s="149"/>
      <c r="M1154" s="149"/>
      <c r="N1154" s="149"/>
    </row>
    <row r="1155" spans="8:14">
      <c r="H1155" s="2"/>
      <c r="K1155" s="149"/>
      <c r="L1155" s="149"/>
      <c r="M1155" s="149"/>
      <c r="N1155" s="149"/>
    </row>
    <row r="1156" spans="8:14">
      <c r="H1156" s="2"/>
      <c r="I1156" s="2"/>
      <c r="K1156" s="149"/>
      <c r="L1156" s="149"/>
      <c r="M1156" s="149"/>
      <c r="N1156" s="149"/>
    </row>
    <row r="1157" spans="8:14">
      <c r="H1157" s="2"/>
      <c r="K1157" s="149"/>
      <c r="L1157" s="149"/>
      <c r="M1157" s="149"/>
      <c r="N1157" s="149"/>
    </row>
    <row r="1158" spans="8:14">
      <c r="H1158" s="2"/>
      <c r="I1158" s="2"/>
      <c r="K1158" s="149"/>
      <c r="L1158" s="149"/>
      <c r="M1158" s="149"/>
      <c r="N1158" s="149"/>
    </row>
    <row r="1159" spans="8:14">
      <c r="H1159" s="2"/>
      <c r="K1159" s="149"/>
      <c r="L1159" s="149"/>
      <c r="M1159" s="149"/>
      <c r="N1159" s="149"/>
    </row>
    <row r="1160" spans="8:14">
      <c r="H1160" s="2"/>
      <c r="K1160" s="149"/>
      <c r="L1160" s="149"/>
      <c r="M1160" s="149"/>
      <c r="N1160" s="149"/>
    </row>
    <row r="1161" spans="8:14">
      <c r="H1161" s="2"/>
      <c r="I1161" s="2"/>
      <c r="K1161" s="149"/>
      <c r="L1161" s="149"/>
      <c r="M1161" s="149"/>
      <c r="N1161" s="149"/>
    </row>
    <row r="1162" spans="8:14">
      <c r="H1162" s="2"/>
      <c r="I1162" s="2"/>
      <c r="K1162" s="149"/>
      <c r="L1162" s="149"/>
      <c r="M1162" s="149"/>
      <c r="N1162" s="149"/>
    </row>
    <row r="1163" spans="8:14">
      <c r="H1163" s="2"/>
      <c r="K1163" s="149"/>
      <c r="L1163" s="149"/>
      <c r="M1163" s="149"/>
      <c r="N1163" s="149"/>
    </row>
    <row r="1164" spans="8:14">
      <c r="H1164" s="2"/>
      <c r="K1164" s="149"/>
      <c r="L1164" s="149"/>
      <c r="M1164" s="149"/>
      <c r="N1164" s="149"/>
    </row>
    <row r="1165" spans="8:14">
      <c r="H1165" s="2"/>
      <c r="K1165" s="149"/>
      <c r="L1165" s="149"/>
      <c r="M1165" s="149"/>
      <c r="N1165" s="149"/>
    </row>
    <row r="1166" spans="8:14">
      <c r="H1166" s="2"/>
      <c r="K1166" s="149"/>
      <c r="L1166" s="149"/>
      <c r="M1166" s="149"/>
      <c r="N1166" s="149"/>
    </row>
    <row r="1167" spans="8:14">
      <c r="H1167" s="2"/>
      <c r="K1167" s="149"/>
      <c r="L1167" s="149"/>
      <c r="M1167" s="149"/>
      <c r="N1167" s="149"/>
    </row>
    <row r="1168" spans="8:14">
      <c r="H1168" s="2"/>
      <c r="K1168" s="149"/>
      <c r="L1168" s="149"/>
      <c r="M1168" s="149"/>
      <c r="N1168" s="149"/>
    </row>
    <row r="1169" spans="8:14">
      <c r="H1169" s="2"/>
      <c r="K1169" s="149"/>
      <c r="L1169" s="149"/>
      <c r="M1169" s="149"/>
      <c r="N1169" s="149"/>
    </row>
    <row r="1170" spans="8:14">
      <c r="H1170" s="2"/>
      <c r="I1170" s="2"/>
      <c r="K1170" s="149"/>
      <c r="L1170" s="149"/>
      <c r="M1170" s="149"/>
      <c r="N1170" s="149"/>
    </row>
    <row r="1171" spans="8:14">
      <c r="H1171" s="2"/>
      <c r="I1171" s="2"/>
      <c r="K1171" s="149"/>
      <c r="L1171" s="149"/>
      <c r="M1171" s="149"/>
      <c r="N1171" s="149"/>
    </row>
    <row r="1172" spans="8:14">
      <c r="H1172" s="2"/>
      <c r="K1172" s="149"/>
      <c r="L1172" s="149"/>
      <c r="M1172" s="149"/>
      <c r="N1172" s="149"/>
    </row>
    <row r="1173" spans="8:14">
      <c r="H1173" s="2"/>
      <c r="K1173" s="149"/>
      <c r="L1173" s="149"/>
      <c r="M1173" s="149"/>
      <c r="N1173" s="149"/>
    </row>
    <row r="1174" spans="8:14">
      <c r="H1174" s="2"/>
      <c r="K1174" s="149"/>
      <c r="L1174" s="149"/>
      <c r="M1174" s="149"/>
      <c r="N1174" s="149"/>
    </row>
    <row r="1175" spans="8:14">
      <c r="H1175" s="2"/>
      <c r="K1175" s="149"/>
      <c r="L1175" s="149"/>
      <c r="M1175" s="149"/>
      <c r="N1175" s="149"/>
    </row>
    <row r="1176" spans="8:14">
      <c r="H1176" s="2"/>
      <c r="K1176" s="149"/>
      <c r="L1176" s="149"/>
      <c r="M1176" s="149"/>
      <c r="N1176" s="149"/>
    </row>
    <row r="1177" spans="8:14">
      <c r="H1177" s="2"/>
      <c r="K1177" s="149"/>
      <c r="L1177" s="149"/>
      <c r="M1177" s="149"/>
      <c r="N1177" s="149"/>
    </row>
    <row r="1178" spans="8:14">
      <c r="H1178" s="2"/>
      <c r="K1178" s="149"/>
      <c r="L1178" s="149"/>
      <c r="M1178" s="149"/>
      <c r="N1178" s="149"/>
    </row>
    <row r="1179" spans="8:14">
      <c r="H1179" s="2"/>
      <c r="K1179" s="149"/>
      <c r="L1179" s="149"/>
      <c r="M1179" s="149"/>
      <c r="N1179" s="149"/>
    </row>
    <row r="1180" spans="8:14">
      <c r="H1180" s="2"/>
      <c r="K1180" s="149"/>
      <c r="L1180" s="149"/>
      <c r="M1180" s="149"/>
      <c r="N1180" s="149"/>
    </row>
    <row r="1181" spans="8:14">
      <c r="H1181" s="2"/>
      <c r="I1181" s="2"/>
      <c r="K1181" s="149"/>
      <c r="L1181" s="149"/>
      <c r="M1181" s="149"/>
      <c r="N1181" s="149"/>
    </row>
    <row r="1182" spans="8:14">
      <c r="H1182" s="2"/>
      <c r="K1182" s="149"/>
      <c r="L1182" s="149"/>
      <c r="M1182" s="149"/>
      <c r="N1182" s="149"/>
    </row>
    <row r="1183" spans="8:14">
      <c r="H1183" s="2"/>
      <c r="K1183" s="149"/>
      <c r="L1183" s="149"/>
      <c r="M1183" s="149"/>
      <c r="N1183" s="149"/>
    </row>
    <row r="1184" spans="8:14">
      <c r="H1184" s="2"/>
      <c r="K1184" s="149"/>
      <c r="L1184" s="149"/>
      <c r="M1184" s="149"/>
      <c r="N1184" s="149"/>
    </row>
    <row r="1185" spans="8:14">
      <c r="H1185" s="2"/>
      <c r="K1185" s="149"/>
      <c r="L1185" s="149"/>
      <c r="M1185" s="149"/>
      <c r="N1185" s="149"/>
    </row>
    <row r="1186" spans="8:14">
      <c r="H1186" s="2"/>
      <c r="K1186" s="149"/>
      <c r="L1186" s="149"/>
      <c r="M1186" s="149"/>
      <c r="N1186" s="149"/>
    </row>
    <row r="1187" spans="8:14">
      <c r="H1187" s="2"/>
      <c r="K1187" s="149"/>
      <c r="L1187" s="149"/>
      <c r="M1187" s="149"/>
      <c r="N1187" s="149"/>
    </row>
    <row r="1188" spans="8:14">
      <c r="H1188" s="2"/>
      <c r="K1188" s="149"/>
      <c r="L1188" s="149"/>
      <c r="M1188" s="149"/>
      <c r="N1188" s="149"/>
    </row>
    <row r="1189" spans="8:14">
      <c r="H1189" s="2"/>
      <c r="K1189" s="149"/>
      <c r="L1189" s="149"/>
      <c r="M1189" s="149"/>
      <c r="N1189" s="149"/>
    </row>
    <row r="1190" spans="8:14">
      <c r="H1190" s="2"/>
      <c r="K1190" s="149"/>
      <c r="L1190" s="149"/>
      <c r="M1190" s="149"/>
      <c r="N1190" s="149"/>
    </row>
    <row r="1191" spans="8:14">
      <c r="H1191" s="2"/>
      <c r="I1191" s="2"/>
      <c r="K1191" s="149"/>
      <c r="L1191" s="149"/>
      <c r="M1191" s="149"/>
      <c r="N1191" s="149"/>
    </row>
    <row r="1192" spans="8:14">
      <c r="H1192" s="2"/>
      <c r="I1192" s="2"/>
      <c r="K1192" s="149"/>
      <c r="L1192" s="149"/>
      <c r="M1192" s="149"/>
      <c r="N1192" s="149"/>
    </row>
    <row r="1193" spans="8:14">
      <c r="H1193" s="2"/>
      <c r="I1193" s="2"/>
      <c r="K1193" s="149"/>
      <c r="L1193" s="149"/>
      <c r="M1193" s="149"/>
      <c r="N1193" s="149"/>
    </row>
    <row r="1194" spans="8:14">
      <c r="H1194" s="2"/>
      <c r="K1194" s="149"/>
      <c r="L1194" s="149"/>
      <c r="M1194" s="149"/>
      <c r="N1194" s="149"/>
    </row>
    <row r="1195" spans="8:14">
      <c r="H1195" s="2"/>
      <c r="K1195" s="149"/>
      <c r="L1195" s="149"/>
      <c r="M1195" s="149"/>
      <c r="N1195" s="149"/>
    </row>
    <row r="1196" spans="8:14">
      <c r="H1196" s="2"/>
      <c r="K1196" s="149"/>
      <c r="L1196" s="149"/>
      <c r="M1196" s="149"/>
      <c r="N1196" s="149"/>
    </row>
    <row r="1197" spans="8:14">
      <c r="H1197" s="2"/>
      <c r="K1197" s="149"/>
      <c r="L1197" s="149"/>
      <c r="M1197" s="149"/>
      <c r="N1197" s="149"/>
    </row>
    <row r="1198" spans="8:14">
      <c r="H1198" s="2"/>
      <c r="K1198" s="149"/>
      <c r="L1198" s="149"/>
      <c r="M1198" s="149"/>
      <c r="N1198" s="149"/>
    </row>
    <row r="1199" spans="8:14">
      <c r="H1199" s="2"/>
      <c r="K1199" s="149"/>
      <c r="L1199" s="149"/>
      <c r="M1199" s="149"/>
      <c r="N1199" s="149"/>
    </row>
    <row r="1200" spans="8:14">
      <c r="H1200" s="2"/>
      <c r="K1200" s="149"/>
      <c r="L1200" s="149"/>
      <c r="M1200" s="149"/>
      <c r="N1200" s="149"/>
    </row>
    <row r="1201" spans="8:14">
      <c r="H1201" s="2"/>
      <c r="K1201" s="149"/>
      <c r="L1201" s="149"/>
      <c r="M1201" s="149"/>
      <c r="N1201" s="149"/>
    </row>
    <row r="1202" spans="8:14">
      <c r="H1202" s="2"/>
      <c r="K1202" s="149"/>
      <c r="L1202" s="149"/>
      <c r="M1202" s="149"/>
      <c r="N1202" s="149"/>
    </row>
    <row r="1203" spans="8:14">
      <c r="H1203" s="2"/>
      <c r="K1203" s="149"/>
      <c r="L1203" s="149"/>
      <c r="M1203" s="149"/>
      <c r="N1203" s="149"/>
    </row>
    <row r="1204" spans="8:14">
      <c r="H1204" s="2"/>
      <c r="K1204" s="149"/>
      <c r="L1204" s="149"/>
      <c r="M1204" s="149"/>
      <c r="N1204" s="149"/>
    </row>
    <row r="1205" spans="8:14">
      <c r="H1205" s="2"/>
      <c r="K1205" s="149"/>
      <c r="L1205" s="149"/>
      <c r="M1205" s="149"/>
      <c r="N1205" s="149"/>
    </row>
    <row r="1206" spans="8:14">
      <c r="H1206" s="2"/>
      <c r="K1206" s="149"/>
      <c r="L1206" s="149"/>
      <c r="M1206" s="149"/>
      <c r="N1206" s="149"/>
    </row>
    <row r="1207" spans="8:14">
      <c r="H1207" s="2"/>
      <c r="K1207" s="149"/>
      <c r="L1207" s="149"/>
      <c r="M1207" s="149"/>
      <c r="N1207" s="149"/>
    </row>
    <row r="1208" spans="8:14">
      <c r="H1208" s="2"/>
      <c r="K1208" s="149"/>
      <c r="L1208" s="149"/>
      <c r="M1208" s="149"/>
      <c r="N1208" s="149"/>
    </row>
    <row r="1209" spans="8:14">
      <c r="H1209" s="2"/>
      <c r="K1209" s="149"/>
      <c r="L1209" s="149"/>
      <c r="M1209" s="149"/>
      <c r="N1209" s="149"/>
    </row>
    <row r="1210" spans="8:14">
      <c r="H1210" s="2"/>
      <c r="K1210" s="149"/>
      <c r="L1210" s="149"/>
      <c r="M1210" s="149"/>
      <c r="N1210" s="149"/>
    </row>
    <row r="1211" spans="8:14">
      <c r="H1211" s="2"/>
      <c r="K1211" s="149"/>
      <c r="L1211" s="149"/>
      <c r="M1211" s="149"/>
      <c r="N1211" s="149"/>
    </row>
    <row r="1212" spans="8:14">
      <c r="H1212" s="2"/>
      <c r="K1212" s="149"/>
      <c r="L1212" s="149"/>
      <c r="M1212" s="149"/>
      <c r="N1212" s="149"/>
    </row>
    <row r="1213" spans="8:14">
      <c r="H1213" s="2"/>
      <c r="I1213" s="2"/>
      <c r="K1213" s="149"/>
      <c r="L1213" s="149"/>
      <c r="M1213" s="149"/>
      <c r="N1213" s="149"/>
    </row>
    <row r="1214" spans="8:14">
      <c r="H1214" s="2"/>
      <c r="K1214" s="149"/>
      <c r="L1214" s="149"/>
      <c r="M1214" s="149"/>
      <c r="N1214" s="149"/>
    </row>
    <row r="1215" spans="8:14">
      <c r="H1215" s="2"/>
      <c r="K1215" s="149"/>
      <c r="L1215" s="149"/>
      <c r="M1215" s="149"/>
      <c r="N1215" s="149"/>
    </row>
    <row r="1216" spans="8:14">
      <c r="H1216" s="2"/>
      <c r="K1216" s="149"/>
      <c r="L1216" s="149"/>
      <c r="M1216" s="149"/>
      <c r="N1216" s="149"/>
    </row>
    <row r="1217" spans="8:14">
      <c r="H1217" s="2"/>
      <c r="K1217" s="149"/>
      <c r="L1217" s="149"/>
      <c r="M1217" s="149"/>
      <c r="N1217" s="149"/>
    </row>
    <row r="1218" spans="8:14">
      <c r="H1218" s="2"/>
      <c r="K1218" s="149"/>
      <c r="L1218" s="149"/>
      <c r="M1218" s="149"/>
      <c r="N1218" s="149"/>
    </row>
    <row r="1219" spans="8:14">
      <c r="H1219" s="2"/>
      <c r="K1219" s="149"/>
      <c r="L1219" s="149"/>
      <c r="M1219" s="149"/>
      <c r="N1219" s="149"/>
    </row>
    <row r="1220" spans="8:14">
      <c r="H1220" s="2"/>
      <c r="K1220" s="149"/>
      <c r="L1220" s="149"/>
      <c r="M1220" s="149"/>
      <c r="N1220" s="149"/>
    </row>
    <row r="1221" spans="8:14">
      <c r="H1221" s="2"/>
      <c r="K1221" s="149"/>
      <c r="L1221" s="149"/>
      <c r="M1221" s="149"/>
      <c r="N1221" s="149"/>
    </row>
    <row r="1222" spans="8:14">
      <c r="H1222" s="2"/>
      <c r="K1222" s="149"/>
      <c r="L1222" s="149"/>
      <c r="M1222" s="149"/>
      <c r="N1222" s="149"/>
    </row>
    <row r="1223" spans="8:14">
      <c r="H1223" s="2"/>
      <c r="K1223" s="149"/>
      <c r="L1223" s="149"/>
      <c r="M1223" s="149"/>
      <c r="N1223" s="149"/>
    </row>
    <row r="1224" spans="8:14">
      <c r="H1224" s="2"/>
      <c r="K1224" s="149"/>
      <c r="L1224" s="149"/>
      <c r="M1224" s="149"/>
      <c r="N1224" s="149"/>
    </row>
    <row r="1225" spans="8:14">
      <c r="H1225" s="2"/>
      <c r="K1225" s="149"/>
      <c r="L1225" s="149"/>
      <c r="M1225" s="149"/>
      <c r="N1225" s="149"/>
    </row>
    <row r="1226" spans="8:14">
      <c r="H1226" s="2"/>
      <c r="K1226" s="149"/>
      <c r="L1226" s="149"/>
      <c r="M1226" s="149"/>
      <c r="N1226" s="149"/>
    </row>
    <row r="1227" spans="8:14">
      <c r="H1227" s="2"/>
      <c r="K1227" s="149"/>
      <c r="L1227" s="149"/>
      <c r="M1227" s="149"/>
      <c r="N1227" s="149"/>
    </row>
    <row r="1228" spans="8:14">
      <c r="H1228" s="2"/>
      <c r="K1228" s="149"/>
      <c r="L1228" s="149"/>
      <c r="M1228" s="149"/>
      <c r="N1228" s="149"/>
    </row>
    <row r="1229" spans="8:14">
      <c r="H1229" s="2"/>
      <c r="K1229" s="149"/>
      <c r="L1229" s="149"/>
      <c r="M1229" s="149"/>
      <c r="N1229" s="149"/>
    </row>
    <row r="1230" spans="8:14">
      <c r="H1230" s="2"/>
      <c r="K1230" s="149"/>
      <c r="L1230" s="149"/>
      <c r="M1230" s="149"/>
      <c r="N1230" s="149"/>
    </row>
    <row r="1231" spans="8:14">
      <c r="H1231" s="2"/>
      <c r="K1231" s="149"/>
      <c r="L1231" s="149"/>
      <c r="M1231" s="149"/>
      <c r="N1231" s="149"/>
    </row>
    <row r="1232" spans="8:14">
      <c r="H1232" s="2"/>
      <c r="K1232" s="149"/>
      <c r="L1232" s="149"/>
      <c r="M1232" s="149"/>
      <c r="N1232" s="149"/>
    </row>
    <row r="1233" spans="8:14">
      <c r="H1233" s="2"/>
      <c r="K1233" s="149"/>
      <c r="L1233" s="149"/>
      <c r="M1233" s="149"/>
      <c r="N1233" s="149"/>
    </row>
    <row r="1234" spans="8:14">
      <c r="H1234" s="2"/>
      <c r="K1234" s="149"/>
      <c r="L1234" s="149"/>
      <c r="M1234" s="149"/>
      <c r="N1234" s="149"/>
    </row>
    <row r="1235" spans="8:14">
      <c r="H1235" s="2"/>
      <c r="K1235" s="149"/>
      <c r="L1235" s="149"/>
      <c r="M1235" s="149"/>
      <c r="N1235" s="149"/>
    </row>
    <row r="1236" spans="8:14">
      <c r="H1236" s="2"/>
      <c r="K1236" s="149"/>
      <c r="L1236" s="149"/>
      <c r="M1236" s="149"/>
      <c r="N1236" s="149"/>
    </row>
    <row r="1237" spans="8:14">
      <c r="H1237" s="2"/>
      <c r="K1237" s="149"/>
      <c r="L1237" s="149"/>
      <c r="M1237" s="149"/>
      <c r="N1237" s="149"/>
    </row>
    <row r="1238" spans="8:14">
      <c r="H1238" s="2"/>
      <c r="K1238" s="149"/>
      <c r="L1238" s="149"/>
      <c r="M1238" s="149"/>
      <c r="N1238" s="149"/>
    </row>
    <row r="1239" spans="8:14">
      <c r="H1239" s="2"/>
      <c r="K1239" s="149"/>
      <c r="L1239" s="149"/>
      <c r="M1239" s="149"/>
      <c r="N1239" s="149"/>
    </row>
    <row r="1240" spans="8:14">
      <c r="H1240" s="2"/>
      <c r="K1240" s="149"/>
      <c r="L1240" s="149"/>
      <c r="M1240" s="149"/>
      <c r="N1240" s="149"/>
    </row>
    <row r="1241" spans="8:14">
      <c r="H1241" s="2"/>
      <c r="J1241" s="2"/>
      <c r="K1241" s="149"/>
      <c r="L1241" s="149"/>
      <c r="M1241" s="149"/>
      <c r="N1241" s="149"/>
    </row>
    <row r="1242" spans="8:14">
      <c r="H1242" s="2"/>
      <c r="K1242" s="149"/>
      <c r="L1242" s="149"/>
      <c r="M1242" s="149"/>
      <c r="N1242" s="149"/>
    </row>
    <row r="1243" spans="8:14">
      <c r="H1243" s="2"/>
      <c r="K1243" s="149"/>
      <c r="L1243" s="149"/>
      <c r="M1243" s="149"/>
      <c r="N1243" s="149"/>
    </row>
    <row r="1244" spans="8:14">
      <c r="H1244" s="2"/>
      <c r="K1244" s="149"/>
      <c r="L1244" s="149"/>
      <c r="M1244" s="149"/>
      <c r="N1244" s="149"/>
    </row>
    <row r="1245" spans="8:14">
      <c r="H1245" s="2"/>
      <c r="K1245" s="149"/>
      <c r="L1245" s="149"/>
      <c r="M1245" s="149"/>
      <c r="N1245" s="149"/>
    </row>
    <row r="1246" spans="8:14">
      <c r="H1246" s="2"/>
      <c r="K1246" s="149"/>
      <c r="L1246" s="149"/>
      <c r="M1246" s="149"/>
      <c r="N1246" s="149"/>
    </row>
    <row r="1247" spans="8:14">
      <c r="H1247" s="2"/>
      <c r="K1247" s="149"/>
      <c r="L1247" s="149"/>
      <c r="M1247" s="149"/>
      <c r="N1247" s="149"/>
    </row>
    <row r="1248" spans="8:14">
      <c r="H1248" s="2"/>
      <c r="K1248" s="149"/>
      <c r="L1248" s="149"/>
      <c r="M1248" s="149"/>
      <c r="N1248" s="149"/>
    </row>
    <row r="1249" spans="8:14">
      <c r="H1249" s="2"/>
      <c r="K1249" s="149"/>
      <c r="L1249" s="149"/>
      <c r="M1249" s="149"/>
      <c r="N1249" s="149"/>
    </row>
    <row r="1250" spans="8:14">
      <c r="H1250" s="2"/>
      <c r="K1250" s="149"/>
      <c r="L1250" s="149"/>
      <c r="M1250" s="149"/>
      <c r="N1250" s="149"/>
    </row>
    <row r="1251" spans="8:14">
      <c r="H1251" s="2"/>
      <c r="K1251" s="149"/>
      <c r="L1251" s="149"/>
      <c r="M1251" s="149"/>
      <c r="N1251" s="149"/>
    </row>
    <row r="1252" spans="8:14">
      <c r="H1252" s="2"/>
      <c r="K1252" s="149"/>
      <c r="L1252" s="149"/>
      <c r="M1252" s="149"/>
      <c r="N1252" s="149"/>
    </row>
    <row r="1253" spans="8:14">
      <c r="H1253" s="2"/>
      <c r="K1253" s="149"/>
      <c r="L1253" s="149"/>
      <c r="M1253" s="149"/>
      <c r="N1253" s="149"/>
    </row>
    <row r="1254" spans="8:14">
      <c r="H1254" s="2"/>
      <c r="I1254" s="2"/>
      <c r="K1254" s="149"/>
      <c r="L1254" s="149"/>
      <c r="M1254" s="149"/>
      <c r="N1254" s="149"/>
    </row>
    <row r="1255" spans="8:14">
      <c r="H1255" s="2"/>
      <c r="K1255" s="149"/>
      <c r="L1255" s="149"/>
      <c r="M1255" s="149"/>
      <c r="N1255" s="149"/>
    </row>
    <row r="1256" spans="8:14">
      <c r="H1256" s="2"/>
      <c r="K1256" s="149"/>
      <c r="L1256" s="149"/>
      <c r="M1256" s="149"/>
      <c r="N1256" s="149"/>
    </row>
    <row r="1257" spans="8:14">
      <c r="H1257" s="2"/>
      <c r="K1257" s="149"/>
      <c r="L1257" s="149"/>
      <c r="M1257" s="149"/>
      <c r="N1257" s="149"/>
    </row>
    <row r="1258" spans="8:14">
      <c r="H1258" s="2"/>
      <c r="I1258" s="2"/>
      <c r="K1258" s="149"/>
      <c r="L1258" s="149"/>
      <c r="M1258" s="149"/>
      <c r="N1258" s="149"/>
    </row>
    <row r="1259" spans="8:14">
      <c r="H1259" s="2"/>
      <c r="I1259" s="2"/>
      <c r="K1259" s="149"/>
      <c r="L1259" s="149"/>
      <c r="M1259" s="149"/>
      <c r="N1259" s="149"/>
    </row>
    <row r="1260" spans="8:14">
      <c r="H1260" s="2"/>
      <c r="K1260" s="149"/>
      <c r="L1260" s="149"/>
      <c r="M1260" s="149"/>
      <c r="N1260" s="149"/>
    </row>
    <row r="1261" spans="8:14">
      <c r="H1261" s="2"/>
      <c r="I1261" s="2"/>
      <c r="K1261" s="149"/>
      <c r="L1261" s="149"/>
      <c r="M1261" s="149"/>
      <c r="N1261" s="149"/>
    </row>
    <row r="1262" spans="8:14">
      <c r="H1262" s="2"/>
      <c r="I1262" s="2"/>
      <c r="K1262" s="149"/>
      <c r="L1262" s="149"/>
      <c r="M1262" s="149"/>
      <c r="N1262" s="149"/>
    </row>
    <row r="1263" spans="8:14">
      <c r="H1263" s="2"/>
      <c r="I1263" s="2"/>
      <c r="K1263" s="149"/>
      <c r="L1263" s="149"/>
      <c r="M1263" s="149"/>
      <c r="N1263" s="149"/>
    </row>
    <row r="1264" spans="8:14">
      <c r="H1264" s="2"/>
      <c r="I1264" s="2"/>
      <c r="K1264" s="149"/>
      <c r="L1264" s="149"/>
      <c r="M1264" s="149"/>
      <c r="N1264" s="149"/>
    </row>
    <row r="1265" spans="8:14">
      <c r="H1265" s="2"/>
      <c r="K1265" s="149"/>
      <c r="L1265" s="149"/>
      <c r="M1265" s="149"/>
      <c r="N1265" s="149"/>
    </row>
    <row r="1266" spans="8:14">
      <c r="H1266" s="2"/>
      <c r="I1266" s="2"/>
      <c r="K1266" s="149"/>
      <c r="L1266" s="149"/>
      <c r="M1266" s="149"/>
      <c r="N1266" s="149"/>
    </row>
    <row r="1267" spans="8:14">
      <c r="H1267" s="2"/>
      <c r="I1267" s="2"/>
      <c r="K1267" s="149"/>
      <c r="L1267" s="149"/>
      <c r="M1267" s="149"/>
      <c r="N1267" s="149"/>
    </row>
    <row r="1268" spans="8:14">
      <c r="H1268" s="2"/>
      <c r="I1268" s="2"/>
      <c r="K1268" s="149"/>
      <c r="L1268" s="149"/>
      <c r="M1268" s="149"/>
      <c r="N1268" s="149"/>
    </row>
    <row r="1269" spans="8:14">
      <c r="H1269" s="2"/>
      <c r="I1269" s="2"/>
      <c r="K1269" s="149"/>
      <c r="L1269" s="149"/>
      <c r="M1269" s="149"/>
      <c r="N1269" s="149"/>
    </row>
    <row r="1270" spans="8:14">
      <c r="H1270" s="2"/>
      <c r="J1270" s="2"/>
      <c r="K1270" s="149"/>
      <c r="L1270" s="149"/>
      <c r="M1270" s="149"/>
      <c r="N1270" s="149"/>
    </row>
    <row r="1271" spans="8:14">
      <c r="H1271" s="2"/>
      <c r="K1271" s="149"/>
      <c r="L1271" s="149"/>
      <c r="M1271" s="149"/>
      <c r="N1271" s="149"/>
    </row>
    <row r="1272" spans="8:14">
      <c r="H1272" s="2"/>
      <c r="K1272" s="149"/>
      <c r="L1272" s="149"/>
      <c r="M1272" s="149"/>
      <c r="N1272" s="149"/>
    </row>
    <row r="1273" spans="8:14">
      <c r="H1273" s="2"/>
      <c r="K1273" s="149"/>
      <c r="L1273" s="149"/>
      <c r="M1273" s="149"/>
      <c r="N1273" s="149"/>
    </row>
    <row r="1274" spans="8:14">
      <c r="H1274" s="2"/>
      <c r="K1274" s="149"/>
      <c r="L1274" s="149"/>
      <c r="M1274" s="149"/>
      <c r="N1274" s="149"/>
    </row>
    <row r="1275" spans="8:14">
      <c r="H1275" s="2"/>
      <c r="K1275" s="149"/>
      <c r="L1275" s="149"/>
      <c r="M1275" s="149"/>
      <c r="N1275" s="149"/>
    </row>
    <row r="1276" spans="8:14">
      <c r="H1276" s="2"/>
      <c r="K1276" s="149"/>
      <c r="L1276" s="149"/>
      <c r="M1276" s="149"/>
      <c r="N1276" s="149"/>
    </row>
    <row r="1277" spans="8:14">
      <c r="H1277" s="2"/>
      <c r="I1277" s="2"/>
      <c r="K1277" s="149"/>
      <c r="L1277" s="149"/>
      <c r="M1277" s="149"/>
      <c r="N1277" s="149"/>
    </row>
    <row r="1278" spans="8:14">
      <c r="H1278" s="2"/>
      <c r="I1278" s="2"/>
      <c r="K1278" s="149"/>
      <c r="L1278" s="149"/>
      <c r="M1278" s="149"/>
      <c r="N1278" s="149"/>
    </row>
    <row r="1279" spans="8:14">
      <c r="H1279" s="2"/>
      <c r="I1279" s="2"/>
      <c r="K1279" s="149"/>
      <c r="L1279" s="149"/>
      <c r="M1279" s="149"/>
      <c r="N1279" s="149"/>
    </row>
    <row r="1280" spans="8:14">
      <c r="H1280" s="2"/>
      <c r="K1280" s="149"/>
      <c r="L1280" s="149"/>
      <c r="M1280" s="149"/>
      <c r="N1280" s="149"/>
    </row>
    <row r="1281" spans="8:14">
      <c r="H1281" s="2"/>
      <c r="I1281" s="2"/>
      <c r="K1281" s="149"/>
      <c r="L1281" s="149"/>
      <c r="M1281" s="149"/>
      <c r="N1281" s="149"/>
    </row>
    <row r="1282" spans="8:14">
      <c r="H1282" s="2"/>
      <c r="K1282" s="149"/>
      <c r="L1282" s="149"/>
      <c r="M1282" s="149"/>
      <c r="N1282" s="149"/>
    </row>
    <row r="1283" spans="8:14">
      <c r="H1283" s="2"/>
      <c r="K1283" s="149"/>
      <c r="L1283" s="149"/>
      <c r="M1283" s="149"/>
      <c r="N1283" s="149"/>
    </row>
    <row r="1284" spans="8:14">
      <c r="H1284" s="2"/>
      <c r="K1284" s="149"/>
      <c r="L1284" s="149"/>
      <c r="M1284" s="149"/>
      <c r="N1284" s="149"/>
    </row>
    <row r="1285" spans="8:14">
      <c r="H1285" s="2"/>
      <c r="K1285" s="149"/>
      <c r="L1285" s="149"/>
      <c r="M1285" s="149"/>
      <c r="N1285" s="149"/>
    </row>
    <row r="1286" spans="8:14">
      <c r="H1286" s="2"/>
      <c r="K1286" s="149"/>
      <c r="L1286" s="149"/>
      <c r="M1286" s="149"/>
      <c r="N1286" s="149"/>
    </row>
    <row r="1287" spans="8:14">
      <c r="H1287" s="2"/>
      <c r="I1287" s="2"/>
      <c r="K1287" s="149"/>
      <c r="L1287" s="149"/>
      <c r="M1287" s="149"/>
      <c r="N1287" s="149"/>
    </row>
    <row r="1288" spans="8:14">
      <c r="H1288" s="2"/>
      <c r="I1288" s="2"/>
      <c r="K1288" s="149"/>
      <c r="L1288" s="149"/>
      <c r="M1288" s="149"/>
      <c r="N1288" s="149"/>
    </row>
    <row r="1289" spans="8:14">
      <c r="H1289" s="2"/>
      <c r="I1289" s="2"/>
      <c r="K1289" s="149"/>
      <c r="L1289" s="149"/>
      <c r="M1289" s="149"/>
      <c r="N1289" s="149"/>
    </row>
    <row r="1290" spans="8:14">
      <c r="H1290" s="2"/>
      <c r="K1290" s="149"/>
      <c r="L1290" s="149"/>
      <c r="M1290" s="149"/>
      <c r="N1290" s="149"/>
    </row>
    <row r="1291" spans="8:14">
      <c r="H1291" s="2"/>
      <c r="K1291" s="149"/>
      <c r="L1291" s="149"/>
      <c r="M1291" s="149"/>
      <c r="N1291" s="149"/>
    </row>
    <row r="1292" spans="8:14">
      <c r="H1292" s="2"/>
      <c r="K1292" s="149"/>
      <c r="L1292" s="149"/>
      <c r="M1292" s="149"/>
      <c r="N1292" s="149"/>
    </row>
    <row r="1293" spans="8:14">
      <c r="H1293" s="2"/>
      <c r="J1293" s="2"/>
      <c r="K1293" s="149"/>
      <c r="L1293" s="149"/>
      <c r="M1293" s="149"/>
      <c r="N1293" s="149"/>
    </row>
    <row r="1294" spans="8:14">
      <c r="H1294" s="2"/>
      <c r="K1294" s="149"/>
      <c r="L1294" s="149"/>
      <c r="M1294" s="149"/>
      <c r="N1294" s="149"/>
    </row>
    <row r="1295" spans="8:14">
      <c r="H1295" s="2"/>
      <c r="K1295" s="149"/>
      <c r="L1295" s="149"/>
      <c r="M1295" s="149"/>
      <c r="N1295" s="149"/>
    </row>
    <row r="1296" spans="8:14">
      <c r="H1296" s="2"/>
      <c r="I1296" s="2"/>
      <c r="K1296" s="149"/>
      <c r="L1296" s="149"/>
      <c r="M1296" s="149"/>
      <c r="N1296" s="149"/>
    </row>
    <row r="1297" spans="8:14">
      <c r="H1297" s="2"/>
      <c r="K1297" s="149"/>
      <c r="L1297" s="149"/>
      <c r="M1297" s="149"/>
      <c r="N1297" s="149"/>
    </row>
    <row r="1298" spans="8:14">
      <c r="H1298" s="2"/>
      <c r="K1298" s="149"/>
      <c r="L1298" s="149"/>
      <c r="M1298" s="149"/>
      <c r="N1298" s="149"/>
    </row>
    <row r="1299" spans="8:14">
      <c r="H1299" s="2"/>
      <c r="K1299" s="149"/>
      <c r="L1299" s="149"/>
      <c r="M1299" s="149"/>
      <c r="N1299" s="149"/>
    </row>
    <row r="1300" spans="8:14">
      <c r="H1300" s="2"/>
      <c r="J1300" s="2"/>
      <c r="K1300" s="149"/>
      <c r="L1300" s="149"/>
      <c r="M1300" s="149"/>
      <c r="N1300" s="149"/>
    </row>
    <row r="1301" spans="8:14">
      <c r="H1301" s="2"/>
      <c r="K1301" s="149"/>
      <c r="L1301" s="149"/>
      <c r="M1301" s="149"/>
      <c r="N1301" s="149"/>
    </row>
    <row r="1302" spans="8:14">
      <c r="H1302" s="2"/>
      <c r="K1302" s="149"/>
      <c r="L1302" s="149"/>
      <c r="M1302" s="149"/>
      <c r="N1302" s="149"/>
    </row>
    <row r="1303" spans="8:14">
      <c r="H1303" s="2"/>
      <c r="K1303" s="149"/>
      <c r="L1303" s="149"/>
      <c r="M1303" s="149"/>
      <c r="N1303" s="149"/>
    </row>
    <row r="1304" spans="8:14">
      <c r="H1304" s="2"/>
      <c r="K1304" s="149"/>
      <c r="L1304" s="149"/>
      <c r="M1304" s="149"/>
      <c r="N1304" s="149"/>
    </row>
    <row r="1305" spans="8:14">
      <c r="H1305" s="2"/>
      <c r="K1305" s="149"/>
      <c r="L1305" s="149"/>
      <c r="M1305" s="149"/>
      <c r="N1305" s="149"/>
    </row>
    <row r="1306" spans="8:14">
      <c r="H1306" s="2"/>
      <c r="K1306" s="149"/>
      <c r="L1306" s="149"/>
      <c r="M1306" s="149"/>
      <c r="N1306" s="149"/>
    </row>
    <row r="1307" spans="8:14">
      <c r="H1307" s="2"/>
      <c r="K1307" s="149"/>
      <c r="L1307" s="149"/>
      <c r="M1307" s="149"/>
      <c r="N1307" s="149"/>
    </row>
    <row r="1308" spans="8:14">
      <c r="H1308" s="2"/>
      <c r="K1308" s="149"/>
      <c r="L1308" s="149"/>
      <c r="M1308" s="149"/>
      <c r="N1308" s="149"/>
    </row>
    <row r="1309" spans="8:14">
      <c r="H1309" s="2"/>
      <c r="K1309" s="149"/>
      <c r="L1309" s="149"/>
      <c r="M1309" s="149"/>
      <c r="N1309" s="149"/>
    </row>
    <row r="1310" spans="8:14">
      <c r="H1310" s="2"/>
      <c r="K1310" s="149"/>
      <c r="L1310" s="149"/>
      <c r="M1310" s="149"/>
      <c r="N1310" s="149"/>
    </row>
    <row r="1311" spans="8:14">
      <c r="H1311" s="2"/>
      <c r="J1311" s="2"/>
      <c r="K1311" s="149"/>
      <c r="L1311" s="149"/>
      <c r="M1311" s="149"/>
      <c r="N1311" s="149"/>
    </row>
    <row r="1312" spans="8:14">
      <c r="H1312" s="2"/>
      <c r="K1312" s="149"/>
      <c r="L1312" s="149"/>
      <c r="M1312" s="149"/>
      <c r="N1312" s="149"/>
    </row>
    <row r="1313" spans="8:14">
      <c r="H1313" s="2"/>
      <c r="K1313" s="149"/>
      <c r="L1313" s="149"/>
      <c r="M1313" s="149"/>
      <c r="N1313" s="149"/>
    </row>
    <row r="1314" spans="8:14">
      <c r="H1314" s="2"/>
      <c r="K1314" s="149"/>
      <c r="L1314" s="149"/>
      <c r="M1314" s="149"/>
      <c r="N1314" s="149"/>
    </row>
    <row r="1315" spans="8:14">
      <c r="H1315" s="2"/>
      <c r="K1315" s="149"/>
      <c r="L1315" s="149"/>
      <c r="M1315" s="149"/>
      <c r="N1315" s="149"/>
    </row>
    <row r="1316" spans="8:14">
      <c r="H1316" s="2"/>
      <c r="K1316" s="149"/>
      <c r="L1316" s="149"/>
      <c r="M1316" s="149"/>
      <c r="N1316" s="149"/>
    </row>
    <row r="1317" spans="8:14">
      <c r="H1317" s="2"/>
      <c r="K1317" s="149"/>
      <c r="L1317" s="149"/>
      <c r="M1317" s="149"/>
      <c r="N1317" s="149"/>
    </row>
    <row r="1318" spans="8:14">
      <c r="H1318" s="2"/>
      <c r="K1318" s="149"/>
      <c r="L1318" s="149"/>
      <c r="M1318" s="149"/>
      <c r="N1318" s="149"/>
    </row>
    <row r="1319" spans="8:14">
      <c r="H1319" s="2"/>
      <c r="K1319" s="149"/>
      <c r="L1319" s="149"/>
      <c r="M1319" s="149"/>
      <c r="N1319" s="149"/>
    </row>
    <row r="1320" spans="8:14">
      <c r="H1320" s="2"/>
      <c r="I1320" s="2"/>
      <c r="K1320" s="149"/>
      <c r="L1320" s="149"/>
      <c r="M1320" s="149"/>
      <c r="N1320" s="149"/>
    </row>
    <row r="1321" spans="8:14">
      <c r="H1321" s="2"/>
      <c r="K1321" s="149"/>
      <c r="L1321" s="149"/>
      <c r="M1321" s="149"/>
      <c r="N1321" s="149"/>
    </row>
    <row r="1322" spans="8:14">
      <c r="H1322" s="2"/>
      <c r="K1322" s="149"/>
      <c r="L1322" s="149"/>
      <c r="M1322" s="149"/>
      <c r="N1322" s="149"/>
    </row>
    <row r="1323" spans="8:14">
      <c r="H1323" s="2"/>
      <c r="I1323" s="2"/>
      <c r="K1323" s="149"/>
      <c r="L1323" s="149"/>
      <c r="M1323" s="149"/>
      <c r="N1323" s="149"/>
    </row>
    <row r="1324" spans="8:14">
      <c r="H1324" s="2"/>
      <c r="I1324" s="2"/>
      <c r="K1324" s="149"/>
      <c r="L1324" s="149"/>
      <c r="M1324" s="149"/>
      <c r="N1324" s="149"/>
    </row>
    <row r="1325" spans="8:14">
      <c r="H1325" s="2"/>
      <c r="I1325" s="2"/>
      <c r="K1325" s="149"/>
      <c r="L1325" s="149"/>
      <c r="M1325" s="149"/>
      <c r="N1325" s="149"/>
    </row>
    <row r="1326" spans="8:14">
      <c r="H1326" s="2"/>
      <c r="K1326" s="149"/>
      <c r="L1326" s="149"/>
      <c r="M1326" s="149"/>
      <c r="N1326" s="149"/>
    </row>
    <row r="1327" spans="8:14">
      <c r="H1327" s="2"/>
      <c r="K1327" s="149"/>
      <c r="L1327" s="149"/>
      <c r="M1327" s="149"/>
      <c r="N1327" s="149"/>
    </row>
    <row r="1328" spans="8:14">
      <c r="H1328" s="2"/>
      <c r="K1328" s="149"/>
      <c r="L1328" s="149"/>
      <c r="M1328" s="149"/>
      <c r="N1328" s="149"/>
    </row>
    <row r="1329" spans="8:14">
      <c r="H1329" s="2"/>
      <c r="K1329" s="149"/>
      <c r="L1329" s="149"/>
      <c r="M1329" s="149"/>
      <c r="N1329" s="149"/>
    </row>
    <row r="1330" spans="8:14">
      <c r="H1330" s="2"/>
      <c r="I1330" s="2"/>
      <c r="K1330" s="149"/>
      <c r="L1330" s="149"/>
      <c r="M1330" s="149"/>
      <c r="N1330" s="149"/>
    </row>
    <row r="1331" spans="8:14">
      <c r="H1331" s="2"/>
      <c r="I1331" s="2"/>
      <c r="K1331" s="149"/>
      <c r="L1331" s="149"/>
      <c r="M1331" s="149"/>
      <c r="N1331" s="149"/>
    </row>
    <row r="1332" spans="8:14">
      <c r="H1332" s="2"/>
      <c r="K1332" s="149"/>
      <c r="L1332" s="149"/>
      <c r="M1332" s="149"/>
      <c r="N1332" s="149"/>
    </row>
    <row r="1333" spans="8:14">
      <c r="H1333" s="2"/>
      <c r="K1333" s="149"/>
      <c r="L1333" s="149"/>
      <c r="M1333" s="149"/>
      <c r="N1333" s="149"/>
    </row>
    <row r="1334" spans="8:14">
      <c r="H1334" s="2"/>
      <c r="K1334" s="149"/>
      <c r="L1334" s="149"/>
      <c r="M1334" s="149"/>
      <c r="N1334" s="149"/>
    </row>
    <row r="1335" spans="8:14">
      <c r="H1335" s="2"/>
      <c r="K1335" s="149"/>
      <c r="L1335" s="149"/>
      <c r="M1335" s="149"/>
      <c r="N1335" s="149"/>
    </row>
    <row r="1336" spans="8:14">
      <c r="H1336" s="2"/>
      <c r="K1336" s="149"/>
      <c r="L1336" s="149"/>
      <c r="M1336" s="149"/>
      <c r="N1336" s="149"/>
    </row>
    <row r="1337" spans="8:14">
      <c r="H1337" s="2"/>
      <c r="K1337" s="149"/>
      <c r="L1337" s="149"/>
      <c r="M1337" s="149"/>
      <c r="N1337" s="149"/>
    </row>
    <row r="1338" spans="8:14">
      <c r="H1338" s="2"/>
      <c r="K1338" s="149"/>
      <c r="L1338" s="149"/>
      <c r="M1338" s="149"/>
      <c r="N1338" s="149"/>
    </row>
    <row r="1339" spans="8:14">
      <c r="H1339" s="2"/>
      <c r="I1339" s="2"/>
      <c r="K1339" s="149"/>
      <c r="L1339" s="149"/>
      <c r="M1339" s="149"/>
      <c r="N1339" s="149"/>
    </row>
    <row r="1340" spans="8:14">
      <c r="H1340" s="2"/>
      <c r="K1340" s="149"/>
      <c r="L1340" s="149"/>
      <c r="M1340" s="149"/>
      <c r="N1340" s="149"/>
    </row>
    <row r="1341" spans="8:14">
      <c r="H1341" s="2"/>
      <c r="K1341" s="149"/>
      <c r="L1341" s="149"/>
      <c r="M1341" s="149"/>
      <c r="N1341" s="149"/>
    </row>
    <row r="1342" spans="8:14">
      <c r="H1342" s="2"/>
      <c r="K1342" s="149"/>
      <c r="L1342" s="149"/>
      <c r="M1342" s="149"/>
      <c r="N1342" s="149"/>
    </row>
    <row r="1343" spans="8:14">
      <c r="H1343" s="2"/>
      <c r="K1343" s="149"/>
      <c r="L1343" s="149"/>
      <c r="M1343" s="149"/>
      <c r="N1343" s="149"/>
    </row>
    <row r="1344" spans="8:14">
      <c r="H1344" s="2"/>
      <c r="K1344" s="149"/>
      <c r="L1344" s="149"/>
      <c r="M1344" s="149"/>
      <c r="N1344" s="149"/>
    </row>
    <row r="1345" spans="8:14">
      <c r="H1345" s="2"/>
      <c r="K1345" s="149"/>
      <c r="L1345" s="149"/>
      <c r="M1345" s="149"/>
      <c r="N1345" s="149"/>
    </row>
    <row r="1346" spans="8:14">
      <c r="H1346" s="2"/>
      <c r="K1346" s="149"/>
      <c r="L1346" s="149"/>
      <c r="M1346" s="149"/>
      <c r="N1346" s="149"/>
    </row>
    <row r="1347" spans="8:14">
      <c r="H1347" s="2"/>
      <c r="K1347" s="149"/>
      <c r="L1347" s="149"/>
      <c r="M1347" s="149"/>
      <c r="N1347" s="149"/>
    </row>
    <row r="1348" spans="8:14">
      <c r="H1348" s="2"/>
      <c r="K1348" s="149"/>
      <c r="L1348" s="149"/>
      <c r="M1348" s="149"/>
      <c r="N1348" s="149"/>
    </row>
    <row r="1349" spans="8:14">
      <c r="H1349" s="2"/>
      <c r="K1349" s="149"/>
      <c r="L1349" s="149"/>
      <c r="M1349" s="149"/>
      <c r="N1349" s="149"/>
    </row>
    <row r="1350" spans="8:14">
      <c r="H1350" s="2"/>
      <c r="K1350" s="149"/>
      <c r="L1350" s="149"/>
      <c r="M1350" s="149"/>
      <c r="N1350" s="149"/>
    </row>
    <row r="1351" spans="8:14">
      <c r="H1351" s="2"/>
      <c r="I1351" s="2"/>
      <c r="K1351" s="149"/>
      <c r="L1351" s="149"/>
      <c r="M1351" s="149"/>
      <c r="N1351" s="149"/>
    </row>
    <row r="1352" spans="8:14">
      <c r="H1352" s="2"/>
      <c r="K1352" s="149"/>
      <c r="L1352" s="149"/>
      <c r="M1352" s="149"/>
      <c r="N1352" s="149"/>
    </row>
    <row r="1353" spans="8:14">
      <c r="H1353" s="2"/>
      <c r="I1353" s="2"/>
      <c r="K1353" s="149"/>
      <c r="L1353" s="149"/>
      <c r="M1353" s="149"/>
      <c r="N1353" s="149"/>
    </row>
    <row r="1354" spans="8:14">
      <c r="H1354" s="2"/>
      <c r="K1354" s="149"/>
      <c r="L1354" s="149"/>
      <c r="M1354" s="149"/>
      <c r="N1354" s="149"/>
    </row>
    <row r="1355" spans="8:14">
      <c r="H1355" s="2"/>
      <c r="I1355" s="2"/>
      <c r="K1355" s="149"/>
      <c r="L1355" s="149"/>
      <c r="M1355" s="149"/>
      <c r="N1355" s="149"/>
    </row>
    <row r="1356" spans="8:14">
      <c r="H1356" s="2"/>
      <c r="K1356" s="149"/>
      <c r="L1356" s="149"/>
      <c r="M1356" s="149"/>
      <c r="N1356" s="149"/>
    </row>
    <row r="1357" spans="8:14">
      <c r="H1357" s="2"/>
      <c r="K1357" s="149"/>
      <c r="L1357" s="149"/>
      <c r="M1357" s="149"/>
      <c r="N1357" s="149"/>
    </row>
    <row r="1358" spans="8:14">
      <c r="H1358" s="2"/>
      <c r="K1358" s="149"/>
      <c r="L1358" s="149"/>
      <c r="M1358" s="149"/>
      <c r="N1358" s="149"/>
    </row>
    <row r="1359" spans="8:14">
      <c r="H1359" s="2"/>
      <c r="K1359" s="149"/>
      <c r="L1359" s="149"/>
      <c r="M1359" s="149"/>
      <c r="N1359" s="149"/>
    </row>
    <row r="1360" spans="8:14">
      <c r="H1360" s="2"/>
      <c r="K1360" s="149"/>
      <c r="L1360" s="149"/>
      <c r="M1360" s="149"/>
      <c r="N1360" s="149"/>
    </row>
    <row r="1361" spans="8:14">
      <c r="H1361" s="2"/>
      <c r="K1361" s="149"/>
      <c r="L1361" s="149"/>
      <c r="M1361" s="149"/>
      <c r="N1361" s="149"/>
    </row>
    <row r="1362" spans="8:14">
      <c r="H1362" s="2"/>
      <c r="K1362" s="149"/>
      <c r="L1362" s="149"/>
      <c r="M1362" s="149"/>
      <c r="N1362" s="149"/>
    </row>
    <row r="1363" spans="8:14">
      <c r="H1363" s="2"/>
      <c r="I1363" s="2"/>
      <c r="K1363" s="149"/>
      <c r="L1363" s="149"/>
      <c r="M1363" s="149"/>
      <c r="N1363" s="149"/>
    </row>
    <row r="1364" spans="8:14">
      <c r="H1364" s="2"/>
      <c r="K1364" s="149"/>
      <c r="L1364" s="149"/>
      <c r="M1364" s="149"/>
      <c r="N1364" s="149"/>
    </row>
    <row r="1365" spans="8:14">
      <c r="H1365" s="2"/>
      <c r="K1365" s="149"/>
      <c r="L1365" s="149"/>
      <c r="M1365" s="149"/>
      <c r="N1365" s="149"/>
    </row>
    <row r="1366" spans="8:14">
      <c r="H1366" s="2"/>
      <c r="K1366" s="149"/>
      <c r="L1366" s="149"/>
      <c r="M1366" s="149"/>
      <c r="N1366" s="149"/>
    </row>
    <row r="1367" spans="8:14">
      <c r="H1367" s="2"/>
      <c r="K1367" s="149"/>
      <c r="L1367" s="149"/>
      <c r="M1367" s="149"/>
      <c r="N1367" s="149"/>
    </row>
    <row r="1368" spans="8:14">
      <c r="H1368" s="2"/>
      <c r="K1368" s="149"/>
      <c r="L1368" s="149"/>
      <c r="M1368" s="149"/>
      <c r="N1368" s="149"/>
    </row>
    <row r="1369" spans="8:14">
      <c r="H1369" s="2"/>
      <c r="K1369" s="149"/>
      <c r="L1369" s="149"/>
      <c r="M1369" s="149"/>
      <c r="N1369" s="149"/>
    </row>
    <row r="1370" spans="8:14">
      <c r="H1370" s="2"/>
      <c r="K1370" s="149"/>
      <c r="L1370" s="149"/>
      <c r="M1370" s="149"/>
      <c r="N1370" s="149"/>
    </row>
    <row r="1371" spans="8:14">
      <c r="H1371" s="2"/>
      <c r="K1371" s="149"/>
      <c r="L1371" s="149"/>
      <c r="M1371" s="149"/>
      <c r="N1371" s="149"/>
    </row>
    <row r="1372" spans="8:14">
      <c r="H1372" s="2"/>
      <c r="K1372" s="149"/>
      <c r="L1372" s="149"/>
      <c r="M1372" s="149"/>
      <c r="N1372" s="149"/>
    </row>
    <row r="1373" spans="8:14">
      <c r="H1373" s="2"/>
      <c r="K1373" s="149"/>
      <c r="L1373" s="149"/>
      <c r="M1373" s="149"/>
      <c r="N1373" s="149"/>
    </row>
    <row r="1374" spans="8:14">
      <c r="H1374" s="2"/>
      <c r="K1374" s="149"/>
      <c r="L1374" s="149"/>
      <c r="M1374" s="149"/>
      <c r="N1374" s="149"/>
    </row>
    <row r="1375" spans="8:14">
      <c r="H1375" s="2"/>
      <c r="I1375" s="2"/>
      <c r="K1375" s="149"/>
      <c r="L1375" s="149"/>
      <c r="M1375" s="149"/>
      <c r="N1375" s="149"/>
    </row>
    <row r="1376" spans="8:14">
      <c r="H1376" s="2"/>
      <c r="K1376" s="149"/>
      <c r="L1376" s="149"/>
      <c r="M1376" s="149"/>
      <c r="N1376" s="149"/>
    </row>
    <row r="1377" spans="8:14">
      <c r="H1377" s="2"/>
      <c r="K1377" s="149"/>
      <c r="L1377" s="149"/>
      <c r="M1377" s="149"/>
      <c r="N1377" s="149"/>
    </row>
    <row r="1378" spans="8:14">
      <c r="H1378" s="2"/>
      <c r="K1378" s="149"/>
      <c r="L1378" s="149"/>
      <c r="M1378" s="149"/>
      <c r="N1378" s="149"/>
    </row>
    <row r="1379" spans="8:14">
      <c r="H1379" s="2"/>
      <c r="K1379" s="149"/>
      <c r="L1379" s="149"/>
      <c r="M1379" s="149"/>
      <c r="N1379" s="149"/>
    </row>
    <row r="1380" spans="8:14">
      <c r="H1380" s="2"/>
      <c r="K1380" s="149"/>
      <c r="L1380" s="149"/>
      <c r="M1380" s="149"/>
      <c r="N1380" s="149"/>
    </row>
    <row r="1381" spans="8:14">
      <c r="K1381" s="149"/>
      <c r="L1381" s="149"/>
      <c r="M1381" s="149"/>
      <c r="N1381" s="149"/>
    </row>
    <row r="1382" spans="8:14">
      <c r="K1382" s="149"/>
      <c r="L1382" s="149"/>
      <c r="M1382" s="149"/>
      <c r="N1382" s="149"/>
    </row>
    <row r="1383" spans="8:14">
      <c r="K1383" s="149"/>
      <c r="L1383" s="149"/>
      <c r="M1383" s="149"/>
      <c r="N1383" s="149"/>
    </row>
    <row r="1384" spans="8:14">
      <c r="K1384" s="149"/>
      <c r="L1384" s="149"/>
      <c r="M1384" s="149"/>
      <c r="N1384" s="149"/>
    </row>
    <row r="1385" spans="8:14">
      <c r="K1385" s="149"/>
      <c r="L1385" s="149"/>
      <c r="M1385" s="149"/>
      <c r="N1385" s="149"/>
    </row>
    <row r="1386" spans="8:14">
      <c r="K1386" s="149"/>
      <c r="L1386" s="149"/>
      <c r="M1386" s="149"/>
      <c r="N1386" s="149"/>
    </row>
    <row r="1387" spans="8:14">
      <c r="K1387" s="149"/>
      <c r="L1387" s="149"/>
      <c r="M1387" s="149"/>
      <c r="N1387" s="149"/>
    </row>
    <row r="1388" spans="8:14">
      <c r="K1388" s="149"/>
      <c r="L1388" s="149"/>
      <c r="M1388" s="149"/>
      <c r="N1388" s="149"/>
    </row>
    <row r="1389" spans="8:14">
      <c r="K1389" s="149"/>
      <c r="L1389" s="149"/>
      <c r="M1389" s="149"/>
      <c r="N1389" s="149"/>
    </row>
    <row r="1390" spans="8:14">
      <c r="K1390" s="149"/>
      <c r="L1390" s="149"/>
      <c r="M1390" s="149"/>
      <c r="N1390" s="149"/>
    </row>
    <row r="1391" spans="8:14">
      <c r="K1391" s="149"/>
      <c r="L1391" s="149"/>
      <c r="M1391" s="149"/>
      <c r="N1391" s="149"/>
    </row>
    <row r="1392" spans="8:14">
      <c r="K1392" s="149"/>
      <c r="L1392" s="149"/>
      <c r="M1392" s="149"/>
      <c r="N1392" s="149"/>
    </row>
    <row r="1393" spans="11:14">
      <c r="K1393" s="149"/>
      <c r="L1393" s="149"/>
      <c r="M1393" s="149"/>
      <c r="N1393" s="149"/>
    </row>
    <row r="1394" spans="11:14">
      <c r="K1394" s="149"/>
      <c r="L1394" s="149"/>
      <c r="M1394" s="149"/>
      <c r="N1394" s="149"/>
    </row>
    <row r="1395" spans="11:14">
      <c r="K1395" s="149"/>
      <c r="L1395" s="149"/>
      <c r="M1395" s="149"/>
      <c r="N1395" s="149"/>
    </row>
    <row r="1396" spans="11:14">
      <c r="K1396" s="149"/>
      <c r="L1396" s="149"/>
      <c r="M1396" s="149"/>
      <c r="N1396" s="149"/>
    </row>
    <row r="1397" spans="11:14">
      <c r="K1397" s="149"/>
      <c r="L1397" s="149"/>
      <c r="M1397" s="149"/>
      <c r="N1397" s="149"/>
    </row>
    <row r="1398" spans="11:14">
      <c r="K1398" s="149"/>
      <c r="L1398" s="149"/>
      <c r="M1398" s="149"/>
      <c r="N1398" s="149"/>
    </row>
    <row r="1399" spans="11:14">
      <c r="K1399" s="149"/>
      <c r="L1399" s="149"/>
      <c r="M1399" s="149"/>
      <c r="N1399" s="149"/>
    </row>
    <row r="1400" spans="11:14">
      <c r="K1400" s="149"/>
      <c r="L1400" s="149"/>
      <c r="M1400" s="149"/>
      <c r="N1400" s="149"/>
    </row>
    <row r="1401" spans="11:14">
      <c r="K1401" s="149"/>
      <c r="L1401" s="149"/>
      <c r="M1401" s="149"/>
      <c r="N1401" s="149"/>
    </row>
    <row r="1402" spans="11:14">
      <c r="K1402" s="149"/>
      <c r="L1402" s="149"/>
      <c r="M1402" s="149"/>
      <c r="N1402" s="149"/>
    </row>
    <row r="1403" spans="11:14">
      <c r="K1403" s="149"/>
      <c r="L1403" s="149"/>
      <c r="M1403" s="149"/>
      <c r="N1403" s="149"/>
    </row>
    <row r="1404" spans="11:14">
      <c r="K1404" s="149"/>
      <c r="L1404" s="149"/>
      <c r="M1404" s="149"/>
      <c r="N1404" s="149"/>
    </row>
    <row r="1405" spans="11:14">
      <c r="K1405" s="149"/>
      <c r="L1405" s="149"/>
      <c r="M1405" s="149"/>
      <c r="N1405" s="149"/>
    </row>
    <row r="1406" spans="11:14">
      <c r="K1406" s="149"/>
      <c r="L1406" s="149"/>
      <c r="M1406" s="149"/>
      <c r="N1406" s="149"/>
    </row>
    <row r="1407" spans="11:14">
      <c r="K1407" s="149"/>
      <c r="L1407" s="149"/>
      <c r="M1407" s="149"/>
      <c r="N1407" s="149"/>
    </row>
    <row r="1408" spans="11:14">
      <c r="K1408" s="149"/>
      <c r="L1408" s="149"/>
      <c r="M1408" s="149"/>
      <c r="N1408" s="149"/>
    </row>
    <row r="1409" spans="11:14">
      <c r="K1409" s="149"/>
      <c r="L1409" s="149"/>
      <c r="M1409" s="149"/>
      <c r="N1409" s="149"/>
    </row>
    <row r="1410" spans="11:14">
      <c r="K1410" s="149"/>
      <c r="L1410" s="149"/>
      <c r="M1410" s="149"/>
      <c r="N1410" s="149"/>
    </row>
    <row r="1411" spans="11:14">
      <c r="K1411" s="149"/>
      <c r="L1411" s="149"/>
      <c r="M1411" s="149"/>
      <c r="N1411" s="149"/>
    </row>
    <row r="1412" spans="11:14">
      <c r="K1412" s="149"/>
      <c r="L1412" s="149"/>
      <c r="M1412" s="149"/>
      <c r="N1412" s="149"/>
    </row>
    <row r="1413" spans="11:14">
      <c r="K1413" s="149"/>
      <c r="L1413" s="149"/>
      <c r="M1413" s="149"/>
      <c r="N1413" s="149"/>
    </row>
    <row r="1414" spans="11:14">
      <c r="K1414" s="149"/>
      <c r="L1414" s="149"/>
      <c r="M1414" s="149"/>
      <c r="N1414" s="149"/>
    </row>
    <row r="1415" spans="11:14">
      <c r="K1415" s="149"/>
      <c r="L1415" s="149"/>
      <c r="M1415" s="149"/>
      <c r="N1415" s="149"/>
    </row>
    <row r="1416" spans="11:14">
      <c r="K1416" s="149"/>
      <c r="L1416" s="149"/>
      <c r="M1416" s="149"/>
      <c r="N1416" s="149"/>
    </row>
    <row r="1417" spans="11:14">
      <c r="K1417" s="149"/>
      <c r="L1417" s="149"/>
      <c r="M1417" s="149"/>
      <c r="N1417" s="149"/>
    </row>
    <row r="1418" spans="11:14">
      <c r="K1418" s="149"/>
      <c r="L1418" s="149"/>
      <c r="M1418" s="149"/>
      <c r="N1418" s="149"/>
    </row>
    <row r="1419" spans="11:14">
      <c r="K1419" s="149"/>
      <c r="L1419" s="149"/>
      <c r="M1419" s="149"/>
      <c r="N1419" s="149"/>
    </row>
    <row r="1420" spans="11:14">
      <c r="K1420" s="149"/>
      <c r="L1420" s="149"/>
      <c r="M1420" s="149"/>
      <c r="N1420" s="149"/>
    </row>
    <row r="1421" spans="11:14">
      <c r="K1421" s="149"/>
      <c r="L1421" s="149"/>
      <c r="M1421" s="149"/>
      <c r="N1421" s="149"/>
    </row>
    <row r="1422" spans="11:14">
      <c r="K1422" s="149"/>
      <c r="L1422" s="149"/>
      <c r="M1422" s="149"/>
      <c r="N1422" s="149"/>
    </row>
    <row r="1423" spans="11:14">
      <c r="K1423" s="149"/>
      <c r="L1423" s="149"/>
      <c r="M1423" s="149"/>
      <c r="N1423" s="149"/>
    </row>
    <row r="1424" spans="11:14">
      <c r="K1424" s="149"/>
      <c r="L1424" s="149"/>
      <c r="M1424" s="149"/>
      <c r="N1424" s="149"/>
    </row>
    <row r="1425" spans="8:14">
      <c r="K1425" s="149"/>
      <c r="L1425" s="149"/>
      <c r="M1425" s="149"/>
      <c r="N1425" s="149"/>
    </row>
    <row r="1426" spans="8:14">
      <c r="K1426" s="149"/>
      <c r="L1426" s="149"/>
      <c r="M1426" s="149"/>
      <c r="N1426" s="149"/>
    </row>
    <row r="1427" spans="8:14">
      <c r="K1427" s="149"/>
      <c r="L1427" s="149"/>
      <c r="M1427" s="149"/>
      <c r="N1427" s="149"/>
    </row>
    <row r="1428" spans="8:14">
      <c r="K1428" s="149"/>
      <c r="L1428" s="149"/>
      <c r="M1428" s="149"/>
      <c r="N1428" s="149"/>
    </row>
    <row r="1429" spans="8:14">
      <c r="K1429" s="149"/>
      <c r="L1429" s="149"/>
      <c r="M1429" s="149"/>
      <c r="N1429" s="149"/>
    </row>
    <row r="1430" spans="8:14">
      <c r="K1430" s="149"/>
      <c r="L1430" s="149"/>
      <c r="M1430" s="149"/>
      <c r="N1430" s="149"/>
    </row>
    <row r="1431" spans="8:14">
      <c r="K1431" s="149"/>
      <c r="L1431" s="149"/>
      <c r="M1431" s="149"/>
      <c r="N1431" s="149"/>
    </row>
    <row r="1432" spans="8:14">
      <c r="K1432" s="149"/>
      <c r="L1432" s="149"/>
      <c r="M1432" s="149"/>
      <c r="N1432" s="149"/>
    </row>
    <row r="1433" spans="8:14">
      <c r="K1433" s="149"/>
      <c r="L1433" s="149"/>
      <c r="M1433" s="149"/>
      <c r="N1433" s="149"/>
    </row>
    <row r="1434" spans="8:14">
      <c r="K1434" s="149"/>
      <c r="L1434" s="149"/>
      <c r="M1434" s="149"/>
      <c r="N1434" s="149"/>
    </row>
    <row r="1435" spans="8:14">
      <c r="K1435" s="149"/>
      <c r="L1435" s="149"/>
      <c r="M1435" s="149"/>
      <c r="N1435" s="149"/>
    </row>
    <row r="1436" spans="8:14">
      <c r="K1436" s="149"/>
      <c r="L1436" s="149"/>
      <c r="M1436" s="149"/>
      <c r="N1436" s="149"/>
    </row>
    <row r="1437" spans="8:14">
      <c r="H1437" s="2"/>
      <c r="I1437" s="2"/>
      <c r="K1437" s="149"/>
      <c r="L1437" s="149"/>
      <c r="M1437" s="149"/>
      <c r="N1437" s="149"/>
    </row>
    <row r="1438" spans="8:14">
      <c r="H1438" s="2"/>
      <c r="I1438" s="2"/>
      <c r="K1438" s="149"/>
      <c r="L1438" s="149"/>
      <c r="M1438" s="149"/>
      <c r="N1438" s="149"/>
    </row>
    <row r="1439" spans="8:14">
      <c r="H1439" s="2"/>
      <c r="I1439" s="2"/>
      <c r="K1439" s="149"/>
      <c r="L1439" s="149"/>
      <c r="M1439" s="149"/>
      <c r="N1439" s="149"/>
    </row>
    <row r="1440" spans="8:14">
      <c r="H1440" s="2"/>
      <c r="K1440" s="149"/>
      <c r="L1440" s="149"/>
      <c r="M1440" s="149"/>
      <c r="N1440" s="149"/>
    </row>
    <row r="1441" spans="8:14">
      <c r="H1441" s="2"/>
      <c r="K1441" s="149"/>
      <c r="L1441" s="149"/>
      <c r="M1441" s="149"/>
      <c r="N1441" s="149"/>
    </row>
    <row r="1442" spans="8:14">
      <c r="H1442" s="2"/>
      <c r="K1442" s="149"/>
      <c r="L1442" s="149"/>
      <c r="M1442" s="149"/>
      <c r="N1442" s="149"/>
    </row>
    <row r="1443" spans="8:14">
      <c r="H1443" s="2"/>
      <c r="I1443" s="2"/>
      <c r="K1443" s="149"/>
      <c r="L1443" s="149"/>
      <c r="M1443" s="149"/>
      <c r="N1443" s="149"/>
    </row>
    <row r="1444" spans="8:14">
      <c r="H1444" s="2"/>
      <c r="K1444" s="149"/>
      <c r="L1444" s="149"/>
      <c r="M1444" s="149"/>
      <c r="N1444" s="149"/>
    </row>
    <row r="1445" spans="8:14">
      <c r="H1445" s="2"/>
      <c r="K1445" s="149"/>
      <c r="L1445" s="149"/>
      <c r="M1445" s="149"/>
      <c r="N1445" s="149"/>
    </row>
    <row r="1446" spans="8:14">
      <c r="K1446" s="149"/>
      <c r="L1446" s="149"/>
      <c r="M1446" s="149"/>
      <c r="N1446" s="149"/>
    </row>
    <row r="1447" spans="8:14">
      <c r="K1447" s="149"/>
      <c r="L1447" s="149"/>
      <c r="M1447" s="149"/>
      <c r="N1447" s="149"/>
    </row>
    <row r="1448" spans="8:14">
      <c r="K1448" s="149"/>
      <c r="L1448" s="149"/>
      <c r="M1448" s="149"/>
      <c r="N1448" s="149"/>
    </row>
    <row r="1449" spans="8:14">
      <c r="K1449" s="149"/>
      <c r="L1449" s="149"/>
      <c r="M1449" s="149"/>
      <c r="N1449" s="149"/>
    </row>
    <row r="1450" spans="8:14">
      <c r="K1450" s="149"/>
      <c r="L1450" s="149"/>
      <c r="M1450" s="149"/>
      <c r="N1450" s="149"/>
    </row>
    <row r="1451" spans="8:14">
      <c r="K1451" s="149"/>
      <c r="L1451" s="149"/>
      <c r="M1451" s="149"/>
      <c r="N1451" s="149"/>
    </row>
    <row r="1452" spans="8:14">
      <c r="K1452" s="149"/>
      <c r="L1452" s="149"/>
      <c r="M1452" s="149"/>
      <c r="N1452" s="149"/>
    </row>
    <row r="1453" spans="8:14">
      <c r="K1453" s="149"/>
      <c r="L1453" s="149"/>
      <c r="M1453" s="149"/>
      <c r="N1453" s="149"/>
    </row>
    <row r="1454" spans="8:14">
      <c r="K1454" s="149"/>
      <c r="L1454" s="149"/>
      <c r="M1454" s="149"/>
      <c r="N1454" s="149"/>
    </row>
    <row r="1455" spans="8:14">
      <c r="K1455" s="149"/>
      <c r="L1455" s="149"/>
      <c r="M1455" s="149"/>
      <c r="N1455" s="149"/>
    </row>
    <row r="1456" spans="8:14">
      <c r="K1456" s="149"/>
      <c r="L1456" s="149"/>
      <c r="M1456" s="149"/>
      <c r="N1456" s="149"/>
    </row>
    <row r="1457" spans="8:14">
      <c r="K1457" s="149"/>
      <c r="L1457" s="149"/>
      <c r="M1457" s="149"/>
      <c r="N1457" s="149"/>
    </row>
    <row r="1458" spans="8:14">
      <c r="K1458" s="149"/>
      <c r="L1458" s="149"/>
      <c r="M1458" s="149"/>
      <c r="N1458" s="149"/>
    </row>
    <row r="1459" spans="8:14">
      <c r="H1459" s="2"/>
      <c r="K1459" s="149"/>
      <c r="L1459" s="149"/>
      <c r="M1459" s="149"/>
      <c r="N1459" s="149"/>
    </row>
    <row r="1460" spans="8:14">
      <c r="H1460" s="2"/>
      <c r="K1460" s="149"/>
      <c r="L1460" s="149"/>
      <c r="M1460" s="149"/>
      <c r="N1460" s="149"/>
    </row>
    <row r="1461" spans="8:14">
      <c r="H1461" s="2"/>
      <c r="K1461" s="149"/>
      <c r="L1461" s="149"/>
      <c r="M1461" s="149"/>
      <c r="N1461" s="149"/>
    </row>
    <row r="1462" spans="8:14">
      <c r="H1462" s="2"/>
      <c r="K1462" s="149"/>
      <c r="L1462" s="149"/>
      <c r="M1462" s="149"/>
      <c r="N1462" s="149"/>
    </row>
    <row r="1463" spans="8:14">
      <c r="I1463" s="2"/>
      <c r="K1463" s="149"/>
      <c r="L1463" s="149"/>
      <c r="M1463" s="149"/>
      <c r="N1463" s="149"/>
    </row>
    <row r="1464" spans="8:14">
      <c r="K1464" s="149"/>
      <c r="L1464" s="149"/>
      <c r="M1464" s="149"/>
      <c r="N1464" s="149"/>
    </row>
    <row r="1465" spans="8:14">
      <c r="K1465" s="149"/>
      <c r="L1465" s="149"/>
      <c r="M1465" s="149"/>
      <c r="N1465" s="149"/>
    </row>
    <row r="1466" spans="8:14">
      <c r="K1466" s="149"/>
      <c r="L1466" s="149"/>
      <c r="M1466" s="149"/>
      <c r="N1466" s="149"/>
    </row>
    <row r="1467" spans="8:14">
      <c r="H1467" s="2"/>
      <c r="K1467" s="149"/>
      <c r="L1467" s="149"/>
      <c r="M1467" s="149"/>
      <c r="N1467" s="149"/>
    </row>
    <row r="1468" spans="8:14">
      <c r="H1468" s="2"/>
      <c r="K1468" s="149"/>
      <c r="L1468" s="149"/>
      <c r="M1468" s="149"/>
      <c r="N1468" s="149"/>
    </row>
    <row r="1469" spans="8:14">
      <c r="H1469" s="2"/>
      <c r="K1469" s="149"/>
      <c r="L1469" s="149"/>
      <c r="M1469" s="149"/>
      <c r="N1469" s="149"/>
    </row>
    <row r="1470" spans="8:14">
      <c r="H1470" s="2"/>
      <c r="K1470" s="149"/>
      <c r="L1470" s="149"/>
      <c r="M1470" s="149"/>
      <c r="N1470" s="149"/>
    </row>
    <row r="1471" spans="8:14">
      <c r="H1471" s="2"/>
      <c r="K1471" s="149"/>
      <c r="L1471" s="149"/>
      <c r="M1471" s="149"/>
      <c r="N1471" s="149"/>
    </row>
    <row r="1472" spans="8:14">
      <c r="H1472" s="2"/>
      <c r="I1472" s="2"/>
      <c r="K1472" s="149"/>
      <c r="L1472" s="149"/>
      <c r="M1472" s="149"/>
      <c r="N1472" s="149"/>
    </row>
    <row r="1473" spans="8:14">
      <c r="H1473" s="2"/>
      <c r="K1473" s="149"/>
      <c r="L1473" s="149"/>
      <c r="M1473" s="149"/>
      <c r="N1473" s="149"/>
    </row>
    <row r="1474" spans="8:14">
      <c r="H1474" s="2"/>
      <c r="K1474" s="149"/>
      <c r="L1474" s="149"/>
      <c r="M1474" s="149"/>
      <c r="N1474" s="149"/>
    </row>
    <row r="1475" spans="8:14">
      <c r="H1475" s="2"/>
      <c r="K1475" s="149"/>
      <c r="L1475" s="149"/>
      <c r="M1475" s="149"/>
      <c r="N1475" s="149"/>
    </row>
    <row r="1476" spans="8:14">
      <c r="H1476" s="2"/>
      <c r="K1476" s="149"/>
      <c r="L1476" s="149"/>
      <c r="M1476" s="149"/>
      <c r="N1476" s="149"/>
    </row>
    <row r="1477" spans="8:14">
      <c r="H1477" s="2"/>
      <c r="K1477" s="149"/>
      <c r="L1477" s="149"/>
      <c r="M1477" s="149"/>
      <c r="N1477" s="149"/>
    </row>
    <row r="1478" spans="8:14">
      <c r="H1478" s="2"/>
      <c r="K1478" s="149"/>
      <c r="L1478" s="149"/>
      <c r="M1478" s="149"/>
      <c r="N1478" s="149"/>
    </row>
    <row r="1479" spans="8:14">
      <c r="H1479" s="2"/>
      <c r="K1479" s="149"/>
      <c r="L1479" s="149"/>
      <c r="M1479" s="149"/>
      <c r="N1479" s="149"/>
    </row>
    <row r="1480" spans="8:14">
      <c r="H1480" s="2"/>
      <c r="K1480" s="149"/>
      <c r="L1480" s="149"/>
      <c r="M1480" s="149"/>
      <c r="N1480" s="149"/>
    </row>
    <row r="1481" spans="8:14">
      <c r="H1481" s="2"/>
      <c r="I1481" s="2"/>
      <c r="K1481" s="149"/>
      <c r="L1481" s="149"/>
      <c r="M1481" s="149"/>
      <c r="N1481" s="149"/>
    </row>
    <row r="1482" spans="8:14">
      <c r="H1482" s="2"/>
      <c r="K1482" s="149"/>
      <c r="L1482" s="149"/>
      <c r="M1482" s="149"/>
      <c r="N1482" s="149"/>
    </row>
    <row r="1483" spans="8:14">
      <c r="H1483" s="2"/>
      <c r="K1483" s="149"/>
      <c r="L1483" s="149"/>
      <c r="M1483" s="149"/>
      <c r="N1483" s="149"/>
    </row>
    <row r="1484" spans="8:14">
      <c r="H1484" s="2"/>
      <c r="K1484" s="149"/>
      <c r="L1484" s="149"/>
      <c r="M1484" s="149"/>
      <c r="N1484" s="149"/>
    </row>
    <row r="1485" spans="8:14">
      <c r="H1485" s="2"/>
      <c r="K1485" s="149"/>
      <c r="L1485" s="149"/>
      <c r="M1485" s="149"/>
      <c r="N1485" s="149"/>
    </row>
    <row r="1486" spans="8:14">
      <c r="H1486" s="2"/>
      <c r="K1486" s="149"/>
      <c r="L1486" s="149"/>
      <c r="M1486" s="149"/>
      <c r="N1486" s="149"/>
    </row>
    <row r="1487" spans="8:14">
      <c r="H1487" s="2"/>
      <c r="I1487" s="2"/>
      <c r="K1487" s="149"/>
      <c r="L1487" s="149"/>
      <c r="M1487" s="149"/>
      <c r="N1487" s="149"/>
    </row>
    <row r="1488" spans="8:14">
      <c r="H1488" s="2"/>
      <c r="K1488" s="149"/>
      <c r="L1488" s="149"/>
      <c r="M1488" s="149"/>
      <c r="N1488" s="149"/>
    </row>
    <row r="1489" spans="8:14">
      <c r="H1489" s="2"/>
      <c r="K1489" s="149"/>
      <c r="L1489" s="149"/>
      <c r="M1489" s="149"/>
      <c r="N1489" s="149"/>
    </row>
    <row r="1490" spans="8:14">
      <c r="H1490" s="2"/>
      <c r="K1490" s="149"/>
      <c r="L1490" s="149"/>
      <c r="M1490" s="149"/>
      <c r="N1490" s="149"/>
    </row>
    <row r="1491" spans="8:14">
      <c r="H1491" s="2"/>
      <c r="K1491" s="149"/>
      <c r="L1491" s="149"/>
      <c r="M1491" s="149"/>
      <c r="N1491" s="149"/>
    </row>
    <row r="1492" spans="8:14">
      <c r="H1492" s="2"/>
      <c r="K1492" s="149"/>
      <c r="L1492" s="149"/>
      <c r="M1492" s="149"/>
      <c r="N1492" s="149"/>
    </row>
    <row r="1493" spans="8:14">
      <c r="H1493" s="2"/>
      <c r="K1493" s="149"/>
      <c r="L1493" s="149"/>
      <c r="M1493" s="149"/>
      <c r="N1493" s="149"/>
    </row>
    <row r="1494" spans="8:14">
      <c r="H1494" s="2"/>
      <c r="K1494" s="149"/>
      <c r="L1494" s="149"/>
      <c r="M1494" s="149"/>
      <c r="N1494" s="149"/>
    </row>
    <row r="1495" spans="8:14">
      <c r="H1495" s="2"/>
      <c r="K1495" s="149"/>
      <c r="L1495" s="149"/>
      <c r="M1495" s="149"/>
      <c r="N1495" s="149"/>
    </row>
    <row r="1496" spans="8:14">
      <c r="H1496" s="2"/>
      <c r="K1496" s="149"/>
      <c r="L1496" s="149"/>
      <c r="M1496" s="149"/>
      <c r="N1496" s="149"/>
    </row>
    <row r="1497" spans="8:14">
      <c r="H1497" s="2"/>
      <c r="K1497" s="149"/>
      <c r="L1497" s="149"/>
      <c r="M1497" s="149"/>
      <c r="N1497" s="149"/>
    </row>
    <row r="1498" spans="8:14">
      <c r="H1498" s="2"/>
      <c r="K1498" s="149"/>
      <c r="L1498" s="149"/>
      <c r="M1498" s="149"/>
      <c r="N1498" s="149"/>
    </row>
    <row r="1499" spans="8:14">
      <c r="H1499" s="2"/>
      <c r="K1499" s="149"/>
      <c r="L1499" s="149"/>
      <c r="M1499" s="149"/>
      <c r="N1499" s="149"/>
    </row>
    <row r="1500" spans="8:14">
      <c r="H1500" s="2"/>
      <c r="K1500" s="149"/>
      <c r="L1500" s="149"/>
      <c r="M1500" s="149"/>
      <c r="N1500" s="149"/>
    </row>
    <row r="1501" spans="8:14">
      <c r="H1501" s="2"/>
      <c r="K1501" s="149"/>
      <c r="L1501" s="149"/>
      <c r="M1501" s="149"/>
      <c r="N1501" s="149"/>
    </row>
    <row r="1502" spans="8:14">
      <c r="H1502" s="2"/>
      <c r="K1502" s="149"/>
      <c r="L1502" s="149"/>
      <c r="M1502" s="149"/>
      <c r="N1502" s="149"/>
    </row>
    <row r="1503" spans="8:14">
      <c r="H1503" s="2"/>
      <c r="K1503" s="149"/>
      <c r="L1503" s="149"/>
      <c r="M1503" s="149"/>
      <c r="N1503" s="149"/>
    </row>
    <row r="1504" spans="8:14">
      <c r="H1504" s="2"/>
      <c r="K1504" s="149"/>
      <c r="L1504" s="149"/>
      <c r="M1504" s="149"/>
      <c r="N1504" s="149"/>
    </row>
    <row r="1505" spans="8:14">
      <c r="H1505" s="2"/>
      <c r="K1505" s="149"/>
      <c r="L1505" s="149"/>
      <c r="M1505" s="149"/>
      <c r="N1505" s="149"/>
    </row>
    <row r="1506" spans="8:14">
      <c r="H1506" s="2"/>
      <c r="K1506" s="149"/>
      <c r="L1506" s="149"/>
      <c r="M1506" s="149"/>
      <c r="N1506" s="149"/>
    </row>
    <row r="1507" spans="8:14">
      <c r="H1507" s="2"/>
      <c r="K1507" s="149"/>
      <c r="L1507" s="149"/>
      <c r="M1507" s="149"/>
      <c r="N1507" s="149"/>
    </row>
    <row r="1508" spans="8:14">
      <c r="H1508" s="2"/>
      <c r="K1508" s="149"/>
      <c r="L1508" s="149"/>
      <c r="M1508" s="149"/>
      <c r="N1508" s="149"/>
    </row>
    <row r="1509" spans="8:14">
      <c r="H1509" s="2"/>
      <c r="K1509" s="149"/>
      <c r="L1509" s="149"/>
      <c r="M1509" s="149"/>
      <c r="N1509" s="149"/>
    </row>
    <row r="1510" spans="8:14">
      <c r="H1510" s="2"/>
      <c r="K1510" s="149"/>
      <c r="L1510" s="149"/>
      <c r="M1510" s="149"/>
      <c r="N1510" s="149"/>
    </row>
    <row r="1511" spans="8:14">
      <c r="H1511" s="2"/>
      <c r="K1511" s="149"/>
      <c r="L1511" s="149"/>
      <c r="M1511" s="149"/>
      <c r="N1511" s="149"/>
    </row>
    <row r="1512" spans="8:14">
      <c r="H1512" s="2"/>
      <c r="K1512" s="149"/>
      <c r="L1512" s="149"/>
      <c r="M1512" s="149"/>
      <c r="N1512" s="149"/>
    </row>
    <row r="1513" spans="8:14">
      <c r="H1513" s="2"/>
      <c r="K1513" s="149"/>
      <c r="L1513" s="149"/>
      <c r="M1513" s="149"/>
      <c r="N1513" s="149"/>
    </row>
    <row r="1514" spans="8:14">
      <c r="H1514" s="2"/>
      <c r="K1514" s="149"/>
      <c r="L1514" s="149"/>
      <c r="M1514" s="149"/>
      <c r="N1514" s="149"/>
    </row>
    <row r="1515" spans="8:14">
      <c r="H1515" s="2"/>
      <c r="K1515" s="149"/>
      <c r="L1515" s="149"/>
      <c r="M1515" s="149"/>
      <c r="N1515" s="149"/>
    </row>
    <row r="1516" spans="8:14">
      <c r="H1516" s="2"/>
      <c r="K1516" s="149"/>
      <c r="L1516" s="149"/>
      <c r="M1516" s="149"/>
      <c r="N1516" s="149"/>
    </row>
    <row r="1517" spans="8:14">
      <c r="H1517" s="2"/>
      <c r="K1517" s="149"/>
      <c r="L1517" s="149"/>
      <c r="M1517" s="149"/>
      <c r="N1517" s="149"/>
    </row>
    <row r="1518" spans="8:14">
      <c r="H1518" s="2"/>
      <c r="K1518" s="149"/>
      <c r="L1518" s="149"/>
      <c r="M1518" s="149"/>
      <c r="N1518" s="149"/>
    </row>
    <row r="1519" spans="8:14">
      <c r="H1519" s="2"/>
      <c r="K1519" s="149"/>
      <c r="L1519" s="149"/>
      <c r="M1519" s="149"/>
      <c r="N1519" s="149"/>
    </row>
    <row r="1520" spans="8:14">
      <c r="H1520" s="2"/>
      <c r="K1520" s="149"/>
      <c r="L1520" s="149"/>
      <c r="M1520" s="149"/>
      <c r="N1520" s="149"/>
    </row>
    <row r="1521" spans="8:14">
      <c r="H1521" s="2"/>
      <c r="K1521" s="149"/>
      <c r="L1521" s="149"/>
      <c r="M1521" s="149"/>
      <c r="N1521" s="149"/>
    </row>
    <row r="1522" spans="8:14">
      <c r="H1522" s="2"/>
      <c r="K1522" s="149"/>
      <c r="L1522" s="149"/>
      <c r="M1522" s="149"/>
      <c r="N1522" s="149"/>
    </row>
    <row r="1523" spans="8:14">
      <c r="H1523" s="2"/>
      <c r="K1523" s="149"/>
      <c r="L1523" s="149"/>
      <c r="M1523" s="149"/>
      <c r="N1523" s="149"/>
    </row>
    <row r="1524" spans="8:14">
      <c r="H1524" s="2"/>
      <c r="K1524" s="149"/>
      <c r="L1524" s="149"/>
      <c r="M1524" s="149"/>
      <c r="N1524" s="149"/>
    </row>
    <row r="1525" spans="8:14">
      <c r="H1525" s="2"/>
      <c r="K1525" s="149"/>
      <c r="L1525" s="149"/>
      <c r="M1525" s="149"/>
      <c r="N1525" s="149"/>
    </row>
    <row r="1526" spans="8:14">
      <c r="H1526" s="2"/>
      <c r="K1526" s="149"/>
      <c r="L1526" s="149"/>
      <c r="M1526" s="149"/>
      <c r="N1526" s="149"/>
    </row>
    <row r="1527" spans="8:14">
      <c r="H1527" s="2"/>
      <c r="K1527" s="149"/>
      <c r="L1527" s="149"/>
      <c r="M1527" s="149"/>
      <c r="N1527" s="149"/>
    </row>
    <row r="1528" spans="8:14">
      <c r="H1528" s="2"/>
      <c r="K1528" s="149"/>
      <c r="L1528" s="149"/>
      <c r="M1528" s="149"/>
      <c r="N1528" s="149"/>
    </row>
    <row r="1529" spans="8:14">
      <c r="H1529" s="2"/>
      <c r="K1529" s="149"/>
      <c r="L1529" s="149"/>
      <c r="M1529" s="149"/>
      <c r="N1529" s="149"/>
    </row>
    <row r="1530" spans="8:14">
      <c r="H1530" s="2"/>
      <c r="K1530" s="149"/>
      <c r="L1530" s="149"/>
      <c r="M1530" s="149"/>
      <c r="N1530" s="149"/>
    </row>
    <row r="1531" spans="8:14">
      <c r="H1531" s="2"/>
      <c r="K1531" s="149"/>
      <c r="L1531" s="149"/>
      <c r="M1531" s="149"/>
      <c r="N1531" s="149"/>
    </row>
    <row r="1532" spans="8:14">
      <c r="H1532" s="2"/>
      <c r="K1532" s="149"/>
      <c r="L1532" s="149"/>
      <c r="M1532" s="149"/>
      <c r="N1532" s="149"/>
    </row>
    <row r="1533" spans="8:14">
      <c r="H1533" s="2"/>
      <c r="K1533" s="149"/>
      <c r="L1533" s="149"/>
      <c r="M1533" s="149"/>
      <c r="N1533" s="149"/>
    </row>
    <row r="1534" spans="8:14">
      <c r="H1534" s="2"/>
      <c r="K1534" s="149"/>
      <c r="L1534" s="149"/>
      <c r="M1534" s="149"/>
      <c r="N1534" s="149"/>
    </row>
    <row r="1535" spans="8:14">
      <c r="H1535" s="2"/>
      <c r="K1535" s="149"/>
      <c r="L1535" s="149"/>
      <c r="M1535" s="149"/>
      <c r="N1535" s="149"/>
    </row>
    <row r="1536" spans="8:14">
      <c r="H1536" s="2"/>
      <c r="K1536" s="149"/>
      <c r="L1536" s="149"/>
      <c r="M1536" s="149"/>
      <c r="N1536" s="149"/>
    </row>
    <row r="1537" spans="8:14">
      <c r="H1537" s="2"/>
      <c r="K1537" s="149"/>
      <c r="L1537" s="149"/>
      <c r="M1537" s="149"/>
      <c r="N1537" s="149"/>
    </row>
    <row r="1538" spans="8:14">
      <c r="H1538" s="2"/>
      <c r="K1538" s="149"/>
      <c r="L1538" s="149"/>
      <c r="M1538" s="149"/>
      <c r="N1538" s="149"/>
    </row>
    <row r="1539" spans="8:14">
      <c r="H1539" s="2"/>
      <c r="K1539" s="149"/>
      <c r="L1539" s="149"/>
      <c r="M1539" s="149"/>
      <c r="N1539" s="149"/>
    </row>
    <row r="1540" spans="8:14">
      <c r="H1540" s="2"/>
      <c r="K1540" s="149"/>
      <c r="L1540" s="149"/>
      <c r="M1540" s="149"/>
      <c r="N1540" s="149"/>
    </row>
    <row r="1541" spans="8:14">
      <c r="H1541" s="2"/>
      <c r="K1541" s="149"/>
      <c r="L1541" s="149"/>
      <c r="M1541" s="149"/>
      <c r="N1541" s="149"/>
    </row>
    <row r="1542" spans="8:14">
      <c r="H1542" s="2"/>
      <c r="K1542" s="149"/>
      <c r="L1542" s="149"/>
      <c r="M1542" s="149"/>
      <c r="N1542" s="149"/>
    </row>
    <row r="1543" spans="8:14">
      <c r="H1543" s="2"/>
      <c r="K1543" s="149"/>
      <c r="L1543" s="149"/>
      <c r="M1543" s="149"/>
      <c r="N1543" s="149"/>
    </row>
    <row r="1544" spans="8:14">
      <c r="H1544" s="2"/>
      <c r="K1544" s="149"/>
      <c r="L1544" s="149"/>
      <c r="M1544" s="149"/>
      <c r="N1544" s="149"/>
    </row>
    <row r="1545" spans="8:14">
      <c r="H1545" s="2"/>
      <c r="K1545" s="149"/>
      <c r="L1545" s="149"/>
      <c r="M1545" s="149"/>
      <c r="N1545" s="149"/>
    </row>
    <row r="1546" spans="8:14">
      <c r="H1546" s="2"/>
      <c r="I1546" s="2"/>
      <c r="K1546" s="149"/>
      <c r="L1546" s="149"/>
      <c r="M1546" s="149"/>
      <c r="N1546" s="149"/>
    </row>
    <row r="1547" spans="8:14">
      <c r="H1547" s="2"/>
      <c r="I1547" s="2"/>
      <c r="K1547" s="149"/>
      <c r="L1547" s="149"/>
      <c r="M1547" s="149"/>
      <c r="N1547" s="149"/>
    </row>
    <row r="1548" spans="8:14">
      <c r="H1548" s="2"/>
      <c r="K1548" s="149"/>
      <c r="L1548" s="149"/>
      <c r="M1548" s="149"/>
      <c r="N1548" s="149"/>
    </row>
    <row r="1549" spans="8:14">
      <c r="H1549" s="2"/>
      <c r="K1549" s="149"/>
      <c r="L1549" s="149"/>
      <c r="M1549" s="149"/>
      <c r="N1549" s="149"/>
    </row>
    <row r="1550" spans="8:14">
      <c r="H1550" s="2"/>
      <c r="K1550" s="149"/>
      <c r="L1550" s="149"/>
      <c r="M1550" s="149"/>
      <c r="N1550" s="149"/>
    </row>
    <row r="1551" spans="8:14">
      <c r="H1551" s="2"/>
      <c r="K1551" s="149"/>
      <c r="L1551" s="149"/>
      <c r="M1551" s="149"/>
      <c r="N1551" s="149"/>
    </row>
    <row r="1552" spans="8:14">
      <c r="H1552" s="2"/>
      <c r="K1552" s="149"/>
      <c r="L1552" s="149"/>
      <c r="M1552" s="149"/>
      <c r="N1552" s="149"/>
    </row>
    <row r="1553" spans="8:14">
      <c r="H1553" s="2"/>
      <c r="K1553" s="149"/>
      <c r="L1553" s="149"/>
      <c r="M1553" s="149"/>
      <c r="N1553" s="149"/>
    </row>
    <row r="1554" spans="8:14">
      <c r="H1554" s="2"/>
      <c r="K1554" s="149"/>
      <c r="L1554" s="149"/>
      <c r="M1554" s="149"/>
      <c r="N1554" s="149"/>
    </row>
    <row r="1555" spans="8:14">
      <c r="H1555" s="2"/>
      <c r="K1555" s="149"/>
      <c r="L1555" s="149"/>
      <c r="M1555" s="149"/>
      <c r="N1555" s="149"/>
    </row>
    <row r="1556" spans="8:14">
      <c r="H1556" s="2"/>
      <c r="K1556" s="149"/>
      <c r="L1556" s="149"/>
      <c r="M1556" s="149"/>
      <c r="N1556" s="149"/>
    </row>
    <row r="1557" spans="8:14">
      <c r="H1557" s="2"/>
      <c r="K1557" s="149"/>
      <c r="L1557" s="149"/>
      <c r="M1557" s="149"/>
      <c r="N1557" s="149"/>
    </row>
    <row r="1558" spans="8:14">
      <c r="H1558" s="2"/>
      <c r="K1558" s="149"/>
      <c r="L1558" s="149"/>
      <c r="M1558" s="149"/>
      <c r="N1558" s="149"/>
    </row>
    <row r="1559" spans="8:14">
      <c r="H1559" s="2"/>
      <c r="K1559" s="149"/>
      <c r="L1559" s="149"/>
      <c r="M1559" s="149"/>
      <c r="N1559" s="149"/>
    </row>
    <row r="1560" spans="8:14">
      <c r="H1560" s="2"/>
      <c r="K1560" s="149"/>
      <c r="L1560" s="149"/>
      <c r="M1560" s="149"/>
      <c r="N1560" s="149"/>
    </row>
    <row r="1561" spans="8:14">
      <c r="H1561" s="2"/>
      <c r="K1561" s="149"/>
      <c r="L1561" s="149"/>
      <c r="M1561" s="149"/>
      <c r="N1561" s="149"/>
    </row>
    <row r="1562" spans="8:14">
      <c r="H1562" s="2"/>
      <c r="K1562" s="149"/>
      <c r="L1562" s="149"/>
      <c r="M1562" s="149"/>
      <c r="N1562" s="149"/>
    </row>
    <row r="1563" spans="8:14">
      <c r="H1563" s="2"/>
      <c r="K1563" s="149"/>
      <c r="L1563" s="149"/>
      <c r="M1563" s="149"/>
      <c r="N1563" s="149"/>
    </row>
    <row r="1564" spans="8:14">
      <c r="H1564" s="2"/>
      <c r="K1564" s="149"/>
      <c r="L1564" s="149"/>
      <c r="M1564" s="149"/>
      <c r="N1564" s="149"/>
    </row>
    <row r="1565" spans="8:14">
      <c r="H1565" s="2"/>
      <c r="K1565" s="149"/>
      <c r="L1565" s="149"/>
      <c r="M1565" s="149"/>
      <c r="N1565" s="149"/>
    </row>
    <row r="1566" spans="8:14">
      <c r="H1566" s="2"/>
      <c r="K1566" s="149"/>
      <c r="L1566" s="149"/>
      <c r="M1566" s="149"/>
      <c r="N1566" s="149"/>
    </row>
    <row r="1567" spans="8:14">
      <c r="H1567" s="2"/>
      <c r="K1567" s="149"/>
      <c r="L1567" s="149"/>
      <c r="M1567" s="149"/>
      <c r="N1567" s="149"/>
    </row>
    <row r="1568" spans="8:14">
      <c r="H1568" s="2"/>
      <c r="K1568" s="149"/>
      <c r="L1568" s="149"/>
      <c r="M1568" s="149"/>
      <c r="N1568" s="149"/>
    </row>
    <row r="1569" spans="8:14">
      <c r="H1569" s="2"/>
      <c r="K1569" s="149"/>
      <c r="L1569" s="149"/>
      <c r="M1569" s="149"/>
      <c r="N1569" s="149"/>
    </row>
    <row r="1570" spans="8:14">
      <c r="H1570" s="2"/>
      <c r="I1570" s="2"/>
      <c r="K1570" s="149"/>
      <c r="L1570" s="149"/>
      <c r="M1570" s="149"/>
      <c r="N1570" s="149"/>
    </row>
    <row r="1571" spans="8:14">
      <c r="H1571" s="2"/>
      <c r="I1571" s="2"/>
      <c r="K1571" s="149"/>
      <c r="L1571" s="149"/>
      <c r="M1571" s="149"/>
      <c r="N1571" s="149"/>
    </row>
    <row r="1572" spans="8:14">
      <c r="H1572" s="2"/>
      <c r="K1572" s="149"/>
      <c r="L1572" s="149"/>
      <c r="M1572" s="149"/>
      <c r="N1572" s="149"/>
    </row>
    <row r="1573" spans="8:14">
      <c r="H1573" s="2"/>
      <c r="K1573" s="149"/>
      <c r="L1573" s="149"/>
      <c r="M1573" s="149"/>
      <c r="N1573" s="149"/>
    </row>
    <row r="1574" spans="8:14">
      <c r="H1574" s="2"/>
      <c r="K1574" s="149"/>
      <c r="L1574" s="149"/>
      <c r="M1574" s="149"/>
      <c r="N1574" s="149"/>
    </row>
    <row r="1575" spans="8:14">
      <c r="H1575" s="2"/>
      <c r="K1575" s="149"/>
      <c r="L1575" s="149"/>
      <c r="M1575" s="149"/>
      <c r="N1575" s="149"/>
    </row>
    <row r="1576" spans="8:14">
      <c r="H1576" s="2"/>
      <c r="K1576" s="149"/>
      <c r="L1576" s="149"/>
      <c r="M1576" s="149"/>
      <c r="N1576" s="149"/>
    </row>
    <row r="1577" spans="8:14">
      <c r="H1577" s="2"/>
      <c r="K1577" s="149"/>
      <c r="L1577" s="149"/>
      <c r="M1577" s="149"/>
      <c r="N1577" s="149"/>
    </row>
    <row r="1578" spans="8:14">
      <c r="H1578" s="2"/>
      <c r="K1578" s="149"/>
      <c r="L1578" s="149"/>
      <c r="M1578" s="149"/>
      <c r="N1578" s="149"/>
    </row>
    <row r="1579" spans="8:14">
      <c r="H1579" s="2"/>
      <c r="K1579" s="149"/>
      <c r="L1579" s="149"/>
      <c r="M1579" s="149"/>
      <c r="N1579" s="149"/>
    </row>
    <row r="1580" spans="8:14">
      <c r="H1580" s="2"/>
      <c r="K1580" s="149"/>
      <c r="L1580" s="149"/>
      <c r="M1580" s="149"/>
      <c r="N1580" s="149"/>
    </row>
    <row r="1581" spans="8:14">
      <c r="H1581" s="2"/>
      <c r="K1581" s="149"/>
      <c r="L1581" s="149"/>
      <c r="M1581" s="149"/>
      <c r="N1581" s="149"/>
    </row>
    <row r="1582" spans="8:14">
      <c r="H1582" s="2"/>
      <c r="I1582" s="2"/>
      <c r="K1582" s="149"/>
      <c r="L1582" s="149"/>
      <c r="M1582" s="149"/>
      <c r="N1582" s="149"/>
    </row>
    <row r="1583" spans="8:14">
      <c r="H1583" s="2"/>
      <c r="K1583" s="149"/>
      <c r="L1583" s="149"/>
      <c r="M1583" s="149"/>
      <c r="N1583" s="149"/>
    </row>
    <row r="1584" spans="8:14">
      <c r="H1584" s="2"/>
      <c r="K1584" s="149"/>
      <c r="L1584" s="149"/>
      <c r="M1584" s="149"/>
      <c r="N1584" s="149"/>
    </row>
    <row r="1585" spans="8:14">
      <c r="H1585" s="2"/>
      <c r="K1585" s="149"/>
      <c r="L1585" s="149"/>
      <c r="M1585" s="149"/>
      <c r="N1585" s="149"/>
    </row>
    <row r="1586" spans="8:14">
      <c r="H1586" s="2"/>
      <c r="I1586" s="2"/>
      <c r="K1586" s="149"/>
      <c r="L1586" s="149"/>
      <c r="M1586" s="149"/>
      <c r="N1586" s="149"/>
    </row>
    <row r="1587" spans="8:14">
      <c r="H1587" s="2"/>
      <c r="I1587" s="2"/>
      <c r="K1587" s="149"/>
      <c r="L1587" s="149"/>
      <c r="M1587" s="149"/>
      <c r="N1587" s="149"/>
    </row>
    <row r="1588" spans="8:14">
      <c r="H1588" s="2"/>
      <c r="K1588" s="149"/>
      <c r="L1588" s="149"/>
      <c r="M1588" s="149"/>
      <c r="N1588" s="149"/>
    </row>
    <row r="1589" spans="8:14">
      <c r="H1589" s="2"/>
      <c r="K1589" s="149"/>
      <c r="L1589" s="149"/>
      <c r="M1589" s="149"/>
      <c r="N1589" s="149"/>
    </row>
    <row r="1590" spans="8:14">
      <c r="H1590" s="2"/>
      <c r="K1590" s="149"/>
      <c r="L1590" s="149"/>
      <c r="M1590" s="149"/>
      <c r="N1590" s="149"/>
    </row>
    <row r="1591" spans="8:14">
      <c r="H1591" s="2"/>
      <c r="K1591" s="149"/>
      <c r="L1591" s="149"/>
      <c r="M1591" s="149"/>
      <c r="N1591" s="149"/>
    </row>
    <row r="1592" spans="8:14">
      <c r="H1592" s="2"/>
      <c r="I1592" s="2"/>
      <c r="K1592" s="149"/>
      <c r="L1592" s="149"/>
      <c r="M1592" s="149"/>
      <c r="N1592" s="149"/>
    </row>
    <row r="1593" spans="8:14">
      <c r="H1593" s="2"/>
      <c r="K1593" s="149"/>
      <c r="L1593" s="149"/>
      <c r="M1593" s="149"/>
      <c r="N1593" s="149"/>
    </row>
    <row r="1594" spans="8:14">
      <c r="H1594" s="2"/>
      <c r="I1594" s="2"/>
      <c r="K1594" s="149"/>
      <c r="L1594" s="149"/>
      <c r="M1594" s="149"/>
      <c r="N1594" s="149"/>
    </row>
    <row r="1595" spans="8:14">
      <c r="H1595" s="2"/>
      <c r="K1595" s="149"/>
      <c r="L1595" s="149"/>
      <c r="M1595" s="149"/>
      <c r="N1595" s="149"/>
    </row>
    <row r="1596" spans="8:14">
      <c r="H1596" s="2"/>
      <c r="K1596" s="149"/>
      <c r="L1596" s="149"/>
      <c r="M1596" s="149"/>
      <c r="N1596" s="149"/>
    </row>
    <row r="1597" spans="8:14">
      <c r="K1597" s="149"/>
      <c r="L1597" s="149"/>
      <c r="M1597" s="149"/>
      <c r="N1597" s="149"/>
    </row>
    <row r="1598" spans="8:14">
      <c r="I1598" s="2"/>
      <c r="K1598" s="149"/>
      <c r="L1598" s="149"/>
      <c r="M1598" s="149"/>
      <c r="N1598" s="149"/>
    </row>
    <row r="1599" spans="8:14">
      <c r="K1599" s="149"/>
      <c r="L1599" s="149"/>
      <c r="M1599" s="149"/>
      <c r="N1599" s="149"/>
    </row>
    <row r="1600" spans="8:14">
      <c r="H1600" s="2"/>
      <c r="K1600" s="149"/>
      <c r="L1600" s="149"/>
      <c r="M1600" s="149"/>
      <c r="N1600" s="149"/>
    </row>
    <row r="1601" spans="8:14">
      <c r="H1601" s="2"/>
      <c r="K1601" s="149"/>
      <c r="L1601" s="149"/>
      <c r="M1601" s="149"/>
      <c r="N1601" s="149"/>
    </row>
    <row r="1602" spans="8:14">
      <c r="H1602" s="2"/>
      <c r="K1602" s="149"/>
      <c r="L1602" s="149"/>
      <c r="M1602" s="149"/>
      <c r="N1602" s="149"/>
    </row>
    <row r="1603" spans="8:14">
      <c r="H1603" s="2"/>
      <c r="K1603" s="149"/>
      <c r="L1603" s="149"/>
      <c r="M1603" s="149"/>
      <c r="N1603" s="149"/>
    </row>
    <row r="1604" spans="8:14">
      <c r="H1604" s="2"/>
      <c r="J1604" s="2"/>
      <c r="K1604" s="149"/>
      <c r="L1604" s="149"/>
      <c r="M1604" s="149"/>
      <c r="N1604" s="149"/>
    </row>
    <row r="1605" spans="8:14">
      <c r="H1605" s="2"/>
      <c r="I1605" s="2"/>
      <c r="K1605" s="149"/>
      <c r="L1605" s="149"/>
      <c r="M1605" s="149"/>
      <c r="N1605" s="149"/>
    </row>
    <row r="1606" spans="8:14">
      <c r="H1606" s="2"/>
      <c r="K1606" s="149"/>
      <c r="L1606" s="149"/>
      <c r="M1606" s="149"/>
      <c r="N1606" s="149"/>
    </row>
    <row r="1607" spans="8:14">
      <c r="H1607" s="2"/>
      <c r="K1607" s="149"/>
      <c r="L1607" s="149"/>
      <c r="M1607" s="149"/>
      <c r="N1607" s="149"/>
    </row>
    <row r="1608" spans="8:14">
      <c r="H1608" s="2"/>
      <c r="K1608" s="149"/>
      <c r="L1608" s="149"/>
      <c r="M1608" s="149"/>
      <c r="N1608" s="149"/>
    </row>
    <row r="1609" spans="8:14">
      <c r="H1609" s="2"/>
      <c r="K1609" s="149"/>
      <c r="L1609" s="149"/>
      <c r="M1609" s="149"/>
      <c r="N1609" s="149"/>
    </row>
    <row r="1610" spans="8:14">
      <c r="H1610" s="2"/>
      <c r="K1610" s="149"/>
      <c r="L1610" s="149"/>
      <c r="M1610" s="149"/>
      <c r="N1610" s="149"/>
    </row>
    <row r="1611" spans="8:14">
      <c r="H1611" s="2"/>
      <c r="K1611" s="149"/>
      <c r="L1611" s="149"/>
      <c r="M1611" s="149"/>
      <c r="N1611" s="149"/>
    </row>
    <row r="1612" spans="8:14">
      <c r="K1612" s="149"/>
      <c r="L1612" s="149"/>
      <c r="M1612" s="149"/>
      <c r="N1612" s="149"/>
    </row>
    <row r="1613" spans="8:14">
      <c r="K1613" s="149"/>
      <c r="L1613" s="149"/>
      <c r="M1613" s="149"/>
      <c r="N1613" s="149"/>
    </row>
    <row r="1614" spans="8:14">
      <c r="H1614" s="2"/>
      <c r="K1614" s="149"/>
      <c r="L1614" s="149"/>
      <c r="M1614" s="149"/>
      <c r="N1614" s="149"/>
    </row>
    <row r="1615" spans="8:14">
      <c r="H1615" s="2"/>
      <c r="K1615" s="149"/>
      <c r="L1615" s="149"/>
      <c r="M1615" s="149"/>
      <c r="N1615" s="149"/>
    </row>
    <row r="1616" spans="8:14">
      <c r="H1616" s="2"/>
      <c r="I1616" s="2"/>
      <c r="K1616" s="149"/>
      <c r="L1616" s="149"/>
      <c r="M1616" s="149"/>
      <c r="N1616" s="149"/>
    </row>
    <row r="1617" spans="8:14">
      <c r="H1617" s="2"/>
      <c r="K1617" s="149"/>
      <c r="L1617" s="149"/>
      <c r="M1617" s="149"/>
      <c r="N1617" s="149"/>
    </row>
    <row r="1618" spans="8:14">
      <c r="H1618" s="2"/>
      <c r="K1618" s="149"/>
      <c r="L1618" s="149"/>
      <c r="M1618" s="149"/>
      <c r="N1618" s="149"/>
    </row>
    <row r="1619" spans="8:14">
      <c r="H1619" s="2"/>
      <c r="K1619" s="149"/>
      <c r="L1619" s="149"/>
      <c r="M1619" s="149"/>
      <c r="N1619" s="149"/>
    </row>
    <row r="1620" spans="8:14">
      <c r="H1620" s="2"/>
      <c r="K1620" s="149"/>
      <c r="L1620" s="149"/>
      <c r="M1620" s="149"/>
      <c r="N1620" s="149"/>
    </row>
    <row r="1621" spans="8:14">
      <c r="H1621" s="2"/>
      <c r="K1621" s="149"/>
      <c r="L1621" s="149"/>
      <c r="M1621" s="149"/>
      <c r="N1621" s="149"/>
    </row>
    <row r="1622" spans="8:14">
      <c r="K1622" s="149"/>
      <c r="L1622" s="149"/>
      <c r="M1622" s="149"/>
      <c r="N1622" s="149"/>
    </row>
    <row r="1623" spans="8:14">
      <c r="K1623" s="149"/>
      <c r="L1623" s="149"/>
      <c r="M1623" s="149"/>
      <c r="N1623" s="149"/>
    </row>
    <row r="1624" spans="8:14">
      <c r="K1624" s="149"/>
      <c r="L1624" s="149"/>
      <c r="M1624" s="149"/>
      <c r="N1624" s="149"/>
    </row>
    <row r="1625" spans="8:14">
      <c r="H1625" s="2"/>
      <c r="K1625" s="149"/>
      <c r="L1625" s="149"/>
      <c r="M1625" s="149"/>
      <c r="N1625" s="149"/>
    </row>
    <row r="1626" spans="8:14">
      <c r="H1626" s="2"/>
      <c r="K1626" s="149"/>
      <c r="L1626" s="149"/>
      <c r="M1626" s="149"/>
      <c r="N1626" s="149"/>
    </row>
    <row r="1627" spans="8:14">
      <c r="H1627" s="2"/>
      <c r="K1627" s="149"/>
      <c r="L1627" s="149"/>
      <c r="M1627" s="149"/>
      <c r="N1627" s="149"/>
    </row>
    <row r="1628" spans="8:14">
      <c r="H1628" s="2"/>
      <c r="K1628" s="149"/>
      <c r="L1628" s="149"/>
      <c r="M1628" s="149"/>
      <c r="N1628" s="149"/>
    </row>
    <row r="1629" spans="8:14">
      <c r="H1629" s="2"/>
      <c r="K1629" s="149"/>
      <c r="L1629" s="149"/>
      <c r="M1629" s="149"/>
      <c r="N1629" s="149"/>
    </row>
    <row r="1630" spans="8:14">
      <c r="H1630" s="2"/>
      <c r="K1630" s="149"/>
      <c r="L1630" s="149"/>
      <c r="M1630" s="149"/>
      <c r="N1630" s="149"/>
    </row>
    <row r="1631" spans="8:14">
      <c r="H1631" s="2"/>
      <c r="K1631" s="149"/>
      <c r="L1631" s="149"/>
      <c r="M1631" s="149"/>
      <c r="N1631" s="149"/>
    </row>
    <row r="1632" spans="8:14">
      <c r="H1632" s="2"/>
      <c r="I1632" s="2"/>
      <c r="K1632" s="149"/>
      <c r="L1632" s="149"/>
      <c r="M1632" s="149"/>
      <c r="N1632" s="149"/>
    </row>
    <row r="1633" spans="8:14">
      <c r="H1633" s="2"/>
      <c r="K1633" s="149"/>
      <c r="L1633" s="149"/>
      <c r="M1633" s="149"/>
      <c r="N1633" s="149"/>
    </row>
    <row r="1634" spans="8:14">
      <c r="H1634" s="2"/>
      <c r="I1634" s="2"/>
      <c r="K1634" s="149"/>
      <c r="L1634" s="149"/>
      <c r="M1634" s="149"/>
      <c r="N1634" s="149"/>
    </row>
    <row r="1635" spans="8:14">
      <c r="H1635" s="2"/>
      <c r="I1635" s="2"/>
      <c r="K1635" s="149"/>
      <c r="L1635" s="149"/>
      <c r="M1635" s="149"/>
      <c r="N1635" s="149"/>
    </row>
    <row r="1636" spans="8:14">
      <c r="H1636" s="2"/>
      <c r="I1636" s="2"/>
      <c r="K1636" s="149"/>
      <c r="L1636" s="149"/>
      <c r="M1636" s="149"/>
      <c r="N1636" s="149"/>
    </row>
    <row r="1637" spans="8:14">
      <c r="H1637" s="2"/>
      <c r="J1637" s="2"/>
      <c r="K1637" s="149"/>
      <c r="L1637" s="149"/>
      <c r="M1637" s="149"/>
      <c r="N1637" s="149"/>
    </row>
    <row r="1638" spans="8:14">
      <c r="H1638" s="2"/>
      <c r="I1638" s="2"/>
      <c r="K1638" s="149"/>
      <c r="L1638" s="149"/>
      <c r="M1638" s="149"/>
      <c r="N1638" s="149"/>
    </row>
    <row r="1639" spans="8:14">
      <c r="H1639" s="2"/>
      <c r="K1639" s="149"/>
      <c r="L1639" s="149"/>
      <c r="M1639" s="149"/>
      <c r="N1639" s="149"/>
    </row>
    <row r="1640" spans="8:14">
      <c r="H1640" s="2"/>
      <c r="K1640" s="149"/>
      <c r="L1640" s="149"/>
      <c r="M1640" s="149"/>
      <c r="N1640" s="149"/>
    </row>
    <row r="1641" spans="8:14">
      <c r="H1641" s="2"/>
      <c r="I1641" s="2"/>
      <c r="K1641" s="149"/>
      <c r="L1641" s="149"/>
      <c r="M1641" s="149"/>
      <c r="N1641" s="149"/>
    </row>
    <row r="1642" spans="8:14">
      <c r="H1642" s="2"/>
      <c r="I1642" s="2"/>
      <c r="K1642" s="149"/>
      <c r="L1642" s="149"/>
      <c r="M1642" s="149"/>
      <c r="N1642" s="149"/>
    </row>
    <row r="1643" spans="8:14">
      <c r="H1643" s="2"/>
      <c r="I1643" s="2"/>
      <c r="K1643" s="149"/>
      <c r="L1643" s="149"/>
      <c r="M1643" s="149"/>
      <c r="N1643" s="149"/>
    </row>
    <row r="1644" spans="8:14">
      <c r="H1644" s="2"/>
      <c r="K1644" s="149"/>
      <c r="L1644" s="149"/>
      <c r="M1644" s="149"/>
      <c r="N1644" s="149"/>
    </row>
    <row r="1645" spans="8:14">
      <c r="H1645" s="2"/>
      <c r="K1645" s="149"/>
      <c r="L1645" s="149"/>
      <c r="M1645" s="149"/>
      <c r="N1645" s="149"/>
    </row>
    <row r="1646" spans="8:14">
      <c r="H1646" s="2"/>
      <c r="K1646" s="149"/>
      <c r="L1646" s="149"/>
      <c r="M1646" s="149"/>
      <c r="N1646" s="149"/>
    </row>
    <row r="1647" spans="8:14">
      <c r="H1647" s="2"/>
      <c r="K1647" s="149"/>
      <c r="L1647" s="149"/>
      <c r="M1647" s="149"/>
      <c r="N1647" s="149"/>
    </row>
    <row r="1648" spans="8:14">
      <c r="H1648" s="2"/>
      <c r="K1648" s="149"/>
      <c r="L1648" s="149"/>
      <c r="M1648" s="149"/>
      <c r="N1648" s="149"/>
    </row>
    <row r="1649" spans="8:14">
      <c r="H1649" s="2"/>
      <c r="K1649" s="149"/>
      <c r="L1649" s="149"/>
      <c r="M1649" s="149"/>
      <c r="N1649" s="149"/>
    </row>
    <row r="1650" spans="8:14">
      <c r="H1650" s="2"/>
      <c r="K1650" s="149"/>
      <c r="L1650" s="149"/>
      <c r="M1650" s="149"/>
      <c r="N1650" s="149"/>
    </row>
    <row r="1651" spans="8:14">
      <c r="H1651" s="2"/>
      <c r="K1651" s="149"/>
      <c r="L1651" s="149"/>
      <c r="M1651" s="149"/>
      <c r="N1651" s="149"/>
    </row>
    <row r="1652" spans="8:14">
      <c r="H1652" s="2"/>
      <c r="K1652" s="149"/>
      <c r="L1652" s="149"/>
      <c r="M1652" s="149"/>
      <c r="N1652" s="149"/>
    </row>
    <row r="1653" spans="8:14">
      <c r="H1653" s="2"/>
      <c r="I1653" s="2"/>
      <c r="K1653" s="149"/>
      <c r="L1653" s="149"/>
      <c r="M1653" s="149"/>
      <c r="N1653" s="149"/>
    </row>
    <row r="1654" spans="8:14">
      <c r="H1654" s="2"/>
      <c r="K1654" s="149"/>
      <c r="L1654" s="149"/>
      <c r="M1654" s="149"/>
      <c r="N1654" s="149"/>
    </row>
    <row r="1655" spans="8:14">
      <c r="H1655" s="2"/>
      <c r="I1655" s="2"/>
      <c r="K1655" s="149"/>
      <c r="L1655" s="149"/>
      <c r="M1655" s="149"/>
      <c r="N1655" s="149"/>
    </row>
    <row r="1656" spans="8:14">
      <c r="H1656" s="2"/>
      <c r="K1656" s="149"/>
      <c r="L1656" s="149"/>
      <c r="M1656" s="149"/>
      <c r="N1656" s="149"/>
    </row>
    <row r="1657" spans="8:14">
      <c r="H1657" s="2"/>
      <c r="K1657" s="149"/>
      <c r="L1657" s="149"/>
      <c r="M1657" s="149"/>
      <c r="N1657" s="149"/>
    </row>
    <row r="1658" spans="8:14">
      <c r="H1658" s="2"/>
      <c r="K1658" s="149"/>
      <c r="L1658" s="149"/>
      <c r="M1658" s="149"/>
      <c r="N1658" s="149"/>
    </row>
    <row r="1659" spans="8:14">
      <c r="H1659" s="2"/>
      <c r="K1659" s="149"/>
      <c r="L1659" s="149"/>
      <c r="M1659" s="149"/>
      <c r="N1659" s="149"/>
    </row>
    <row r="1660" spans="8:14">
      <c r="H1660" s="2"/>
      <c r="K1660" s="149"/>
      <c r="L1660" s="149"/>
      <c r="M1660" s="149"/>
      <c r="N1660" s="149"/>
    </row>
    <row r="1661" spans="8:14">
      <c r="H1661" s="2"/>
      <c r="K1661" s="149"/>
      <c r="L1661" s="149"/>
      <c r="M1661" s="149"/>
      <c r="N1661" s="149"/>
    </row>
    <row r="1662" spans="8:14">
      <c r="H1662" s="2"/>
      <c r="K1662" s="149"/>
      <c r="L1662" s="149"/>
      <c r="M1662" s="149"/>
      <c r="N1662" s="149"/>
    </row>
    <row r="1663" spans="8:14">
      <c r="H1663" s="2"/>
      <c r="I1663" s="2"/>
      <c r="K1663" s="149"/>
      <c r="L1663" s="149"/>
      <c r="M1663" s="149"/>
      <c r="N1663" s="149"/>
    </row>
    <row r="1664" spans="8:14">
      <c r="H1664" s="2"/>
      <c r="K1664" s="149"/>
      <c r="L1664" s="149"/>
      <c r="M1664" s="149"/>
      <c r="N1664" s="149"/>
    </row>
    <row r="1665" spans="8:14">
      <c r="H1665" s="2"/>
      <c r="I1665" s="2"/>
      <c r="K1665" s="149"/>
      <c r="L1665" s="149"/>
      <c r="M1665" s="149"/>
      <c r="N1665" s="149"/>
    </row>
    <row r="1666" spans="8:14">
      <c r="H1666" s="2"/>
      <c r="K1666" s="149"/>
      <c r="L1666" s="149"/>
      <c r="M1666" s="149"/>
      <c r="N1666" s="149"/>
    </row>
    <row r="1667" spans="8:14">
      <c r="H1667" s="2"/>
      <c r="I1667" s="2"/>
      <c r="K1667" s="149"/>
      <c r="L1667" s="149"/>
      <c r="M1667" s="149"/>
      <c r="N1667" s="149"/>
    </row>
    <row r="1668" spans="8:14">
      <c r="H1668" s="2"/>
      <c r="I1668" s="2"/>
      <c r="K1668" s="149"/>
      <c r="L1668" s="149"/>
      <c r="M1668" s="149"/>
      <c r="N1668" s="149"/>
    </row>
    <row r="1669" spans="8:14">
      <c r="H1669" s="2"/>
      <c r="K1669" s="149"/>
      <c r="L1669" s="149"/>
      <c r="M1669" s="149"/>
      <c r="N1669" s="149"/>
    </row>
    <row r="1670" spans="8:14">
      <c r="H1670" s="2"/>
      <c r="I1670" s="2"/>
      <c r="K1670" s="149"/>
      <c r="L1670" s="149"/>
      <c r="M1670" s="149"/>
      <c r="N1670" s="149"/>
    </row>
    <row r="1671" spans="8:14">
      <c r="H1671" s="2"/>
      <c r="K1671" s="149"/>
      <c r="L1671" s="149"/>
      <c r="M1671" s="149"/>
      <c r="N1671" s="149"/>
    </row>
    <row r="1672" spans="8:14">
      <c r="H1672" s="2"/>
      <c r="K1672" s="149"/>
      <c r="L1672" s="149"/>
      <c r="M1672" s="149"/>
      <c r="N1672" s="149"/>
    </row>
    <row r="1673" spans="8:14">
      <c r="H1673" s="2"/>
      <c r="I1673" s="2"/>
      <c r="K1673" s="149"/>
      <c r="L1673" s="149"/>
      <c r="M1673" s="149"/>
      <c r="N1673" s="149"/>
    </row>
    <row r="1674" spans="8:14">
      <c r="H1674" s="2"/>
      <c r="K1674" s="149"/>
      <c r="L1674" s="149"/>
      <c r="M1674" s="149"/>
      <c r="N1674" s="149"/>
    </row>
    <row r="1675" spans="8:14">
      <c r="H1675" s="2"/>
      <c r="I1675" s="2"/>
      <c r="K1675" s="149"/>
      <c r="L1675" s="149"/>
      <c r="M1675" s="149"/>
      <c r="N1675" s="149"/>
    </row>
    <row r="1676" spans="8:14">
      <c r="H1676" s="2"/>
      <c r="I1676" s="2"/>
      <c r="K1676" s="149"/>
      <c r="L1676" s="149"/>
      <c r="M1676" s="149"/>
      <c r="N1676" s="149"/>
    </row>
    <row r="1677" spans="8:14">
      <c r="H1677" s="2"/>
      <c r="I1677" s="2"/>
      <c r="K1677" s="149"/>
      <c r="L1677" s="149"/>
      <c r="M1677" s="149"/>
      <c r="N1677" s="149"/>
    </row>
    <row r="1678" spans="8:14">
      <c r="H1678" s="2"/>
      <c r="K1678" s="149"/>
      <c r="L1678" s="149"/>
      <c r="M1678" s="149"/>
      <c r="N1678" s="149"/>
    </row>
    <row r="1679" spans="8:14">
      <c r="H1679" s="2"/>
      <c r="I1679" s="2"/>
      <c r="K1679" s="149"/>
      <c r="L1679" s="149"/>
      <c r="M1679" s="149"/>
      <c r="N1679" s="149"/>
    </row>
    <row r="1680" spans="8:14">
      <c r="H1680" s="2"/>
      <c r="I1680" s="2"/>
      <c r="K1680" s="149"/>
      <c r="L1680" s="149"/>
      <c r="M1680" s="149"/>
      <c r="N1680" s="149"/>
    </row>
    <row r="1681" spans="8:14">
      <c r="H1681" s="2"/>
      <c r="I1681" s="2"/>
      <c r="K1681" s="149"/>
      <c r="L1681" s="149"/>
      <c r="M1681" s="149"/>
      <c r="N1681" s="149"/>
    </row>
    <row r="1682" spans="8:14">
      <c r="H1682" s="2"/>
      <c r="K1682" s="149"/>
      <c r="L1682" s="149"/>
      <c r="M1682" s="149"/>
      <c r="N1682" s="149"/>
    </row>
    <row r="1683" spans="8:14">
      <c r="H1683" s="2"/>
      <c r="I1683" s="2"/>
      <c r="K1683" s="149"/>
      <c r="L1683" s="149"/>
      <c r="M1683" s="149"/>
      <c r="N1683" s="149"/>
    </row>
    <row r="1684" spans="8:14">
      <c r="H1684" s="2"/>
      <c r="K1684" s="149"/>
      <c r="L1684" s="149"/>
      <c r="M1684" s="149"/>
      <c r="N1684" s="149"/>
    </row>
    <row r="1685" spans="8:14">
      <c r="H1685" s="2"/>
      <c r="K1685" s="149"/>
      <c r="L1685" s="149"/>
      <c r="M1685" s="149"/>
      <c r="N1685" s="149"/>
    </row>
    <row r="1686" spans="8:14">
      <c r="H1686" s="2"/>
      <c r="I1686" s="2"/>
      <c r="K1686" s="149"/>
      <c r="L1686" s="149"/>
      <c r="M1686" s="149"/>
      <c r="N1686" s="149"/>
    </row>
    <row r="1687" spans="8:14">
      <c r="H1687" s="2"/>
      <c r="I1687" s="2"/>
      <c r="K1687" s="149"/>
      <c r="L1687" s="149"/>
      <c r="M1687" s="149"/>
      <c r="N1687" s="149"/>
    </row>
    <row r="1688" spans="8:14">
      <c r="H1688" s="2"/>
      <c r="K1688" s="149"/>
      <c r="L1688" s="149"/>
      <c r="M1688" s="149"/>
      <c r="N1688" s="149"/>
    </row>
    <row r="1689" spans="8:14">
      <c r="H1689" s="2"/>
      <c r="K1689" s="149"/>
      <c r="L1689" s="149"/>
      <c r="M1689" s="149"/>
      <c r="N1689" s="149"/>
    </row>
    <row r="1690" spans="8:14">
      <c r="H1690" s="2"/>
      <c r="I1690" s="2"/>
      <c r="K1690" s="149"/>
      <c r="L1690" s="149"/>
      <c r="M1690" s="149"/>
      <c r="N1690" s="149"/>
    </row>
    <row r="1691" spans="8:14">
      <c r="H1691" s="2"/>
      <c r="I1691" s="2"/>
      <c r="K1691" s="149"/>
      <c r="L1691" s="149"/>
      <c r="M1691" s="149"/>
      <c r="N1691" s="149"/>
    </row>
    <row r="1692" spans="8:14">
      <c r="H1692" s="2"/>
      <c r="I1692" s="2"/>
      <c r="K1692" s="149"/>
      <c r="L1692" s="149"/>
      <c r="M1692" s="149"/>
      <c r="N1692" s="149"/>
    </row>
    <row r="1693" spans="8:14">
      <c r="H1693" s="2"/>
      <c r="K1693" s="149"/>
      <c r="L1693" s="149"/>
      <c r="M1693" s="149"/>
      <c r="N1693" s="149"/>
    </row>
    <row r="1694" spans="8:14">
      <c r="H1694" s="2"/>
      <c r="I1694" s="2"/>
      <c r="K1694" s="149"/>
      <c r="L1694" s="149"/>
      <c r="M1694" s="149"/>
      <c r="N1694" s="149"/>
    </row>
    <row r="1695" spans="8:14">
      <c r="H1695" s="2"/>
      <c r="I1695" s="2"/>
      <c r="K1695" s="149"/>
      <c r="L1695" s="149"/>
      <c r="M1695" s="149"/>
      <c r="N1695" s="149"/>
    </row>
    <row r="1696" spans="8:14">
      <c r="H1696" s="2"/>
      <c r="I1696" s="2"/>
      <c r="K1696" s="149"/>
      <c r="L1696" s="149"/>
      <c r="M1696" s="149"/>
      <c r="N1696" s="149"/>
    </row>
    <row r="1697" spans="8:14">
      <c r="H1697" s="2"/>
      <c r="K1697" s="149"/>
      <c r="L1697" s="149"/>
      <c r="M1697" s="149"/>
      <c r="N1697" s="149"/>
    </row>
    <row r="1698" spans="8:14">
      <c r="H1698" s="2"/>
      <c r="I1698" s="2"/>
      <c r="K1698" s="149"/>
      <c r="L1698" s="149"/>
      <c r="M1698" s="149"/>
      <c r="N1698" s="149"/>
    </row>
    <row r="1699" spans="8:14">
      <c r="H1699" s="2"/>
      <c r="K1699" s="149"/>
      <c r="L1699" s="149"/>
      <c r="M1699" s="149"/>
      <c r="N1699" s="149"/>
    </row>
    <row r="1700" spans="8:14">
      <c r="H1700" s="2"/>
      <c r="K1700" s="149"/>
      <c r="L1700" s="149"/>
      <c r="M1700" s="149"/>
      <c r="N1700" s="149"/>
    </row>
    <row r="1701" spans="8:14">
      <c r="H1701" s="2"/>
      <c r="I1701" s="2"/>
      <c r="K1701" s="149"/>
      <c r="L1701" s="149"/>
      <c r="M1701" s="149"/>
      <c r="N1701" s="149"/>
    </row>
    <row r="1702" spans="8:14">
      <c r="H1702" s="2"/>
      <c r="K1702" s="149"/>
      <c r="L1702" s="149"/>
      <c r="M1702" s="149"/>
      <c r="N1702" s="149"/>
    </row>
    <row r="1703" spans="8:14">
      <c r="H1703" s="2"/>
      <c r="K1703" s="149"/>
      <c r="L1703" s="149"/>
      <c r="M1703" s="149"/>
      <c r="N1703" s="149"/>
    </row>
    <row r="1704" spans="8:14">
      <c r="H1704" s="2"/>
      <c r="K1704" s="149"/>
      <c r="L1704" s="149"/>
      <c r="M1704" s="149"/>
      <c r="N1704" s="149"/>
    </row>
    <row r="1705" spans="8:14">
      <c r="H1705" s="2"/>
      <c r="K1705" s="149"/>
      <c r="L1705" s="149"/>
      <c r="M1705" s="149"/>
      <c r="N1705" s="149"/>
    </row>
    <row r="1706" spans="8:14">
      <c r="H1706" s="2"/>
      <c r="K1706" s="149"/>
      <c r="L1706" s="149"/>
      <c r="M1706" s="149"/>
      <c r="N1706" s="149"/>
    </row>
    <row r="1707" spans="8:14">
      <c r="H1707" s="2"/>
      <c r="K1707" s="149"/>
      <c r="L1707" s="149"/>
      <c r="M1707" s="149"/>
      <c r="N1707" s="149"/>
    </row>
    <row r="1708" spans="8:14">
      <c r="H1708" s="2"/>
      <c r="K1708" s="149"/>
      <c r="L1708" s="149"/>
      <c r="M1708" s="149"/>
      <c r="N1708" s="149"/>
    </row>
    <row r="1709" spans="8:14">
      <c r="H1709" s="2"/>
      <c r="K1709" s="149"/>
      <c r="L1709" s="149"/>
      <c r="M1709" s="149"/>
      <c r="N1709" s="149"/>
    </row>
    <row r="1710" spans="8:14">
      <c r="H1710" s="2"/>
      <c r="K1710" s="149"/>
      <c r="L1710" s="149"/>
      <c r="M1710" s="149"/>
      <c r="N1710" s="149"/>
    </row>
    <row r="1711" spans="8:14">
      <c r="H1711" s="2"/>
      <c r="K1711" s="149"/>
      <c r="L1711" s="149"/>
      <c r="M1711" s="149"/>
      <c r="N1711" s="149"/>
    </row>
    <row r="1712" spans="8:14">
      <c r="H1712" s="2"/>
      <c r="K1712" s="149"/>
      <c r="L1712" s="149"/>
      <c r="M1712" s="149"/>
      <c r="N1712" s="149"/>
    </row>
    <row r="1713" spans="8:14">
      <c r="H1713" s="2"/>
      <c r="K1713" s="149"/>
      <c r="L1713" s="149"/>
      <c r="M1713" s="149"/>
      <c r="N1713" s="149"/>
    </row>
    <row r="1714" spans="8:14">
      <c r="H1714" s="2"/>
      <c r="K1714" s="149"/>
      <c r="L1714" s="149"/>
      <c r="M1714" s="149"/>
      <c r="N1714" s="149"/>
    </row>
    <row r="1715" spans="8:14">
      <c r="H1715" s="2"/>
      <c r="K1715" s="149"/>
      <c r="L1715" s="149"/>
      <c r="M1715" s="149"/>
      <c r="N1715" s="149"/>
    </row>
    <row r="1716" spans="8:14">
      <c r="H1716" s="2"/>
      <c r="K1716" s="149"/>
      <c r="L1716" s="149"/>
      <c r="M1716" s="149"/>
      <c r="N1716" s="149"/>
    </row>
    <row r="1717" spans="8:14">
      <c r="H1717" s="2"/>
      <c r="K1717" s="149"/>
      <c r="L1717" s="149"/>
      <c r="M1717" s="149"/>
      <c r="N1717" s="149"/>
    </row>
    <row r="1718" spans="8:14">
      <c r="H1718" s="2"/>
      <c r="I1718" s="2"/>
      <c r="K1718" s="149"/>
      <c r="L1718" s="149"/>
      <c r="M1718" s="149"/>
      <c r="N1718" s="149"/>
    </row>
    <row r="1719" spans="8:14">
      <c r="H1719" s="2"/>
      <c r="K1719" s="149"/>
      <c r="L1719" s="149"/>
      <c r="M1719" s="149"/>
      <c r="N1719" s="149"/>
    </row>
    <row r="1720" spans="8:14">
      <c r="H1720" s="2"/>
      <c r="K1720" s="149"/>
      <c r="L1720" s="149"/>
      <c r="M1720" s="149"/>
      <c r="N1720" s="149"/>
    </row>
    <row r="1721" spans="8:14">
      <c r="H1721" s="2"/>
      <c r="K1721" s="149"/>
      <c r="L1721" s="149"/>
      <c r="M1721" s="149"/>
      <c r="N1721" s="149"/>
    </row>
    <row r="1722" spans="8:14">
      <c r="H1722" s="2"/>
      <c r="K1722" s="149"/>
      <c r="L1722" s="149"/>
      <c r="M1722" s="149"/>
      <c r="N1722" s="149"/>
    </row>
    <row r="1723" spans="8:14">
      <c r="H1723" s="2"/>
      <c r="K1723" s="149"/>
      <c r="L1723" s="149"/>
      <c r="M1723" s="149"/>
      <c r="N1723" s="149"/>
    </row>
    <row r="1724" spans="8:14">
      <c r="H1724" s="2"/>
      <c r="K1724" s="149"/>
      <c r="L1724" s="149"/>
      <c r="M1724" s="149"/>
      <c r="N1724" s="149"/>
    </row>
    <row r="1725" spans="8:14">
      <c r="H1725" s="2"/>
      <c r="K1725" s="149"/>
      <c r="L1725" s="149"/>
      <c r="M1725" s="149"/>
      <c r="N1725" s="149"/>
    </row>
    <row r="1726" spans="8:14">
      <c r="H1726" s="2"/>
      <c r="K1726" s="149"/>
      <c r="L1726" s="149"/>
      <c r="M1726" s="149"/>
      <c r="N1726" s="149"/>
    </row>
    <row r="1727" spans="8:14">
      <c r="H1727" s="2"/>
      <c r="I1727" s="2"/>
      <c r="K1727" s="149"/>
      <c r="L1727" s="149"/>
      <c r="M1727" s="149"/>
      <c r="N1727" s="149"/>
    </row>
    <row r="1728" spans="8:14">
      <c r="H1728" s="2"/>
      <c r="K1728" s="149"/>
      <c r="L1728" s="149"/>
      <c r="M1728" s="149"/>
      <c r="N1728" s="149"/>
    </row>
    <row r="1729" spans="8:14">
      <c r="H1729" s="2"/>
      <c r="K1729" s="149"/>
      <c r="L1729" s="149"/>
      <c r="M1729" s="149"/>
      <c r="N1729" s="149"/>
    </row>
    <row r="1730" spans="8:14">
      <c r="K1730" s="149"/>
      <c r="L1730" s="149"/>
      <c r="M1730" s="149"/>
      <c r="N1730" s="149"/>
    </row>
    <row r="1731" spans="8:14">
      <c r="K1731" s="149"/>
      <c r="L1731" s="149"/>
      <c r="M1731" s="149"/>
      <c r="N1731" s="149"/>
    </row>
    <row r="1732" spans="8:14">
      <c r="K1732" s="149"/>
      <c r="L1732" s="149"/>
      <c r="M1732" s="149"/>
      <c r="N1732" s="149"/>
    </row>
    <row r="1733" spans="8:14">
      <c r="K1733" s="149"/>
      <c r="L1733" s="149"/>
      <c r="M1733" s="149"/>
      <c r="N1733" s="149"/>
    </row>
    <row r="1734" spans="8:14">
      <c r="K1734" s="149"/>
      <c r="L1734" s="149"/>
      <c r="M1734" s="149"/>
      <c r="N1734" s="149"/>
    </row>
    <row r="1735" spans="8:14">
      <c r="K1735" s="149"/>
      <c r="L1735" s="149"/>
      <c r="M1735" s="149"/>
      <c r="N1735" s="149"/>
    </row>
    <row r="1736" spans="8:14">
      <c r="K1736" s="149"/>
      <c r="L1736" s="149"/>
      <c r="M1736" s="149"/>
      <c r="N1736" s="149"/>
    </row>
    <row r="1737" spans="8:14">
      <c r="K1737" s="149"/>
      <c r="L1737" s="149"/>
      <c r="M1737" s="149"/>
      <c r="N1737" s="149"/>
    </row>
    <row r="1738" spans="8:14">
      <c r="K1738" s="149"/>
      <c r="L1738" s="149"/>
      <c r="M1738" s="149"/>
      <c r="N1738" s="149"/>
    </row>
    <row r="1739" spans="8:14">
      <c r="K1739" s="149"/>
      <c r="L1739" s="149"/>
      <c r="M1739" s="149"/>
      <c r="N1739" s="149"/>
    </row>
    <row r="1740" spans="8:14">
      <c r="K1740" s="149"/>
      <c r="L1740" s="149"/>
      <c r="M1740" s="149"/>
      <c r="N1740" s="149"/>
    </row>
    <row r="1741" spans="8:14">
      <c r="K1741" s="149"/>
      <c r="L1741" s="149"/>
      <c r="M1741" s="149"/>
      <c r="N1741" s="149"/>
    </row>
    <row r="1742" spans="8:14">
      <c r="K1742" s="149"/>
      <c r="L1742" s="149"/>
      <c r="M1742" s="149"/>
      <c r="N1742" s="149"/>
    </row>
    <row r="1743" spans="8:14">
      <c r="K1743" s="149"/>
      <c r="L1743" s="149"/>
      <c r="M1743" s="149"/>
      <c r="N1743" s="149"/>
    </row>
    <row r="1744" spans="8:14">
      <c r="K1744" s="149"/>
      <c r="L1744" s="149"/>
      <c r="M1744" s="149"/>
      <c r="N1744" s="149"/>
    </row>
    <row r="1745" spans="11:14">
      <c r="K1745" s="149"/>
      <c r="L1745" s="149"/>
      <c r="M1745" s="149"/>
      <c r="N1745" s="149"/>
    </row>
    <row r="1746" spans="11:14">
      <c r="K1746" s="149"/>
      <c r="L1746" s="149"/>
      <c r="M1746" s="149"/>
      <c r="N1746" s="149"/>
    </row>
    <row r="1747" spans="11:14">
      <c r="K1747" s="149"/>
      <c r="L1747" s="149"/>
      <c r="M1747" s="149"/>
      <c r="N1747" s="149"/>
    </row>
    <row r="1748" spans="11:14">
      <c r="K1748" s="149"/>
      <c r="L1748" s="149"/>
      <c r="M1748" s="149"/>
      <c r="N1748" s="149"/>
    </row>
    <row r="1749" spans="11:14">
      <c r="K1749" s="149"/>
      <c r="L1749" s="149"/>
      <c r="M1749" s="149"/>
      <c r="N1749" s="149"/>
    </row>
    <row r="1750" spans="11:14">
      <c r="K1750" s="149"/>
      <c r="L1750" s="149"/>
      <c r="M1750" s="149"/>
      <c r="N1750" s="149"/>
    </row>
    <row r="1751" spans="11:14">
      <c r="K1751" s="149"/>
      <c r="L1751" s="149"/>
      <c r="M1751" s="149"/>
      <c r="N1751" s="149"/>
    </row>
    <row r="1752" spans="11:14">
      <c r="K1752" s="149"/>
      <c r="L1752" s="149"/>
      <c r="M1752" s="149"/>
      <c r="N1752" s="149"/>
    </row>
    <row r="1753" spans="11:14">
      <c r="K1753" s="149"/>
      <c r="L1753" s="149"/>
      <c r="M1753" s="149"/>
      <c r="N1753" s="149"/>
    </row>
    <row r="1754" spans="11:14">
      <c r="K1754" s="149"/>
      <c r="L1754" s="149"/>
      <c r="M1754" s="149"/>
      <c r="N1754" s="149"/>
    </row>
    <row r="1755" spans="11:14">
      <c r="K1755" s="149"/>
      <c r="L1755" s="149"/>
      <c r="M1755" s="149"/>
      <c r="N1755" s="149"/>
    </row>
    <row r="1756" spans="11:14">
      <c r="K1756" s="149"/>
      <c r="L1756" s="149"/>
      <c r="M1756" s="149"/>
      <c r="N1756" s="149"/>
    </row>
    <row r="1757" spans="11:14">
      <c r="K1757" s="149"/>
      <c r="L1757" s="149"/>
      <c r="M1757" s="149"/>
      <c r="N1757" s="149"/>
    </row>
    <row r="1758" spans="11:14">
      <c r="K1758" s="149"/>
      <c r="L1758" s="149"/>
      <c r="M1758" s="149"/>
      <c r="N1758" s="149"/>
    </row>
    <row r="1759" spans="11:14">
      <c r="K1759" s="149"/>
      <c r="L1759" s="149"/>
      <c r="M1759" s="149"/>
      <c r="N1759" s="149"/>
    </row>
    <row r="1760" spans="11:14">
      <c r="K1760" s="149"/>
      <c r="L1760" s="149"/>
      <c r="M1760" s="149"/>
      <c r="N1760" s="149"/>
    </row>
    <row r="1761" spans="8:14">
      <c r="K1761" s="149"/>
      <c r="L1761" s="149"/>
      <c r="M1761" s="149"/>
      <c r="N1761" s="149"/>
    </row>
    <row r="1762" spans="8:14">
      <c r="K1762" s="149"/>
      <c r="L1762" s="149"/>
      <c r="M1762" s="149"/>
      <c r="N1762" s="149"/>
    </row>
    <row r="1763" spans="8:14">
      <c r="K1763" s="149"/>
      <c r="L1763" s="149"/>
      <c r="M1763" s="149"/>
      <c r="N1763" s="149"/>
    </row>
    <row r="1764" spans="8:14">
      <c r="K1764" s="149"/>
      <c r="L1764" s="149"/>
      <c r="M1764" s="149"/>
      <c r="N1764" s="149"/>
    </row>
    <row r="1765" spans="8:14">
      <c r="K1765" s="149"/>
      <c r="L1765" s="149"/>
      <c r="M1765" s="149"/>
      <c r="N1765" s="149"/>
    </row>
    <row r="1766" spans="8:14">
      <c r="K1766" s="149"/>
      <c r="L1766" s="149"/>
      <c r="M1766" s="149"/>
      <c r="N1766" s="149"/>
    </row>
    <row r="1767" spans="8:14">
      <c r="K1767" s="149"/>
      <c r="L1767" s="149"/>
      <c r="M1767" s="149"/>
      <c r="N1767" s="149"/>
    </row>
    <row r="1768" spans="8:14">
      <c r="J1768" s="2"/>
      <c r="K1768" s="149"/>
      <c r="L1768" s="149"/>
      <c r="M1768" s="149"/>
      <c r="N1768" s="149"/>
    </row>
    <row r="1769" spans="8:14">
      <c r="K1769" s="149"/>
      <c r="L1769" s="149"/>
      <c r="M1769" s="149"/>
      <c r="N1769" s="149"/>
    </row>
    <row r="1770" spans="8:14">
      <c r="K1770" s="149"/>
      <c r="L1770" s="149"/>
      <c r="M1770" s="149"/>
      <c r="N1770" s="149"/>
    </row>
    <row r="1771" spans="8:14">
      <c r="K1771" s="149"/>
      <c r="L1771" s="149"/>
      <c r="M1771" s="149"/>
      <c r="N1771" s="149"/>
    </row>
    <row r="1772" spans="8:14">
      <c r="K1772" s="149"/>
      <c r="L1772" s="149"/>
      <c r="M1772" s="149"/>
      <c r="N1772" s="149"/>
    </row>
    <row r="1773" spans="8:14">
      <c r="K1773" s="149"/>
      <c r="L1773" s="149"/>
      <c r="M1773" s="149"/>
      <c r="N1773" s="149"/>
    </row>
    <row r="1774" spans="8:14">
      <c r="K1774" s="149"/>
      <c r="L1774" s="149"/>
      <c r="M1774" s="149"/>
      <c r="N1774" s="149"/>
    </row>
    <row r="1775" spans="8:14">
      <c r="K1775" s="149"/>
      <c r="L1775" s="149"/>
      <c r="M1775" s="149"/>
      <c r="N1775" s="149"/>
    </row>
    <row r="1776" spans="8:14">
      <c r="H1776" s="2"/>
      <c r="K1776" s="149"/>
      <c r="L1776" s="149"/>
      <c r="M1776" s="149"/>
      <c r="N1776" s="149"/>
    </row>
    <row r="1777" spans="8:14">
      <c r="H1777" s="2"/>
      <c r="K1777" s="149"/>
      <c r="L1777" s="149"/>
      <c r="M1777" s="149"/>
      <c r="N1777" s="149"/>
    </row>
    <row r="1778" spans="8:14">
      <c r="H1778" s="2"/>
      <c r="K1778" s="149"/>
      <c r="L1778" s="149"/>
      <c r="M1778" s="149"/>
      <c r="N1778" s="149"/>
    </row>
    <row r="1779" spans="8:14">
      <c r="H1779" s="2"/>
      <c r="I1779" s="2"/>
      <c r="K1779" s="149"/>
      <c r="L1779" s="149"/>
      <c r="M1779" s="149"/>
      <c r="N1779" s="149"/>
    </row>
    <row r="1780" spans="8:14">
      <c r="H1780" s="2"/>
      <c r="K1780" s="149"/>
      <c r="L1780" s="149"/>
      <c r="M1780" s="149"/>
      <c r="N1780" s="149"/>
    </row>
    <row r="1781" spans="8:14">
      <c r="H1781" s="2"/>
      <c r="K1781" s="149"/>
      <c r="L1781" s="149"/>
      <c r="M1781" s="149"/>
      <c r="N1781" s="149"/>
    </row>
    <row r="1782" spans="8:14">
      <c r="H1782" s="2"/>
      <c r="K1782" s="149"/>
      <c r="L1782" s="149"/>
      <c r="M1782" s="149"/>
      <c r="N1782" s="149"/>
    </row>
    <row r="1783" spans="8:14">
      <c r="H1783" s="2"/>
      <c r="I1783" s="2"/>
      <c r="K1783" s="149"/>
      <c r="L1783" s="149"/>
      <c r="M1783" s="149"/>
      <c r="N1783" s="149"/>
    </row>
    <row r="1784" spans="8:14">
      <c r="H1784" s="2"/>
      <c r="K1784" s="149"/>
      <c r="L1784" s="149"/>
      <c r="M1784" s="149"/>
      <c r="N1784" s="149"/>
    </row>
    <row r="1785" spans="8:14">
      <c r="H1785" s="2"/>
      <c r="K1785" s="149"/>
      <c r="L1785" s="149"/>
      <c r="M1785" s="149"/>
      <c r="N1785" s="149"/>
    </row>
    <row r="1786" spans="8:14">
      <c r="H1786" s="2"/>
      <c r="K1786" s="149"/>
      <c r="L1786" s="149"/>
      <c r="M1786" s="149"/>
      <c r="N1786" s="149"/>
    </row>
    <row r="1787" spans="8:14">
      <c r="H1787" s="2"/>
      <c r="K1787" s="149"/>
      <c r="L1787" s="149"/>
      <c r="M1787" s="149"/>
      <c r="N1787" s="149"/>
    </row>
    <row r="1788" spans="8:14">
      <c r="H1788" s="2"/>
      <c r="K1788" s="149"/>
      <c r="L1788" s="149"/>
      <c r="M1788" s="149"/>
      <c r="N1788" s="149"/>
    </row>
    <row r="1789" spans="8:14">
      <c r="K1789" s="149"/>
      <c r="L1789" s="149"/>
      <c r="M1789" s="149"/>
      <c r="N1789" s="149"/>
    </row>
    <row r="1790" spans="8:14">
      <c r="K1790" s="149"/>
      <c r="L1790" s="149"/>
      <c r="M1790" s="149"/>
      <c r="N1790" s="149"/>
    </row>
    <row r="1791" spans="8:14">
      <c r="K1791" s="149"/>
      <c r="L1791" s="149"/>
      <c r="M1791" s="149"/>
      <c r="N1791" s="149"/>
    </row>
    <row r="1792" spans="8:14">
      <c r="K1792" s="149"/>
      <c r="L1792" s="149"/>
      <c r="M1792" s="149"/>
      <c r="N1792" s="149"/>
    </row>
    <row r="1793" spans="8:14">
      <c r="K1793" s="149"/>
      <c r="L1793" s="149"/>
      <c r="M1793" s="149"/>
      <c r="N1793" s="149"/>
    </row>
    <row r="1794" spans="8:14">
      <c r="K1794" s="149"/>
      <c r="L1794" s="149"/>
      <c r="M1794" s="149"/>
      <c r="N1794" s="149"/>
    </row>
    <row r="1795" spans="8:14">
      <c r="K1795" s="149"/>
      <c r="L1795" s="149"/>
      <c r="M1795" s="149"/>
      <c r="N1795" s="149"/>
    </row>
    <row r="1796" spans="8:14">
      <c r="H1796" s="2"/>
      <c r="K1796" s="149"/>
      <c r="L1796" s="149"/>
      <c r="M1796" s="149"/>
      <c r="N1796" s="149"/>
    </row>
    <row r="1797" spans="8:14">
      <c r="H1797" s="2"/>
      <c r="I1797" s="2"/>
      <c r="K1797" s="149"/>
      <c r="L1797" s="149"/>
      <c r="M1797" s="149"/>
      <c r="N1797" s="149"/>
    </row>
    <row r="1798" spans="8:14">
      <c r="H1798" s="2"/>
      <c r="K1798" s="149"/>
      <c r="L1798" s="149"/>
      <c r="M1798" s="149"/>
      <c r="N1798" s="149"/>
    </row>
    <row r="1799" spans="8:14">
      <c r="H1799" s="2"/>
      <c r="K1799" s="149"/>
      <c r="L1799" s="149"/>
      <c r="M1799" s="149"/>
      <c r="N1799" s="149"/>
    </row>
    <row r="1800" spans="8:14">
      <c r="H1800" s="2"/>
      <c r="K1800" s="149"/>
      <c r="L1800" s="149"/>
      <c r="M1800" s="149"/>
      <c r="N1800" s="149"/>
    </row>
    <row r="1801" spans="8:14">
      <c r="K1801" s="149"/>
      <c r="L1801" s="149"/>
      <c r="M1801" s="149"/>
      <c r="N1801" s="149"/>
    </row>
    <row r="1802" spans="8:14">
      <c r="K1802" s="149"/>
      <c r="L1802" s="149"/>
      <c r="M1802" s="149"/>
      <c r="N1802" s="149"/>
    </row>
    <row r="1803" spans="8:14">
      <c r="K1803" s="149"/>
      <c r="L1803" s="149"/>
      <c r="M1803" s="149"/>
      <c r="N1803" s="149"/>
    </row>
    <row r="1804" spans="8:14">
      <c r="K1804" s="149"/>
      <c r="L1804" s="149"/>
      <c r="M1804" s="149"/>
      <c r="N1804" s="149"/>
    </row>
    <row r="1805" spans="8:14">
      <c r="K1805" s="149"/>
      <c r="L1805" s="149"/>
      <c r="M1805" s="149"/>
      <c r="N1805" s="149"/>
    </row>
    <row r="1806" spans="8:14">
      <c r="K1806" s="149"/>
      <c r="L1806" s="149"/>
      <c r="M1806" s="149"/>
      <c r="N1806" s="149"/>
    </row>
    <row r="1807" spans="8:14">
      <c r="K1807" s="149"/>
      <c r="L1807" s="149"/>
      <c r="M1807" s="149"/>
      <c r="N1807" s="149"/>
    </row>
    <row r="1808" spans="8:14">
      <c r="K1808" s="149"/>
      <c r="L1808" s="149"/>
      <c r="M1808" s="149"/>
      <c r="N1808" s="149"/>
    </row>
    <row r="1809" spans="11:14">
      <c r="K1809" s="149"/>
      <c r="L1809" s="149"/>
      <c r="M1809" s="149"/>
      <c r="N1809" s="149"/>
    </row>
    <row r="1810" spans="11:14">
      <c r="K1810" s="149"/>
      <c r="L1810" s="149"/>
      <c r="M1810" s="149"/>
      <c r="N1810" s="149"/>
    </row>
    <row r="1811" spans="11:14">
      <c r="K1811" s="149"/>
      <c r="L1811" s="149"/>
      <c r="M1811" s="149"/>
      <c r="N1811" s="149"/>
    </row>
    <row r="1812" spans="11:14">
      <c r="K1812" s="149"/>
      <c r="L1812" s="149"/>
      <c r="M1812" s="149"/>
      <c r="N1812" s="149"/>
    </row>
    <row r="1813" spans="11:14">
      <c r="K1813" s="149"/>
      <c r="L1813" s="149"/>
      <c r="M1813" s="149"/>
      <c r="N1813" s="149"/>
    </row>
    <row r="1814" spans="11:14">
      <c r="K1814" s="149"/>
      <c r="L1814" s="149"/>
      <c r="M1814" s="149"/>
      <c r="N1814" s="149"/>
    </row>
    <row r="1815" spans="11:14">
      <c r="K1815" s="149"/>
      <c r="L1815" s="149"/>
      <c r="M1815" s="149"/>
      <c r="N1815" s="149"/>
    </row>
    <row r="1816" spans="11:14">
      <c r="K1816" s="149"/>
      <c r="L1816" s="149"/>
      <c r="M1816" s="149"/>
      <c r="N1816" s="149"/>
    </row>
    <row r="1817" spans="11:14">
      <c r="K1817" s="149"/>
      <c r="L1817" s="149"/>
      <c r="M1817" s="149"/>
      <c r="N1817" s="149"/>
    </row>
    <row r="1818" spans="11:14">
      <c r="K1818" s="149"/>
      <c r="L1818" s="149"/>
      <c r="M1818" s="149"/>
      <c r="N1818" s="149"/>
    </row>
    <row r="1819" spans="11:14">
      <c r="K1819" s="149"/>
      <c r="L1819" s="149"/>
      <c r="M1819" s="149"/>
      <c r="N1819" s="149"/>
    </row>
    <row r="1820" spans="11:14">
      <c r="K1820" s="149"/>
      <c r="L1820" s="149"/>
      <c r="M1820" s="149"/>
      <c r="N1820" s="149"/>
    </row>
    <row r="1821" spans="11:14">
      <c r="K1821" s="149"/>
      <c r="L1821" s="149"/>
      <c r="M1821" s="149"/>
      <c r="N1821" s="149"/>
    </row>
    <row r="1822" spans="11:14">
      <c r="K1822" s="149"/>
      <c r="L1822" s="149"/>
      <c r="M1822" s="149"/>
      <c r="N1822" s="149"/>
    </row>
    <row r="1823" spans="11:14">
      <c r="K1823" s="149"/>
      <c r="L1823" s="149"/>
      <c r="M1823" s="149"/>
      <c r="N1823" s="149"/>
    </row>
    <row r="1824" spans="11:14">
      <c r="K1824" s="149"/>
      <c r="L1824" s="149"/>
      <c r="M1824" s="149"/>
      <c r="N1824" s="149"/>
    </row>
    <row r="1825" spans="9:14">
      <c r="K1825" s="149"/>
      <c r="L1825" s="149"/>
      <c r="M1825" s="149"/>
      <c r="N1825" s="149"/>
    </row>
    <row r="1826" spans="9:14">
      <c r="K1826" s="149"/>
      <c r="L1826" s="149"/>
      <c r="M1826" s="149"/>
      <c r="N1826" s="149"/>
    </row>
    <row r="1827" spans="9:14">
      <c r="K1827" s="149"/>
      <c r="L1827" s="149"/>
      <c r="M1827" s="149"/>
      <c r="N1827" s="149"/>
    </row>
    <row r="1828" spans="9:14">
      <c r="K1828" s="149"/>
      <c r="L1828" s="149"/>
      <c r="M1828" s="149"/>
      <c r="N1828" s="149"/>
    </row>
    <row r="1829" spans="9:14">
      <c r="K1829" s="149"/>
      <c r="L1829" s="149"/>
      <c r="M1829" s="149"/>
      <c r="N1829" s="149"/>
    </row>
    <row r="1830" spans="9:14">
      <c r="K1830" s="149"/>
      <c r="L1830" s="149"/>
      <c r="M1830" s="149"/>
      <c r="N1830" s="149"/>
    </row>
    <row r="1831" spans="9:14">
      <c r="I1831" s="2"/>
      <c r="K1831" s="149"/>
      <c r="L1831" s="149"/>
      <c r="M1831" s="149"/>
      <c r="N1831" s="149"/>
    </row>
    <row r="1832" spans="9:14">
      <c r="K1832" s="149"/>
      <c r="L1832" s="149"/>
      <c r="M1832" s="149"/>
      <c r="N1832" s="149"/>
    </row>
    <row r="1833" spans="9:14">
      <c r="K1833" s="149"/>
      <c r="L1833" s="149"/>
      <c r="M1833" s="149"/>
      <c r="N1833" s="149"/>
    </row>
    <row r="1834" spans="9:14">
      <c r="K1834" s="149"/>
      <c r="L1834" s="149"/>
      <c r="M1834" s="149"/>
      <c r="N1834" s="149"/>
    </row>
    <row r="1835" spans="9:14">
      <c r="K1835" s="149"/>
      <c r="L1835" s="149"/>
      <c r="M1835" s="149"/>
      <c r="N1835" s="149"/>
    </row>
    <row r="1836" spans="9:14">
      <c r="K1836" s="149"/>
      <c r="L1836" s="149"/>
      <c r="M1836" s="149"/>
      <c r="N1836" s="149"/>
    </row>
    <row r="1837" spans="9:14">
      <c r="K1837" s="149"/>
      <c r="L1837" s="149"/>
      <c r="M1837" s="149"/>
      <c r="N1837" s="149"/>
    </row>
    <row r="1838" spans="9:14">
      <c r="K1838" s="149"/>
      <c r="L1838" s="149"/>
      <c r="M1838" s="149"/>
      <c r="N1838" s="149"/>
    </row>
    <row r="1839" spans="9:14">
      <c r="K1839" s="149"/>
      <c r="L1839" s="149"/>
      <c r="M1839" s="149"/>
      <c r="N1839" s="149"/>
    </row>
    <row r="1840" spans="9:14">
      <c r="K1840" s="149"/>
      <c r="L1840" s="149"/>
      <c r="M1840" s="149"/>
      <c r="N1840" s="149"/>
    </row>
    <row r="1841" spans="11:14">
      <c r="K1841" s="149"/>
      <c r="L1841" s="149"/>
      <c r="M1841" s="149"/>
      <c r="N1841" s="149"/>
    </row>
    <row r="1842" spans="11:14">
      <c r="K1842" s="149"/>
      <c r="L1842" s="149"/>
      <c r="M1842" s="149"/>
      <c r="N1842" s="149"/>
    </row>
    <row r="1843" spans="11:14">
      <c r="K1843" s="149"/>
      <c r="L1843" s="149"/>
      <c r="M1843" s="149"/>
      <c r="N1843" s="149"/>
    </row>
    <row r="1844" spans="11:14">
      <c r="K1844" s="149"/>
      <c r="L1844" s="149"/>
      <c r="M1844" s="149"/>
      <c r="N1844" s="149"/>
    </row>
    <row r="1845" spans="11:14">
      <c r="K1845" s="149"/>
      <c r="L1845" s="149"/>
      <c r="M1845" s="149"/>
      <c r="N1845" s="149"/>
    </row>
    <row r="1846" spans="11:14">
      <c r="K1846" s="149"/>
      <c r="L1846" s="149"/>
      <c r="M1846" s="149"/>
      <c r="N1846" s="149"/>
    </row>
    <row r="1847" spans="11:14">
      <c r="K1847" s="149"/>
      <c r="L1847" s="149"/>
      <c r="M1847" s="149"/>
      <c r="N1847" s="149"/>
    </row>
    <row r="1848" spans="11:14">
      <c r="K1848" s="149"/>
      <c r="L1848" s="149"/>
      <c r="M1848" s="149"/>
      <c r="N1848" s="149"/>
    </row>
    <row r="1849" spans="11:14">
      <c r="K1849" s="149"/>
      <c r="L1849" s="149"/>
      <c r="M1849" s="149"/>
      <c r="N1849" s="149"/>
    </row>
    <row r="1850" spans="11:14">
      <c r="K1850" s="149"/>
      <c r="L1850" s="149"/>
      <c r="M1850" s="149"/>
      <c r="N1850" s="149"/>
    </row>
    <row r="1851" spans="11:14">
      <c r="K1851" s="149"/>
      <c r="L1851" s="149"/>
      <c r="M1851" s="149"/>
      <c r="N1851" s="149"/>
    </row>
    <row r="1852" spans="11:14">
      <c r="K1852" s="149"/>
      <c r="L1852" s="149"/>
      <c r="M1852" s="149"/>
      <c r="N1852" s="149"/>
    </row>
    <row r="1853" spans="11:14">
      <c r="K1853" s="149"/>
      <c r="L1853" s="149"/>
      <c r="M1853" s="149"/>
      <c r="N1853" s="149"/>
    </row>
    <row r="1854" spans="11:14">
      <c r="K1854" s="149"/>
      <c r="L1854" s="149"/>
      <c r="M1854" s="149"/>
      <c r="N1854" s="149"/>
    </row>
    <row r="1855" spans="11:14">
      <c r="K1855" s="149"/>
      <c r="L1855" s="149"/>
      <c r="M1855" s="149"/>
      <c r="N1855" s="149"/>
    </row>
    <row r="1856" spans="11:14">
      <c r="K1856" s="149"/>
      <c r="L1856" s="149"/>
      <c r="M1856" s="149"/>
      <c r="N1856" s="149"/>
    </row>
    <row r="1857" spans="9:14">
      <c r="K1857" s="149"/>
      <c r="L1857" s="149"/>
      <c r="M1857" s="149"/>
      <c r="N1857" s="149"/>
    </row>
    <row r="1858" spans="9:14">
      <c r="K1858" s="149"/>
      <c r="L1858" s="149"/>
      <c r="M1858" s="149"/>
      <c r="N1858" s="149"/>
    </row>
    <row r="1859" spans="9:14">
      <c r="K1859" s="149"/>
      <c r="L1859" s="149"/>
      <c r="M1859" s="149"/>
      <c r="N1859" s="149"/>
    </row>
    <row r="1860" spans="9:14">
      <c r="K1860" s="149"/>
      <c r="L1860" s="149"/>
      <c r="M1860" s="149"/>
      <c r="N1860" s="149"/>
    </row>
    <row r="1861" spans="9:14">
      <c r="K1861" s="149"/>
      <c r="L1861" s="149"/>
      <c r="M1861" s="149"/>
      <c r="N1861" s="149"/>
    </row>
    <row r="1862" spans="9:14">
      <c r="K1862" s="149"/>
      <c r="L1862" s="149"/>
      <c r="M1862" s="149"/>
      <c r="N1862" s="149"/>
    </row>
    <row r="1863" spans="9:14">
      <c r="K1863" s="149"/>
      <c r="L1863" s="149"/>
      <c r="M1863" s="149"/>
      <c r="N1863" s="149"/>
    </row>
    <row r="1864" spans="9:14">
      <c r="I1864" s="2"/>
      <c r="K1864" s="149"/>
      <c r="L1864" s="149"/>
      <c r="M1864" s="149"/>
      <c r="N1864" s="149"/>
    </row>
    <row r="1865" spans="9:14">
      <c r="K1865" s="149"/>
      <c r="L1865" s="149"/>
      <c r="M1865" s="149"/>
      <c r="N1865" s="149"/>
    </row>
    <row r="1866" spans="9:14">
      <c r="K1866" s="149"/>
      <c r="L1866" s="149"/>
      <c r="M1866" s="149"/>
      <c r="N1866" s="149"/>
    </row>
    <row r="1867" spans="9:14">
      <c r="K1867" s="149"/>
      <c r="L1867" s="149"/>
      <c r="M1867" s="149"/>
      <c r="N1867" s="149"/>
    </row>
    <row r="1868" spans="9:14">
      <c r="I1868" s="2"/>
      <c r="K1868" s="149"/>
      <c r="L1868" s="149"/>
      <c r="M1868" s="149"/>
      <c r="N1868" s="149"/>
    </row>
    <row r="1869" spans="9:14">
      <c r="K1869" s="149"/>
      <c r="L1869" s="149"/>
      <c r="M1869" s="149"/>
      <c r="N1869" s="149"/>
    </row>
    <row r="1870" spans="9:14">
      <c r="K1870" s="149"/>
      <c r="L1870" s="149"/>
      <c r="M1870" s="149"/>
      <c r="N1870" s="149"/>
    </row>
    <row r="1871" spans="9:14">
      <c r="K1871" s="149"/>
      <c r="L1871" s="149"/>
      <c r="M1871" s="149"/>
      <c r="N1871" s="149"/>
    </row>
    <row r="1872" spans="9:14">
      <c r="K1872" s="149"/>
      <c r="L1872" s="149"/>
      <c r="M1872" s="149"/>
      <c r="N1872" s="149"/>
    </row>
    <row r="1873" spans="9:14">
      <c r="K1873" s="149"/>
      <c r="L1873" s="149"/>
      <c r="M1873" s="149"/>
      <c r="N1873" s="149"/>
    </row>
    <row r="1874" spans="9:14">
      <c r="I1874" s="2"/>
      <c r="K1874" s="149"/>
      <c r="L1874" s="149"/>
      <c r="M1874" s="149"/>
      <c r="N1874" s="149"/>
    </row>
    <row r="1875" spans="9:14">
      <c r="K1875" s="149"/>
      <c r="L1875" s="149"/>
      <c r="M1875" s="149"/>
      <c r="N1875" s="149"/>
    </row>
    <row r="1876" spans="9:14">
      <c r="K1876" s="149"/>
      <c r="L1876" s="149"/>
      <c r="M1876" s="149"/>
      <c r="N1876" s="149"/>
    </row>
    <row r="1877" spans="9:14">
      <c r="K1877" s="149"/>
      <c r="L1877" s="149"/>
      <c r="M1877" s="149"/>
      <c r="N1877" s="149"/>
    </row>
    <row r="1878" spans="9:14">
      <c r="K1878" s="149"/>
      <c r="L1878" s="149"/>
      <c r="M1878" s="149"/>
      <c r="N1878" s="149"/>
    </row>
    <row r="1879" spans="9:14">
      <c r="J1879" s="2"/>
      <c r="K1879" s="149"/>
      <c r="L1879" s="149"/>
      <c r="M1879" s="149"/>
      <c r="N1879" s="149"/>
    </row>
    <row r="1880" spans="9:14">
      <c r="K1880" s="149"/>
      <c r="L1880" s="149"/>
      <c r="M1880" s="149"/>
      <c r="N1880" s="149"/>
    </row>
    <row r="1881" spans="9:14">
      <c r="K1881" s="149"/>
      <c r="L1881" s="149"/>
      <c r="M1881" s="149"/>
      <c r="N1881" s="149"/>
    </row>
    <row r="1882" spans="9:14">
      <c r="K1882" s="149"/>
      <c r="L1882" s="149"/>
      <c r="M1882" s="149"/>
      <c r="N1882" s="149"/>
    </row>
    <row r="1883" spans="9:14">
      <c r="K1883" s="149"/>
      <c r="L1883" s="149"/>
      <c r="M1883" s="149"/>
      <c r="N1883" s="149"/>
    </row>
    <row r="1884" spans="9:14">
      <c r="K1884" s="149"/>
      <c r="L1884" s="149"/>
      <c r="M1884" s="149"/>
      <c r="N1884" s="149"/>
    </row>
    <row r="1885" spans="9:14">
      <c r="K1885" s="149"/>
      <c r="L1885" s="149"/>
      <c r="M1885" s="149"/>
      <c r="N1885" s="149"/>
    </row>
    <row r="1886" spans="9:14">
      <c r="K1886" s="149"/>
      <c r="L1886" s="149"/>
      <c r="M1886" s="149"/>
      <c r="N1886" s="149"/>
    </row>
    <row r="1887" spans="9:14">
      <c r="K1887" s="149"/>
      <c r="L1887" s="149"/>
      <c r="M1887" s="149"/>
      <c r="N1887" s="149"/>
    </row>
    <row r="1888" spans="9:14">
      <c r="K1888" s="149"/>
      <c r="L1888" s="149"/>
      <c r="M1888" s="149"/>
      <c r="N1888" s="149"/>
    </row>
    <row r="1889" spans="9:14">
      <c r="J1889" s="2"/>
      <c r="K1889" s="149"/>
      <c r="L1889" s="149"/>
      <c r="M1889" s="149"/>
      <c r="N1889" s="149"/>
    </row>
    <row r="1890" spans="9:14">
      <c r="K1890" s="149"/>
      <c r="L1890" s="149"/>
      <c r="M1890" s="149"/>
      <c r="N1890" s="149"/>
    </row>
    <row r="1891" spans="9:14">
      <c r="K1891" s="149"/>
      <c r="L1891" s="149"/>
      <c r="M1891" s="149"/>
      <c r="N1891" s="149"/>
    </row>
    <row r="1892" spans="9:14">
      <c r="J1892" s="2"/>
      <c r="K1892" s="149"/>
      <c r="L1892" s="149"/>
      <c r="M1892" s="149"/>
      <c r="N1892" s="149"/>
    </row>
    <row r="1893" spans="9:14">
      <c r="J1893" s="2"/>
      <c r="K1893" s="149"/>
      <c r="L1893" s="149"/>
      <c r="M1893" s="149"/>
      <c r="N1893" s="149"/>
    </row>
    <row r="1894" spans="9:14">
      <c r="J1894" s="2"/>
      <c r="K1894" s="149"/>
      <c r="L1894" s="149"/>
      <c r="M1894" s="149"/>
      <c r="N1894" s="149"/>
    </row>
    <row r="1895" spans="9:14">
      <c r="K1895" s="149"/>
      <c r="L1895" s="149"/>
      <c r="M1895" s="149"/>
      <c r="N1895" s="149"/>
    </row>
    <row r="1896" spans="9:14">
      <c r="K1896" s="149"/>
      <c r="L1896" s="149"/>
      <c r="M1896" s="149"/>
      <c r="N1896" s="149"/>
    </row>
    <row r="1897" spans="9:14">
      <c r="K1897" s="149"/>
      <c r="L1897" s="149"/>
      <c r="M1897" s="149"/>
      <c r="N1897" s="149"/>
    </row>
    <row r="1898" spans="9:14">
      <c r="K1898" s="149"/>
      <c r="L1898" s="149"/>
      <c r="M1898" s="149"/>
      <c r="N1898" s="149"/>
    </row>
    <row r="1899" spans="9:14">
      <c r="K1899" s="149"/>
      <c r="L1899" s="149"/>
      <c r="M1899" s="149"/>
      <c r="N1899" s="149"/>
    </row>
    <row r="1900" spans="9:14">
      <c r="K1900" s="149"/>
      <c r="L1900" s="149"/>
      <c r="M1900" s="149"/>
      <c r="N1900" s="149"/>
    </row>
    <row r="1901" spans="9:14">
      <c r="J1901" s="2"/>
      <c r="K1901" s="149"/>
      <c r="L1901" s="149"/>
      <c r="M1901" s="149"/>
      <c r="N1901" s="149"/>
    </row>
    <row r="1902" spans="9:14">
      <c r="K1902" s="149"/>
      <c r="L1902" s="149"/>
      <c r="M1902" s="149"/>
      <c r="N1902" s="149"/>
    </row>
    <row r="1903" spans="9:14">
      <c r="I1903" s="2"/>
      <c r="K1903" s="149"/>
      <c r="L1903" s="149"/>
      <c r="M1903" s="149"/>
      <c r="N1903" s="149"/>
    </row>
    <row r="1904" spans="9:14">
      <c r="K1904" s="149"/>
      <c r="L1904" s="149"/>
      <c r="M1904" s="149"/>
      <c r="N1904" s="149"/>
    </row>
    <row r="1905" spans="9:14">
      <c r="K1905" s="149"/>
      <c r="L1905" s="149"/>
      <c r="M1905" s="149"/>
      <c r="N1905" s="149"/>
    </row>
    <row r="1906" spans="9:14">
      <c r="K1906" s="149"/>
      <c r="L1906" s="149"/>
      <c r="M1906" s="149"/>
      <c r="N1906" s="149"/>
    </row>
    <row r="1907" spans="9:14">
      <c r="K1907" s="149"/>
      <c r="L1907" s="149"/>
      <c r="M1907" s="149"/>
      <c r="N1907" s="149"/>
    </row>
    <row r="1908" spans="9:14">
      <c r="I1908" s="2"/>
      <c r="K1908" s="149"/>
      <c r="L1908" s="149"/>
      <c r="M1908" s="149"/>
      <c r="N1908" s="149"/>
    </row>
    <row r="1909" spans="9:14">
      <c r="K1909" s="149"/>
      <c r="L1909" s="149"/>
      <c r="M1909" s="149"/>
      <c r="N1909" s="149"/>
    </row>
    <row r="1910" spans="9:14">
      <c r="K1910" s="149"/>
      <c r="L1910" s="149"/>
      <c r="M1910" s="149"/>
      <c r="N1910" s="149"/>
    </row>
    <row r="1911" spans="9:14">
      <c r="K1911" s="149"/>
      <c r="L1911" s="149"/>
      <c r="M1911" s="149"/>
      <c r="N1911" s="149"/>
    </row>
    <row r="1912" spans="9:14">
      <c r="K1912" s="149"/>
      <c r="L1912" s="149"/>
      <c r="M1912" s="149"/>
      <c r="N1912" s="149"/>
    </row>
    <row r="1913" spans="9:14">
      <c r="K1913" s="149"/>
      <c r="L1913" s="149"/>
      <c r="M1913" s="149"/>
      <c r="N1913" s="149"/>
    </row>
    <row r="1914" spans="9:14">
      <c r="K1914" s="149"/>
      <c r="L1914" s="149"/>
      <c r="M1914" s="149"/>
      <c r="N1914" s="149"/>
    </row>
    <row r="1915" spans="9:14">
      <c r="K1915" s="149"/>
      <c r="L1915" s="149"/>
      <c r="M1915" s="149"/>
      <c r="N1915" s="149"/>
    </row>
    <row r="1916" spans="9:14">
      <c r="K1916" s="149"/>
      <c r="L1916" s="149"/>
      <c r="M1916" s="149"/>
      <c r="N1916" s="149"/>
    </row>
    <row r="1917" spans="9:14">
      <c r="K1917" s="149"/>
      <c r="L1917" s="149"/>
      <c r="M1917" s="149"/>
      <c r="N1917" s="149"/>
    </row>
    <row r="1918" spans="9:14">
      <c r="I1918" s="2"/>
      <c r="K1918" s="149"/>
      <c r="L1918" s="149"/>
      <c r="M1918" s="149"/>
      <c r="N1918" s="149"/>
    </row>
    <row r="1919" spans="9:14">
      <c r="I1919" s="2"/>
      <c r="K1919" s="149"/>
      <c r="L1919" s="149"/>
      <c r="M1919" s="149"/>
      <c r="N1919" s="149"/>
    </row>
    <row r="1920" spans="9:14">
      <c r="K1920" s="149"/>
      <c r="L1920" s="149"/>
      <c r="M1920" s="149"/>
      <c r="N1920" s="149"/>
    </row>
    <row r="1921" spans="8:14">
      <c r="I1921" s="2"/>
      <c r="K1921" s="149"/>
      <c r="L1921" s="149"/>
      <c r="M1921" s="149"/>
      <c r="N1921" s="149"/>
    </row>
    <row r="1922" spans="8:14">
      <c r="K1922" s="149"/>
      <c r="L1922" s="149"/>
      <c r="M1922" s="149"/>
      <c r="N1922" s="149"/>
    </row>
    <row r="1923" spans="8:14">
      <c r="K1923" s="149"/>
      <c r="L1923" s="149"/>
      <c r="M1923" s="149"/>
      <c r="N1923" s="149"/>
    </row>
    <row r="1924" spans="8:14">
      <c r="K1924" s="149"/>
      <c r="L1924" s="149"/>
      <c r="M1924" s="149"/>
      <c r="N1924" s="149"/>
    </row>
    <row r="1925" spans="8:14">
      <c r="K1925" s="149"/>
      <c r="L1925" s="149"/>
      <c r="M1925" s="149"/>
      <c r="N1925" s="149"/>
    </row>
    <row r="1926" spans="8:14">
      <c r="K1926" s="149"/>
      <c r="L1926" s="149"/>
      <c r="M1926" s="149"/>
      <c r="N1926" s="149"/>
    </row>
    <row r="1927" spans="8:14">
      <c r="H1927" s="2"/>
      <c r="I1927" s="2"/>
      <c r="K1927" s="149"/>
      <c r="L1927" s="149"/>
      <c r="M1927" s="149"/>
      <c r="N1927" s="149"/>
    </row>
    <row r="1928" spans="8:14">
      <c r="H1928" s="2"/>
      <c r="K1928" s="149"/>
      <c r="L1928" s="149"/>
      <c r="M1928" s="149"/>
      <c r="N1928" s="149"/>
    </row>
    <row r="1929" spans="8:14">
      <c r="H1929" s="2"/>
      <c r="J1929" s="2"/>
      <c r="K1929" s="149"/>
      <c r="L1929" s="149"/>
      <c r="M1929" s="149"/>
      <c r="N1929" s="149"/>
    </row>
    <row r="1930" spans="8:14">
      <c r="H1930" s="2"/>
      <c r="I1930" s="2"/>
      <c r="K1930" s="149"/>
      <c r="L1930" s="149"/>
      <c r="M1930" s="149"/>
      <c r="N1930" s="149"/>
    </row>
    <row r="1931" spans="8:14">
      <c r="H1931" s="2"/>
      <c r="I1931" s="2"/>
      <c r="K1931" s="149"/>
      <c r="L1931" s="149"/>
      <c r="M1931" s="149"/>
      <c r="N1931" s="149"/>
    </row>
    <row r="1932" spans="8:14">
      <c r="H1932" s="2"/>
      <c r="I1932" s="2"/>
      <c r="K1932" s="149"/>
      <c r="L1932" s="149"/>
      <c r="M1932" s="149"/>
      <c r="N1932" s="149"/>
    </row>
    <row r="1933" spans="8:14">
      <c r="K1933" s="149"/>
      <c r="L1933" s="149"/>
      <c r="M1933" s="149"/>
      <c r="N1933" s="149"/>
    </row>
    <row r="1934" spans="8:14">
      <c r="I1934" s="2"/>
      <c r="K1934" s="149"/>
      <c r="L1934" s="149"/>
      <c r="M1934" s="149"/>
      <c r="N1934" s="149"/>
    </row>
    <row r="1935" spans="8:14">
      <c r="I1935" s="2"/>
      <c r="K1935" s="149"/>
      <c r="L1935" s="149"/>
      <c r="M1935" s="149"/>
      <c r="N1935" s="149"/>
    </row>
    <row r="1936" spans="8:14">
      <c r="I1936" s="2"/>
      <c r="K1936" s="149"/>
      <c r="L1936" s="149"/>
      <c r="M1936" s="149"/>
      <c r="N1936" s="149"/>
    </row>
    <row r="1937" spans="8:14">
      <c r="I1937" s="2"/>
      <c r="K1937" s="149"/>
      <c r="L1937" s="149"/>
      <c r="M1937" s="149"/>
      <c r="N1937" s="149"/>
    </row>
    <row r="1938" spans="8:14">
      <c r="I1938" s="2"/>
      <c r="K1938" s="149"/>
      <c r="L1938" s="149"/>
      <c r="M1938" s="149"/>
      <c r="N1938" s="149"/>
    </row>
    <row r="1939" spans="8:14">
      <c r="I1939" s="2"/>
      <c r="K1939" s="149"/>
      <c r="L1939" s="149"/>
      <c r="M1939" s="149"/>
      <c r="N1939" s="149"/>
    </row>
    <row r="1940" spans="8:14">
      <c r="I1940" s="2"/>
      <c r="K1940" s="149"/>
      <c r="L1940" s="149"/>
      <c r="M1940" s="149"/>
      <c r="N1940" s="149"/>
    </row>
    <row r="1941" spans="8:14">
      <c r="K1941" s="149"/>
      <c r="L1941" s="149"/>
      <c r="M1941" s="149"/>
      <c r="N1941" s="149"/>
    </row>
    <row r="1942" spans="8:14">
      <c r="K1942" s="149"/>
      <c r="L1942" s="149"/>
      <c r="M1942" s="149"/>
      <c r="N1942" s="149"/>
    </row>
    <row r="1943" spans="8:14">
      <c r="K1943" s="149"/>
      <c r="L1943" s="149"/>
      <c r="M1943" s="149"/>
      <c r="N1943" s="149"/>
    </row>
    <row r="1944" spans="8:14">
      <c r="K1944" s="149"/>
      <c r="L1944" s="149"/>
      <c r="M1944" s="149"/>
      <c r="N1944" s="149"/>
    </row>
    <row r="1945" spans="8:14">
      <c r="K1945" s="149"/>
      <c r="L1945" s="149"/>
      <c r="M1945" s="149"/>
      <c r="N1945" s="149"/>
    </row>
    <row r="1946" spans="8:14">
      <c r="I1946" s="2"/>
      <c r="K1946" s="149"/>
      <c r="L1946" s="149"/>
      <c r="M1946" s="149"/>
      <c r="N1946" s="149"/>
    </row>
    <row r="1947" spans="8:14">
      <c r="I1947" s="2"/>
      <c r="K1947" s="149"/>
      <c r="L1947" s="149"/>
      <c r="M1947" s="149"/>
      <c r="N1947" s="149"/>
    </row>
    <row r="1948" spans="8:14">
      <c r="K1948" s="149"/>
      <c r="L1948" s="149"/>
      <c r="M1948" s="149"/>
      <c r="N1948" s="149"/>
    </row>
    <row r="1949" spans="8:14">
      <c r="K1949" s="149"/>
      <c r="L1949" s="149"/>
      <c r="M1949" s="149"/>
      <c r="N1949" s="149"/>
    </row>
    <row r="1950" spans="8:14">
      <c r="H1950" s="2"/>
      <c r="I1950" s="2"/>
      <c r="K1950" s="149"/>
      <c r="L1950" s="149"/>
      <c r="M1950" s="149"/>
      <c r="N1950" s="149"/>
    </row>
    <row r="1951" spans="8:14">
      <c r="H1951" s="2"/>
      <c r="I1951" s="2"/>
      <c r="K1951" s="149"/>
      <c r="L1951" s="149"/>
      <c r="M1951" s="149"/>
      <c r="N1951" s="149"/>
    </row>
    <row r="1952" spans="8:14">
      <c r="H1952" s="2"/>
      <c r="I1952" s="2"/>
      <c r="K1952" s="149"/>
      <c r="L1952" s="149"/>
      <c r="M1952" s="149"/>
      <c r="N1952" s="149"/>
    </row>
    <row r="1953" spans="8:14">
      <c r="H1953" s="2"/>
      <c r="I1953" s="2"/>
      <c r="K1953" s="149"/>
      <c r="L1953" s="149"/>
      <c r="M1953" s="149"/>
      <c r="N1953" s="149"/>
    </row>
    <row r="1954" spans="8:14">
      <c r="H1954" s="2"/>
      <c r="I1954" s="2"/>
      <c r="K1954" s="149"/>
      <c r="L1954" s="149"/>
      <c r="M1954" s="149"/>
      <c r="N1954" s="149"/>
    </row>
    <row r="1955" spans="8:14">
      <c r="H1955" s="2"/>
      <c r="I1955" s="2"/>
      <c r="K1955" s="149"/>
      <c r="L1955" s="149"/>
      <c r="M1955" s="149"/>
      <c r="N1955" s="149"/>
    </row>
    <row r="1956" spans="8:14">
      <c r="H1956" s="2"/>
      <c r="I1956" s="2"/>
      <c r="K1956" s="149"/>
      <c r="L1956" s="149"/>
      <c r="M1956" s="149"/>
      <c r="N1956" s="149"/>
    </row>
    <row r="1957" spans="8:14">
      <c r="H1957" s="2"/>
      <c r="K1957" s="149"/>
      <c r="L1957" s="149"/>
      <c r="M1957" s="149"/>
      <c r="N1957" s="149"/>
    </row>
    <row r="1958" spans="8:14">
      <c r="H1958" s="2"/>
      <c r="I1958" s="2"/>
      <c r="K1958" s="149"/>
      <c r="L1958" s="149"/>
      <c r="M1958" s="149"/>
      <c r="N1958" s="149"/>
    </row>
    <row r="1959" spans="8:14">
      <c r="H1959" s="2"/>
      <c r="I1959" s="2"/>
      <c r="J1959" s="2"/>
      <c r="K1959" s="149"/>
      <c r="L1959" s="149"/>
      <c r="M1959" s="149"/>
      <c r="N1959" s="149"/>
    </row>
    <row r="1960" spans="8:14">
      <c r="H1960" s="2"/>
      <c r="I1960" s="2"/>
      <c r="K1960" s="149"/>
      <c r="L1960" s="149"/>
      <c r="M1960" s="149"/>
      <c r="N1960" s="149"/>
    </row>
    <row r="1961" spans="8:14">
      <c r="H1961" s="2"/>
      <c r="I1961" s="2"/>
      <c r="K1961" s="149"/>
      <c r="L1961" s="149"/>
      <c r="M1961" s="149"/>
      <c r="N1961" s="149"/>
    </row>
    <row r="1962" spans="8:14">
      <c r="H1962" s="2"/>
      <c r="I1962" s="2"/>
      <c r="K1962" s="149"/>
      <c r="L1962" s="149"/>
      <c r="M1962" s="149"/>
      <c r="N1962" s="149"/>
    </row>
    <row r="1963" spans="8:14">
      <c r="H1963" s="2"/>
      <c r="I1963" s="2"/>
      <c r="K1963" s="149"/>
      <c r="L1963" s="149"/>
      <c r="M1963" s="149"/>
      <c r="N1963" s="149"/>
    </row>
    <row r="1964" spans="8:14">
      <c r="H1964" s="2"/>
      <c r="I1964" s="2"/>
      <c r="K1964" s="149"/>
      <c r="L1964" s="149"/>
      <c r="M1964" s="149"/>
      <c r="N1964" s="149"/>
    </row>
    <row r="1965" spans="8:14">
      <c r="H1965" s="2"/>
      <c r="I1965" s="2"/>
      <c r="K1965" s="149"/>
      <c r="L1965" s="149"/>
      <c r="M1965" s="149"/>
      <c r="N1965" s="149"/>
    </row>
    <row r="1966" spans="8:14">
      <c r="H1966" s="2"/>
      <c r="I1966" s="2"/>
      <c r="K1966" s="149"/>
      <c r="L1966" s="149"/>
      <c r="M1966" s="149"/>
      <c r="N1966" s="149"/>
    </row>
    <row r="1967" spans="8:14">
      <c r="H1967" s="2"/>
      <c r="K1967" s="149"/>
      <c r="L1967" s="149"/>
      <c r="M1967" s="149"/>
      <c r="N1967" s="149"/>
    </row>
    <row r="1968" spans="8:14">
      <c r="H1968" s="2"/>
      <c r="K1968" s="149"/>
      <c r="L1968" s="149"/>
      <c r="M1968" s="149"/>
      <c r="N1968" s="149"/>
    </row>
    <row r="1969" spans="8:14">
      <c r="H1969" s="2"/>
      <c r="K1969" s="149"/>
      <c r="L1969" s="149"/>
      <c r="M1969" s="149"/>
      <c r="N1969" s="149"/>
    </row>
    <row r="1970" spans="8:14">
      <c r="H1970" s="2"/>
      <c r="I1970" s="2"/>
      <c r="K1970" s="149"/>
      <c r="L1970" s="149"/>
      <c r="M1970" s="149"/>
      <c r="N1970" s="149"/>
    </row>
    <row r="1971" spans="8:14">
      <c r="H1971" s="2"/>
      <c r="K1971" s="149"/>
      <c r="L1971" s="149"/>
      <c r="M1971" s="149"/>
      <c r="N1971" s="149"/>
    </row>
    <row r="1972" spans="8:14">
      <c r="H1972" s="2"/>
      <c r="I1972" s="2"/>
      <c r="K1972" s="149"/>
      <c r="L1972" s="149"/>
      <c r="M1972" s="149"/>
      <c r="N1972" s="149"/>
    </row>
    <row r="1973" spans="8:14">
      <c r="H1973" s="2"/>
      <c r="I1973" s="2"/>
      <c r="K1973" s="149"/>
      <c r="L1973" s="149"/>
      <c r="M1973" s="149"/>
      <c r="N1973" s="149"/>
    </row>
    <row r="1974" spans="8:14">
      <c r="H1974" s="2"/>
      <c r="K1974" s="149"/>
      <c r="L1974" s="149"/>
      <c r="M1974" s="149"/>
      <c r="N1974" s="149"/>
    </row>
    <row r="1975" spans="8:14">
      <c r="H1975" s="2"/>
      <c r="K1975" s="149"/>
      <c r="L1975" s="149"/>
      <c r="M1975" s="149"/>
      <c r="N1975" s="149"/>
    </row>
    <row r="1976" spans="8:14">
      <c r="H1976" s="2"/>
      <c r="K1976" s="149"/>
      <c r="L1976" s="149"/>
      <c r="M1976" s="149"/>
      <c r="N1976" s="149"/>
    </row>
    <row r="1977" spans="8:14">
      <c r="H1977" s="2"/>
      <c r="K1977" s="149"/>
      <c r="L1977" s="149"/>
      <c r="M1977" s="149"/>
      <c r="N1977" s="149"/>
    </row>
    <row r="1978" spans="8:14">
      <c r="H1978" s="2"/>
      <c r="I1978" s="2"/>
      <c r="K1978" s="149"/>
      <c r="L1978" s="149"/>
      <c r="M1978" s="149"/>
      <c r="N1978" s="149"/>
    </row>
    <row r="1979" spans="8:14">
      <c r="H1979" s="2"/>
      <c r="K1979" s="149"/>
      <c r="L1979" s="149"/>
      <c r="M1979" s="149"/>
      <c r="N1979" s="149"/>
    </row>
    <row r="1980" spans="8:14">
      <c r="H1980" s="2"/>
      <c r="I1980" s="2"/>
      <c r="K1980" s="149"/>
      <c r="L1980" s="149"/>
      <c r="M1980" s="149"/>
      <c r="N1980" s="149"/>
    </row>
    <row r="1981" spans="8:14">
      <c r="H1981" s="2"/>
      <c r="K1981" s="149"/>
      <c r="L1981" s="149"/>
      <c r="M1981" s="149"/>
      <c r="N1981" s="149"/>
    </row>
    <row r="1982" spans="8:14">
      <c r="H1982" s="2"/>
      <c r="I1982" s="2"/>
      <c r="K1982" s="149"/>
      <c r="L1982" s="149"/>
      <c r="M1982" s="149"/>
      <c r="N1982" s="149"/>
    </row>
    <row r="1983" spans="8:14">
      <c r="H1983" s="2"/>
      <c r="J1983" s="2"/>
      <c r="K1983" s="149"/>
      <c r="L1983" s="149"/>
      <c r="M1983" s="149"/>
      <c r="N1983" s="149"/>
    </row>
    <row r="1984" spans="8:14">
      <c r="H1984" s="2"/>
      <c r="J1984" s="2"/>
      <c r="K1984" s="149"/>
      <c r="L1984" s="149"/>
      <c r="M1984" s="149"/>
      <c r="N1984" s="149"/>
    </row>
    <row r="1985" spans="8:14">
      <c r="H1985" s="2"/>
      <c r="I1985" s="2"/>
      <c r="J1985" s="2"/>
      <c r="K1985" s="149"/>
      <c r="L1985" s="149"/>
      <c r="M1985" s="149"/>
      <c r="N1985" s="149"/>
    </row>
    <row r="1986" spans="8:14">
      <c r="H1986" s="2"/>
      <c r="J1986" s="2"/>
      <c r="K1986" s="149"/>
      <c r="L1986" s="149"/>
      <c r="M1986" s="149"/>
      <c r="N1986" s="149"/>
    </row>
    <row r="1987" spans="8:14">
      <c r="H1987" s="2"/>
      <c r="K1987" s="149"/>
      <c r="L1987" s="149"/>
      <c r="M1987" s="149"/>
      <c r="N1987" s="149"/>
    </row>
    <row r="1988" spans="8:14">
      <c r="H1988" s="2"/>
      <c r="K1988" s="149"/>
      <c r="L1988" s="149"/>
      <c r="M1988" s="149"/>
      <c r="N1988" s="149"/>
    </row>
    <row r="1989" spans="8:14">
      <c r="H1989" s="2"/>
      <c r="K1989" s="149"/>
      <c r="L1989" s="149"/>
      <c r="M1989" s="149"/>
      <c r="N1989" s="149"/>
    </row>
    <row r="1990" spans="8:14">
      <c r="H1990" s="2"/>
      <c r="J1990" s="2"/>
      <c r="K1990" s="149"/>
      <c r="L1990" s="149"/>
      <c r="M1990" s="149"/>
      <c r="N1990" s="149"/>
    </row>
    <row r="1991" spans="8:14">
      <c r="H1991" s="2"/>
      <c r="K1991" s="149"/>
      <c r="L1991" s="149"/>
      <c r="M1991" s="149"/>
      <c r="N1991" s="149"/>
    </row>
    <row r="1992" spans="8:14">
      <c r="H1992" s="2"/>
      <c r="J1992" s="2"/>
      <c r="K1992" s="149"/>
      <c r="L1992" s="149"/>
      <c r="M1992" s="149"/>
      <c r="N1992" s="149"/>
    </row>
    <row r="1993" spans="8:14">
      <c r="H1993" s="2"/>
      <c r="K1993" s="149"/>
      <c r="L1993" s="149"/>
      <c r="M1993" s="149"/>
      <c r="N1993" s="149"/>
    </row>
    <row r="1994" spans="8:14">
      <c r="H1994" s="2"/>
      <c r="K1994" s="149"/>
      <c r="L1994" s="149"/>
      <c r="M1994" s="149"/>
      <c r="N1994" s="149"/>
    </row>
    <row r="1995" spans="8:14">
      <c r="H1995" s="2"/>
      <c r="I1995" s="2"/>
      <c r="J1995" s="2"/>
      <c r="K1995" s="149"/>
      <c r="L1995" s="149"/>
      <c r="M1995" s="149"/>
      <c r="N1995" s="149"/>
    </row>
    <row r="1996" spans="8:14">
      <c r="H1996" s="2"/>
      <c r="I1996" s="2"/>
      <c r="K1996" s="149"/>
      <c r="L1996" s="149"/>
      <c r="M1996" s="149"/>
      <c r="N1996" s="149"/>
    </row>
    <row r="1997" spans="8:14">
      <c r="H1997" s="2"/>
      <c r="I1997" s="2"/>
      <c r="K1997" s="149"/>
      <c r="L1997" s="149"/>
      <c r="M1997" s="149"/>
      <c r="N1997" s="149"/>
    </row>
    <row r="1998" spans="8:14">
      <c r="H1998" s="2"/>
      <c r="K1998" s="149"/>
      <c r="L1998" s="149"/>
      <c r="M1998" s="149"/>
      <c r="N1998" s="149"/>
    </row>
    <row r="1999" spans="8:14">
      <c r="H1999" s="2"/>
      <c r="K1999" s="149"/>
      <c r="L1999" s="149"/>
      <c r="M1999" s="149"/>
      <c r="N1999" s="149"/>
    </row>
    <row r="2000" spans="8:14">
      <c r="H2000" s="2"/>
      <c r="I2000" s="2"/>
      <c r="K2000" s="149"/>
      <c r="L2000" s="149"/>
      <c r="M2000" s="149"/>
      <c r="N2000" s="149"/>
    </row>
    <row r="2001" spans="8:14">
      <c r="H2001" s="2"/>
      <c r="I2001" s="2"/>
      <c r="J2001" s="2"/>
      <c r="K2001" s="149"/>
      <c r="L2001" s="149"/>
      <c r="M2001" s="149"/>
      <c r="N2001" s="149"/>
    </row>
    <row r="2002" spans="8:14">
      <c r="H2002" s="2"/>
      <c r="I2002" s="2"/>
      <c r="J2002" s="2"/>
      <c r="K2002" s="149"/>
      <c r="L2002" s="149"/>
      <c r="M2002" s="149"/>
      <c r="N2002" s="149"/>
    </row>
    <row r="2003" spans="8:14">
      <c r="H2003" s="2"/>
      <c r="I2003" s="2"/>
      <c r="J2003" s="2"/>
      <c r="K2003" s="149"/>
      <c r="L2003" s="149"/>
      <c r="M2003" s="149"/>
      <c r="N2003" s="149"/>
    </row>
    <row r="2004" spans="8:14">
      <c r="H2004" s="2"/>
      <c r="K2004" s="149"/>
      <c r="L2004" s="149"/>
      <c r="M2004" s="149"/>
      <c r="N2004" s="149"/>
    </row>
    <row r="2005" spans="8:14">
      <c r="H2005" s="2"/>
      <c r="K2005" s="149"/>
      <c r="L2005" s="149"/>
      <c r="M2005" s="149"/>
      <c r="N2005" s="149"/>
    </row>
    <row r="2006" spans="8:14">
      <c r="H2006" s="2"/>
      <c r="K2006" s="149"/>
      <c r="L2006" s="149"/>
      <c r="M2006" s="149"/>
      <c r="N2006" s="149"/>
    </row>
    <row r="2007" spans="8:14">
      <c r="H2007" s="2"/>
      <c r="K2007" s="149"/>
      <c r="L2007" s="149"/>
      <c r="M2007" s="149"/>
      <c r="N2007" s="149"/>
    </row>
    <row r="2008" spans="8:14">
      <c r="H2008" s="2"/>
      <c r="K2008" s="149"/>
      <c r="L2008" s="149"/>
      <c r="M2008" s="149"/>
      <c r="N2008" s="149"/>
    </row>
    <row r="2009" spans="8:14">
      <c r="H2009" s="2"/>
      <c r="K2009" s="149"/>
      <c r="L2009" s="149"/>
      <c r="M2009" s="149"/>
      <c r="N2009" s="149"/>
    </row>
    <row r="2010" spans="8:14">
      <c r="H2010" s="2"/>
      <c r="K2010" s="149"/>
      <c r="L2010" s="149"/>
      <c r="M2010" s="149"/>
      <c r="N2010" s="149"/>
    </row>
    <row r="2011" spans="8:14">
      <c r="H2011" s="2"/>
      <c r="K2011" s="149"/>
      <c r="L2011" s="149"/>
      <c r="M2011" s="149"/>
      <c r="N2011" s="149"/>
    </row>
    <row r="2012" spans="8:14">
      <c r="H2012" s="2"/>
      <c r="K2012" s="149"/>
      <c r="L2012" s="149"/>
      <c r="M2012" s="149"/>
      <c r="N2012" s="149"/>
    </row>
    <row r="2013" spans="8:14">
      <c r="H2013" s="2"/>
      <c r="K2013" s="149"/>
      <c r="L2013" s="149"/>
      <c r="M2013" s="149"/>
      <c r="N2013" s="149"/>
    </row>
    <row r="2014" spans="8:14">
      <c r="H2014" s="2"/>
      <c r="K2014" s="149"/>
      <c r="L2014" s="149"/>
      <c r="M2014" s="149"/>
      <c r="N2014" s="149"/>
    </row>
    <row r="2015" spans="8:14">
      <c r="H2015" s="2"/>
      <c r="I2015" s="2"/>
      <c r="K2015" s="149"/>
      <c r="L2015" s="149"/>
      <c r="M2015" s="149"/>
      <c r="N2015" s="149"/>
    </row>
    <row r="2016" spans="8:14">
      <c r="H2016" s="2"/>
      <c r="I2016" s="2"/>
      <c r="K2016" s="149"/>
      <c r="L2016" s="149"/>
      <c r="M2016" s="149"/>
      <c r="N2016" s="149"/>
    </row>
    <row r="2017" spans="8:14">
      <c r="H2017" s="2"/>
      <c r="I2017" s="2"/>
      <c r="K2017" s="149"/>
      <c r="L2017" s="149"/>
      <c r="M2017" s="149"/>
      <c r="N2017" s="149"/>
    </row>
    <row r="2018" spans="8:14">
      <c r="H2018" s="2"/>
      <c r="K2018" s="149"/>
      <c r="L2018" s="149"/>
      <c r="M2018" s="149"/>
      <c r="N2018" s="149"/>
    </row>
    <row r="2019" spans="8:14">
      <c r="H2019" s="2"/>
      <c r="K2019" s="149"/>
      <c r="L2019" s="149"/>
      <c r="M2019" s="149"/>
      <c r="N2019" s="149"/>
    </row>
    <row r="2020" spans="8:14">
      <c r="H2020" s="2"/>
      <c r="I2020" s="2"/>
      <c r="K2020" s="149"/>
      <c r="L2020" s="149"/>
      <c r="M2020" s="149"/>
      <c r="N2020" s="149"/>
    </row>
    <row r="2021" spans="8:14">
      <c r="H2021" s="2"/>
      <c r="K2021" s="149"/>
      <c r="L2021" s="149"/>
      <c r="M2021" s="149"/>
      <c r="N2021" s="149"/>
    </row>
    <row r="2022" spans="8:14">
      <c r="H2022" s="2"/>
      <c r="K2022" s="149"/>
      <c r="L2022" s="149"/>
      <c r="M2022" s="149"/>
      <c r="N2022" s="149"/>
    </row>
    <row r="2023" spans="8:14">
      <c r="H2023" s="2"/>
      <c r="I2023" s="2"/>
      <c r="K2023" s="149"/>
      <c r="L2023" s="149"/>
      <c r="M2023" s="149"/>
      <c r="N2023" s="149"/>
    </row>
    <row r="2024" spans="8:14">
      <c r="H2024" s="2"/>
      <c r="K2024" s="149"/>
      <c r="L2024" s="149"/>
      <c r="M2024" s="149"/>
      <c r="N2024" s="149"/>
    </row>
    <row r="2025" spans="8:14">
      <c r="H2025" s="2"/>
      <c r="J2025" s="2"/>
      <c r="K2025" s="149"/>
      <c r="L2025" s="149"/>
      <c r="M2025" s="149"/>
      <c r="N2025" s="149"/>
    </row>
    <row r="2026" spans="8:14">
      <c r="H2026" s="2"/>
      <c r="I2026" s="2"/>
      <c r="K2026" s="149"/>
      <c r="L2026" s="149"/>
      <c r="M2026" s="149"/>
      <c r="N2026" s="149"/>
    </row>
    <row r="2027" spans="8:14">
      <c r="H2027" s="2"/>
      <c r="I2027" s="2"/>
      <c r="K2027" s="149"/>
      <c r="L2027" s="149"/>
      <c r="M2027" s="149"/>
      <c r="N2027" s="149"/>
    </row>
    <row r="2028" spans="8:14">
      <c r="H2028" s="2"/>
      <c r="I2028" s="2"/>
      <c r="K2028" s="149"/>
      <c r="L2028" s="149"/>
      <c r="M2028" s="149"/>
      <c r="N2028" s="149"/>
    </row>
    <row r="2029" spans="8:14">
      <c r="H2029" s="2"/>
      <c r="K2029" s="149"/>
      <c r="L2029" s="149"/>
      <c r="M2029" s="149"/>
      <c r="N2029" s="149"/>
    </row>
    <row r="2030" spans="8:14">
      <c r="H2030" s="2"/>
      <c r="K2030" s="149"/>
      <c r="L2030" s="149"/>
      <c r="M2030" s="149"/>
      <c r="N2030" s="149"/>
    </row>
    <row r="2031" spans="8:14">
      <c r="H2031" s="2"/>
      <c r="K2031" s="149"/>
      <c r="L2031" s="149"/>
      <c r="M2031" s="149"/>
      <c r="N2031" s="149"/>
    </row>
    <row r="2032" spans="8:14">
      <c r="H2032" s="2"/>
      <c r="I2032" s="2"/>
      <c r="K2032" s="149"/>
      <c r="L2032" s="149"/>
      <c r="M2032" s="149"/>
      <c r="N2032" s="149"/>
    </row>
    <row r="2033" spans="8:14">
      <c r="H2033" s="2"/>
      <c r="I2033" s="2"/>
      <c r="K2033" s="149"/>
      <c r="L2033" s="149"/>
      <c r="M2033" s="149"/>
      <c r="N2033" s="149"/>
    </row>
    <row r="2034" spans="8:14">
      <c r="H2034" s="2"/>
      <c r="I2034" s="2"/>
      <c r="K2034" s="149"/>
      <c r="L2034" s="149"/>
      <c r="M2034" s="149"/>
      <c r="N2034" s="149"/>
    </row>
    <row r="2035" spans="8:14">
      <c r="H2035" s="2"/>
      <c r="I2035" s="2"/>
      <c r="K2035" s="149"/>
      <c r="L2035" s="149"/>
      <c r="M2035" s="149"/>
      <c r="N2035" s="149"/>
    </row>
    <row r="2036" spans="8:14">
      <c r="H2036" s="2"/>
      <c r="I2036" s="2"/>
      <c r="K2036" s="149"/>
      <c r="L2036" s="149"/>
      <c r="M2036" s="149"/>
      <c r="N2036" s="149"/>
    </row>
    <row r="2037" spans="8:14">
      <c r="H2037" s="2"/>
      <c r="I2037" s="2"/>
      <c r="K2037" s="149"/>
      <c r="L2037" s="149"/>
      <c r="M2037" s="149"/>
      <c r="N2037" s="149"/>
    </row>
    <row r="2038" spans="8:14">
      <c r="H2038" s="2"/>
      <c r="I2038" s="2"/>
      <c r="K2038" s="149"/>
      <c r="L2038" s="149"/>
      <c r="M2038" s="149"/>
      <c r="N2038" s="149"/>
    </row>
    <row r="2039" spans="8:14">
      <c r="K2039" s="149"/>
      <c r="L2039" s="149"/>
      <c r="M2039" s="149"/>
      <c r="N2039" s="149"/>
    </row>
    <row r="2040" spans="8:14">
      <c r="K2040" s="149"/>
      <c r="L2040" s="149"/>
      <c r="M2040" s="149"/>
      <c r="N2040" s="149"/>
    </row>
    <row r="2041" spans="8:14">
      <c r="K2041" s="149"/>
      <c r="L2041" s="149"/>
      <c r="M2041" s="149"/>
      <c r="N2041" s="149"/>
    </row>
    <row r="2042" spans="8:14">
      <c r="K2042" s="149"/>
      <c r="L2042" s="149"/>
      <c r="M2042" s="149"/>
      <c r="N2042" s="149"/>
    </row>
    <row r="2043" spans="8:14">
      <c r="I2043" s="2"/>
      <c r="K2043" s="149"/>
      <c r="L2043" s="149"/>
      <c r="M2043" s="149"/>
      <c r="N2043" s="149"/>
    </row>
    <row r="2044" spans="8:14">
      <c r="K2044" s="149"/>
      <c r="L2044" s="149"/>
      <c r="M2044" s="149"/>
      <c r="N2044" s="149"/>
    </row>
    <row r="2045" spans="8:14">
      <c r="K2045" s="149"/>
      <c r="L2045" s="149"/>
      <c r="M2045" s="149"/>
      <c r="N2045" s="149"/>
    </row>
    <row r="2046" spans="8:14">
      <c r="K2046" s="149"/>
      <c r="L2046" s="149"/>
      <c r="M2046" s="149"/>
      <c r="N2046" s="149"/>
    </row>
    <row r="2047" spans="8:14">
      <c r="K2047" s="149"/>
      <c r="L2047" s="149"/>
      <c r="M2047" s="149"/>
      <c r="N2047" s="149"/>
    </row>
    <row r="2048" spans="8:14">
      <c r="K2048" s="149"/>
      <c r="L2048" s="149"/>
      <c r="M2048" s="149"/>
      <c r="N2048" s="149"/>
    </row>
    <row r="2049" spans="11:14">
      <c r="K2049" s="149"/>
      <c r="L2049" s="149"/>
      <c r="M2049" s="149"/>
      <c r="N2049" s="149"/>
    </row>
    <row r="2050" spans="11:14">
      <c r="K2050" s="149"/>
      <c r="L2050" s="149"/>
      <c r="M2050" s="149"/>
      <c r="N2050" s="149"/>
    </row>
    <row r="2051" spans="11:14">
      <c r="K2051" s="149"/>
      <c r="L2051" s="149"/>
      <c r="M2051" s="149"/>
      <c r="N2051" s="149"/>
    </row>
    <row r="2052" spans="11:14">
      <c r="K2052" s="149"/>
      <c r="L2052" s="149"/>
      <c r="M2052" s="149"/>
      <c r="N2052" s="149"/>
    </row>
    <row r="2053" spans="11:14">
      <c r="K2053" s="149"/>
      <c r="L2053" s="149"/>
      <c r="M2053" s="149"/>
      <c r="N2053" s="149"/>
    </row>
    <row r="2054" spans="11:14">
      <c r="K2054" s="149"/>
      <c r="L2054" s="149"/>
      <c r="M2054" s="149"/>
      <c r="N2054" s="149"/>
    </row>
    <row r="2055" spans="11:14">
      <c r="K2055" s="149"/>
      <c r="L2055" s="149"/>
      <c r="M2055" s="149"/>
      <c r="N2055" s="149"/>
    </row>
    <row r="2056" spans="11:14">
      <c r="K2056" s="149"/>
      <c r="L2056" s="149"/>
      <c r="M2056" s="149"/>
      <c r="N2056" s="149"/>
    </row>
    <row r="2057" spans="11:14">
      <c r="K2057" s="149"/>
      <c r="L2057" s="149"/>
      <c r="M2057" s="149"/>
      <c r="N2057" s="149"/>
    </row>
    <row r="2058" spans="11:14">
      <c r="K2058" s="149"/>
      <c r="L2058" s="149"/>
      <c r="M2058" s="149"/>
      <c r="N2058" s="149"/>
    </row>
    <row r="2059" spans="11:14">
      <c r="K2059" s="149"/>
      <c r="L2059" s="149"/>
      <c r="M2059" s="149"/>
      <c r="N2059" s="149"/>
    </row>
    <row r="2060" spans="11:14">
      <c r="K2060" s="149"/>
      <c r="L2060" s="149"/>
      <c r="M2060" s="149"/>
      <c r="N2060" s="149"/>
    </row>
    <row r="2061" spans="11:14">
      <c r="K2061" s="149"/>
      <c r="L2061" s="149"/>
      <c r="M2061" s="149"/>
      <c r="N2061" s="149"/>
    </row>
    <row r="2062" spans="11:14">
      <c r="K2062" s="149"/>
      <c r="L2062" s="149"/>
      <c r="M2062" s="149"/>
      <c r="N2062" s="149"/>
    </row>
    <row r="2063" spans="11:14">
      <c r="K2063" s="149"/>
      <c r="L2063" s="149"/>
      <c r="M2063" s="149"/>
      <c r="N2063" s="149"/>
    </row>
    <row r="2064" spans="11:14">
      <c r="K2064" s="149"/>
      <c r="L2064" s="149"/>
      <c r="M2064" s="149"/>
      <c r="N2064" s="149"/>
    </row>
    <row r="2065" spans="9:14">
      <c r="K2065" s="149"/>
      <c r="L2065" s="149"/>
      <c r="M2065" s="149"/>
      <c r="N2065" s="149"/>
    </row>
    <row r="2066" spans="9:14">
      <c r="K2066" s="149"/>
      <c r="L2066" s="149"/>
      <c r="M2066" s="149"/>
      <c r="N2066" s="149"/>
    </row>
    <row r="2067" spans="9:14">
      <c r="I2067" s="2"/>
      <c r="K2067" s="149"/>
      <c r="L2067" s="149"/>
      <c r="M2067" s="149"/>
      <c r="N2067" s="149"/>
    </row>
    <row r="2068" spans="9:14">
      <c r="I2068" s="2"/>
      <c r="K2068" s="149"/>
      <c r="L2068" s="149"/>
      <c r="M2068" s="149"/>
      <c r="N2068" s="149"/>
    </row>
    <row r="2069" spans="9:14">
      <c r="K2069" s="149"/>
      <c r="L2069" s="149"/>
      <c r="M2069" s="149"/>
      <c r="N2069" s="149"/>
    </row>
    <row r="2070" spans="9:14">
      <c r="K2070" s="149"/>
      <c r="L2070" s="149"/>
      <c r="M2070" s="149"/>
      <c r="N2070" s="149"/>
    </row>
    <row r="2071" spans="9:14">
      <c r="K2071" s="149"/>
      <c r="L2071" s="149"/>
      <c r="M2071" s="149"/>
      <c r="N2071" s="149"/>
    </row>
    <row r="2072" spans="9:14">
      <c r="K2072" s="149"/>
      <c r="L2072" s="149"/>
      <c r="M2072" s="149"/>
      <c r="N2072" s="149"/>
    </row>
    <row r="2073" spans="9:14">
      <c r="K2073" s="149"/>
      <c r="L2073" s="149"/>
      <c r="M2073" s="149"/>
      <c r="N2073" s="149"/>
    </row>
    <row r="2074" spans="9:14">
      <c r="K2074" s="149"/>
      <c r="L2074" s="149"/>
      <c r="M2074" s="149"/>
      <c r="N2074" s="149"/>
    </row>
    <row r="2075" spans="9:14">
      <c r="K2075" s="149"/>
      <c r="L2075" s="149"/>
      <c r="M2075" s="149"/>
      <c r="N2075" s="149"/>
    </row>
    <row r="2076" spans="9:14">
      <c r="K2076" s="149"/>
      <c r="L2076" s="149"/>
      <c r="M2076" s="149"/>
      <c r="N2076" s="149"/>
    </row>
    <row r="2077" spans="9:14">
      <c r="K2077" s="149"/>
      <c r="L2077" s="149"/>
      <c r="M2077" s="149"/>
      <c r="N2077" s="149"/>
    </row>
    <row r="2078" spans="9:14">
      <c r="J2078" s="2"/>
      <c r="K2078" s="149"/>
      <c r="L2078" s="149"/>
      <c r="M2078" s="149"/>
      <c r="N2078" s="149"/>
    </row>
    <row r="2079" spans="9:14">
      <c r="I2079" s="2"/>
      <c r="K2079" s="149"/>
      <c r="L2079" s="149"/>
      <c r="M2079" s="149"/>
      <c r="N2079" s="149"/>
    </row>
    <row r="2080" spans="9:14">
      <c r="J2080" s="2"/>
      <c r="K2080" s="149"/>
      <c r="L2080" s="149"/>
      <c r="M2080" s="149"/>
      <c r="N2080" s="149"/>
    </row>
    <row r="2081" spans="9:14">
      <c r="I2081" s="2"/>
      <c r="K2081" s="149"/>
      <c r="L2081" s="149"/>
      <c r="M2081" s="149"/>
      <c r="N2081" s="149"/>
    </row>
    <row r="2082" spans="9:14">
      <c r="K2082" s="149"/>
      <c r="L2082" s="149"/>
      <c r="M2082" s="149"/>
      <c r="N2082" s="149"/>
    </row>
    <row r="2083" spans="9:14">
      <c r="K2083" s="149"/>
      <c r="L2083" s="149"/>
      <c r="M2083" s="149"/>
      <c r="N2083" s="149"/>
    </row>
    <row r="2084" spans="9:14">
      <c r="I2084" s="2"/>
      <c r="K2084" s="149"/>
      <c r="L2084" s="149"/>
      <c r="M2084" s="149"/>
      <c r="N2084" s="149"/>
    </row>
    <row r="2085" spans="9:14">
      <c r="K2085" s="149"/>
      <c r="L2085" s="149"/>
      <c r="M2085" s="149"/>
      <c r="N2085" s="149"/>
    </row>
    <row r="2086" spans="9:14">
      <c r="K2086" s="149"/>
      <c r="L2086" s="149"/>
      <c r="M2086" s="149"/>
      <c r="N2086" s="149"/>
    </row>
    <row r="2087" spans="9:14">
      <c r="K2087" s="149"/>
      <c r="L2087" s="149"/>
      <c r="M2087" s="149"/>
      <c r="N2087" s="149"/>
    </row>
    <row r="2088" spans="9:14">
      <c r="K2088" s="149"/>
      <c r="L2088" s="149"/>
      <c r="M2088" s="149"/>
      <c r="N2088" s="149"/>
    </row>
    <row r="2089" spans="9:14">
      <c r="K2089" s="149"/>
      <c r="L2089" s="149"/>
      <c r="M2089" s="149"/>
      <c r="N2089" s="149"/>
    </row>
    <row r="2090" spans="9:14">
      <c r="K2090" s="149"/>
      <c r="L2090" s="149"/>
      <c r="M2090" s="149"/>
      <c r="N2090" s="149"/>
    </row>
    <row r="2091" spans="9:14">
      <c r="K2091" s="149"/>
      <c r="L2091" s="149"/>
      <c r="M2091" s="149"/>
      <c r="N2091" s="149"/>
    </row>
    <row r="2092" spans="9:14">
      <c r="K2092" s="149"/>
      <c r="L2092" s="149"/>
      <c r="M2092" s="149"/>
      <c r="N2092" s="149"/>
    </row>
    <row r="2093" spans="9:14">
      <c r="K2093" s="149"/>
      <c r="L2093" s="149"/>
      <c r="M2093" s="149"/>
      <c r="N2093" s="149"/>
    </row>
    <row r="2094" spans="9:14">
      <c r="K2094" s="149"/>
      <c r="L2094" s="149"/>
      <c r="M2094" s="149"/>
      <c r="N2094" s="149"/>
    </row>
    <row r="2095" spans="9:14">
      <c r="K2095" s="149"/>
      <c r="L2095" s="149"/>
      <c r="M2095" s="149"/>
      <c r="N2095" s="149"/>
    </row>
    <row r="2096" spans="9:14">
      <c r="I2096" s="2"/>
      <c r="K2096" s="149"/>
      <c r="L2096" s="149"/>
      <c r="M2096" s="149"/>
      <c r="N2096" s="149"/>
    </row>
    <row r="2097" spans="9:14">
      <c r="I2097" s="2"/>
      <c r="K2097" s="149"/>
      <c r="L2097" s="149"/>
      <c r="M2097" s="149"/>
      <c r="N2097" s="149"/>
    </row>
    <row r="2098" spans="9:14">
      <c r="J2098" s="2"/>
      <c r="K2098" s="149"/>
      <c r="L2098" s="149"/>
      <c r="M2098" s="149"/>
      <c r="N2098" s="149"/>
    </row>
    <row r="2099" spans="9:14">
      <c r="I2099" s="2"/>
      <c r="K2099" s="149"/>
      <c r="L2099" s="149"/>
      <c r="M2099" s="149"/>
      <c r="N2099" s="149"/>
    </row>
    <row r="2100" spans="9:14">
      <c r="I2100" s="2"/>
      <c r="K2100" s="149"/>
      <c r="L2100" s="149"/>
      <c r="M2100" s="149"/>
      <c r="N2100" s="149"/>
    </row>
    <row r="2101" spans="9:14">
      <c r="I2101" s="2"/>
      <c r="K2101" s="149"/>
      <c r="L2101" s="149"/>
      <c r="M2101" s="149"/>
      <c r="N2101" s="149"/>
    </row>
    <row r="2102" spans="9:14">
      <c r="I2102" s="2"/>
      <c r="K2102" s="149"/>
      <c r="L2102" s="149"/>
      <c r="M2102" s="149"/>
      <c r="N2102" s="149"/>
    </row>
    <row r="2103" spans="9:14">
      <c r="I2103" s="2"/>
      <c r="K2103" s="149"/>
      <c r="L2103" s="149"/>
      <c r="M2103" s="149"/>
      <c r="N2103" s="149"/>
    </row>
    <row r="2104" spans="9:14">
      <c r="I2104" s="2"/>
      <c r="K2104" s="149"/>
      <c r="L2104" s="149"/>
      <c r="M2104" s="149"/>
      <c r="N2104" s="149"/>
    </row>
    <row r="2105" spans="9:14">
      <c r="I2105" s="2"/>
      <c r="K2105" s="149"/>
      <c r="L2105" s="149"/>
      <c r="M2105" s="149"/>
      <c r="N2105" s="149"/>
    </row>
    <row r="2106" spans="9:14">
      <c r="I2106" s="2"/>
      <c r="K2106" s="149"/>
      <c r="L2106" s="149"/>
      <c r="M2106" s="149"/>
      <c r="N2106" s="149"/>
    </row>
    <row r="2107" spans="9:14">
      <c r="I2107" s="2"/>
      <c r="K2107" s="149"/>
      <c r="L2107" s="149"/>
      <c r="M2107" s="149"/>
      <c r="N2107" s="149"/>
    </row>
    <row r="2108" spans="9:14">
      <c r="K2108" s="149"/>
      <c r="L2108" s="149"/>
      <c r="M2108" s="149"/>
      <c r="N2108" s="149"/>
    </row>
    <row r="2109" spans="9:14">
      <c r="K2109" s="149"/>
      <c r="L2109" s="149"/>
      <c r="M2109" s="149"/>
      <c r="N2109" s="149"/>
    </row>
    <row r="2110" spans="9:14">
      <c r="I2110" s="2"/>
      <c r="K2110" s="149"/>
      <c r="L2110" s="149"/>
      <c r="M2110" s="149"/>
      <c r="N2110" s="149"/>
    </row>
    <row r="2111" spans="9:14">
      <c r="I2111" s="2"/>
      <c r="K2111" s="149"/>
      <c r="L2111" s="149"/>
      <c r="M2111" s="149"/>
      <c r="N2111" s="149"/>
    </row>
    <row r="2112" spans="9:14">
      <c r="J2112" s="2"/>
      <c r="K2112" s="149"/>
      <c r="L2112" s="149"/>
      <c r="M2112" s="149"/>
      <c r="N2112" s="149"/>
    </row>
    <row r="2113" spans="9:14">
      <c r="I2113" s="2"/>
      <c r="K2113" s="149"/>
      <c r="L2113" s="149"/>
      <c r="M2113" s="149"/>
      <c r="N2113" s="149"/>
    </row>
    <row r="2114" spans="9:14">
      <c r="J2114" s="2"/>
      <c r="K2114" s="149"/>
      <c r="L2114" s="149"/>
      <c r="M2114" s="149"/>
      <c r="N2114" s="149"/>
    </row>
    <row r="2115" spans="9:14">
      <c r="I2115" s="2"/>
      <c r="K2115" s="149"/>
      <c r="L2115" s="149"/>
      <c r="M2115" s="149"/>
      <c r="N2115" s="149"/>
    </row>
    <row r="2116" spans="9:14">
      <c r="I2116" s="2"/>
      <c r="K2116" s="149"/>
      <c r="L2116" s="149"/>
      <c r="M2116" s="149"/>
      <c r="N2116" s="149"/>
    </row>
    <row r="2117" spans="9:14">
      <c r="K2117" s="149"/>
      <c r="L2117" s="149"/>
      <c r="M2117" s="149"/>
      <c r="N2117" s="149"/>
    </row>
    <row r="2118" spans="9:14">
      <c r="J2118" s="2"/>
      <c r="K2118" s="149"/>
      <c r="L2118" s="149"/>
      <c r="M2118" s="149"/>
      <c r="N2118" s="149"/>
    </row>
    <row r="2119" spans="9:14">
      <c r="K2119" s="149"/>
      <c r="L2119" s="149"/>
      <c r="M2119" s="149"/>
      <c r="N2119" s="149"/>
    </row>
    <row r="2120" spans="9:14">
      <c r="I2120" s="2"/>
      <c r="K2120" s="149"/>
      <c r="L2120" s="149"/>
      <c r="M2120" s="149"/>
      <c r="N2120" s="149"/>
    </row>
    <row r="2121" spans="9:14">
      <c r="J2121" s="2"/>
      <c r="K2121" s="149"/>
      <c r="L2121" s="149"/>
      <c r="M2121" s="149"/>
      <c r="N2121" s="149"/>
    </row>
    <row r="2122" spans="9:14">
      <c r="I2122" s="2"/>
      <c r="K2122" s="149"/>
      <c r="L2122" s="149"/>
      <c r="M2122" s="149"/>
      <c r="N2122" s="149"/>
    </row>
    <row r="2123" spans="9:14">
      <c r="K2123" s="149"/>
      <c r="L2123" s="149"/>
      <c r="M2123" s="149"/>
      <c r="N2123" s="149"/>
    </row>
    <row r="2124" spans="9:14">
      <c r="J2124" s="2"/>
      <c r="K2124" s="149"/>
      <c r="L2124" s="149"/>
      <c r="M2124" s="149"/>
      <c r="N2124" s="149"/>
    </row>
    <row r="2125" spans="9:14">
      <c r="K2125" s="149"/>
      <c r="L2125" s="149"/>
      <c r="M2125" s="149"/>
      <c r="N2125" s="149"/>
    </row>
    <row r="2126" spans="9:14">
      <c r="K2126" s="149"/>
      <c r="L2126" s="149"/>
      <c r="M2126" s="149"/>
      <c r="N2126" s="149"/>
    </row>
    <row r="2127" spans="9:14">
      <c r="I2127" s="2"/>
      <c r="K2127" s="149"/>
      <c r="L2127" s="149"/>
      <c r="M2127" s="149"/>
      <c r="N2127" s="149"/>
    </row>
    <row r="2128" spans="9:14">
      <c r="I2128" s="2"/>
      <c r="K2128" s="149"/>
      <c r="L2128" s="149"/>
      <c r="M2128" s="149"/>
      <c r="N2128" s="149"/>
    </row>
    <row r="2129" spans="9:14">
      <c r="I2129" s="2"/>
      <c r="K2129" s="149"/>
      <c r="L2129" s="149"/>
      <c r="M2129" s="149"/>
      <c r="N2129" s="149"/>
    </row>
    <row r="2130" spans="9:14">
      <c r="I2130" s="2"/>
      <c r="K2130" s="149"/>
      <c r="L2130" s="149"/>
      <c r="M2130" s="149"/>
      <c r="N2130" s="149"/>
    </row>
    <row r="2131" spans="9:14">
      <c r="K2131" s="149"/>
      <c r="L2131" s="149"/>
      <c r="M2131" s="149"/>
      <c r="N2131" s="149"/>
    </row>
    <row r="2132" spans="9:14">
      <c r="K2132" s="149"/>
      <c r="L2132" s="149"/>
      <c r="M2132" s="149"/>
      <c r="N2132" s="149"/>
    </row>
    <row r="2133" spans="9:14">
      <c r="K2133" s="149"/>
      <c r="L2133" s="149"/>
      <c r="M2133" s="149"/>
      <c r="N2133" s="149"/>
    </row>
    <row r="2134" spans="9:14">
      <c r="K2134" s="149"/>
      <c r="L2134" s="149"/>
      <c r="M2134" s="149"/>
      <c r="N2134" s="149"/>
    </row>
    <row r="2135" spans="9:14">
      <c r="I2135" s="2"/>
      <c r="K2135" s="149"/>
      <c r="L2135" s="149"/>
      <c r="M2135" s="149"/>
      <c r="N2135" s="149"/>
    </row>
    <row r="2136" spans="9:14">
      <c r="I2136" s="2"/>
      <c r="K2136" s="149"/>
      <c r="L2136" s="149"/>
      <c r="M2136" s="149"/>
      <c r="N2136" s="149"/>
    </row>
    <row r="2137" spans="9:14">
      <c r="I2137" s="2"/>
      <c r="K2137" s="149"/>
      <c r="L2137" s="149"/>
      <c r="M2137" s="149"/>
      <c r="N2137" s="149"/>
    </row>
    <row r="2138" spans="9:14">
      <c r="I2138" s="2"/>
      <c r="K2138" s="149"/>
      <c r="L2138" s="149"/>
      <c r="M2138" s="149"/>
      <c r="N2138" s="149"/>
    </row>
    <row r="2139" spans="9:14">
      <c r="I2139" s="2"/>
      <c r="K2139" s="149"/>
      <c r="L2139" s="149"/>
      <c r="M2139" s="149"/>
      <c r="N2139" s="149"/>
    </row>
    <row r="2140" spans="9:14">
      <c r="I2140" s="2"/>
      <c r="K2140" s="149"/>
      <c r="L2140" s="149"/>
      <c r="M2140" s="149"/>
      <c r="N2140" s="149"/>
    </row>
    <row r="2141" spans="9:14">
      <c r="I2141" s="2"/>
      <c r="K2141" s="149"/>
      <c r="L2141" s="149"/>
      <c r="M2141" s="149"/>
      <c r="N2141" s="149"/>
    </row>
    <row r="2142" spans="9:14">
      <c r="I2142" s="2"/>
      <c r="K2142" s="149"/>
      <c r="L2142" s="149"/>
      <c r="M2142" s="149"/>
      <c r="N2142" s="149"/>
    </row>
    <row r="2143" spans="9:14">
      <c r="I2143" s="2"/>
      <c r="K2143" s="149"/>
      <c r="L2143" s="149"/>
      <c r="M2143" s="149"/>
      <c r="N2143" s="149"/>
    </row>
    <row r="2144" spans="9:14">
      <c r="K2144" s="149"/>
      <c r="L2144" s="149"/>
      <c r="M2144" s="149"/>
      <c r="N2144" s="149"/>
    </row>
    <row r="2145" spans="9:14">
      <c r="I2145" s="2"/>
      <c r="K2145" s="149"/>
      <c r="L2145" s="149"/>
      <c r="M2145" s="149"/>
      <c r="N2145" s="149"/>
    </row>
    <row r="2146" spans="9:14">
      <c r="K2146" s="149"/>
      <c r="L2146" s="149"/>
      <c r="M2146" s="149"/>
      <c r="N2146" s="149"/>
    </row>
    <row r="2147" spans="9:14">
      <c r="K2147" s="149"/>
      <c r="L2147" s="149"/>
      <c r="M2147" s="149"/>
      <c r="N2147" s="149"/>
    </row>
    <row r="2148" spans="9:14">
      <c r="K2148" s="149"/>
      <c r="L2148" s="149"/>
      <c r="M2148" s="149"/>
      <c r="N2148" s="149"/>
    </row>
    <row r="2149" spans="9:14">
      <c r="K2149" s="149"/>
      <c r="L2149" s="149"/>
      <c r="M2149" s="149"/>
      <c r="N2149" s="149"/>
    </row>
    <row r="2150" spans="9:14">
      <c r="K2150" s="149"/>
      <c r="L2150" s="149"/>
      <c r="M2150" s="149"/>
      <c r="N2150" s="149"/>
    </row>
    <row r="2151" spans="9:14">
      <c r="K2151" s="149"/>
      <c r="L2151" s="149"/>
      <c r="M2151" s="149"/>
      <c r="N2151" s="149"/>
    </row>
    <row r="2152" spans="9:14">
      <c r="I2152" s="2"/>
      <c r="K2152" s="149"/>
      <c r="L2152" s="149"/>
      <c r="M2152" s="149"/>
      <c r="N2152" s="149"/>
    </row>
    <row r="2153" spans="9:14">
      <c r="I2153" s="2"/>
      <c r="K2153" s="149"/>
      <c r="L2153" s="149"/>
      <c r="M2153" s="149"/>
      <c r="N2153" s="149"/>
    </row>
    <row r="2154" spans="9:14">
      <c r="K2154" s="149"/>
      <c r="L2154" s="149"/>
      <c r="M2154" s="149"/>
      <c r="N2154" s="149"/>
    </row>
    <row r="2155" spans="9:14">
      <c r="K2155" s="149"/>
      <c r="L2155" s="149"/>
      <c r="M2155" s="149"/>
      <c r="N2155" s="149"/>
    </row>
    <row r="2156" spans="9:14">
      <c r="I2156" s="2"/>
      <c r="J2156" s="2"/>
      <c r="K2156" s="149"/>
      <c r="L2156" s="149"/>
      <c r="M2156" s="149"/>
      <c r="N2156" s="149"/>
    </row>
    <row r="2157" spans="9:14">
      <c r="K2157" s="149"/>
      <c r="L2157" s="149"/>
      <c r="M2157" s="149"/>
      <c r="N2157" s="149"/>
    </row>
    <row r="2158" spans="9:14">
      <c r="K2158" s="149"/>
      <c r="L2158" s="149"/>
      <c r="M2158" s="149"/>
      <c r="N2158" s="149"/>
    </row>
    <row r="2159" spans="9:14">
      <c r="K2159" s="149"/>
      <c r="L2159" s="149"/>
      <c r="M2159" s="149"/>
      <c r="N2159" s="149"/>
    </row>
    <row r="2160" spans="9:14">
      <c r="K2160" s="149"/>
      <c r="L2160" s="149"/>
      <c r="M2160" s="149"/>
      <c r="N2160" s="149"/>
    </row>
    <row r="2161" spans="9:14">
      <c r="K2161" s="149"/>
      <c r="L2161" s="149"/>
      <c r="M2161" s="149"/>
      <c r="N2161" s="149"/>
    </row>
    <row r="2162" spans="9:14">
      <c r="K2162" s="149"/>
      <c r="L2162" s="149"/>
      <c r="M2162" s="149"/>
      <c r="N2162" s="149"/>
    </row>
    <row r="2163" spans="9:14">
      <c r="I2163" s="2"/>
      <c r="K2163" s="149"/>
      <c r="L2163" s="149"/>
      <c r="M2163" s="149"/>
      <c r="N2163" s="149"/>
    </row>
    <row r="2164" spans="9:14">
      <c r="I2164" s="2"/>
      <c r="K2164" s="149"/>
      <c r="L2164" s="149"/>
      <c r="M2164" s="149"/>
      <c r="N2164" s="149"/>
    </row>
    <row r="2165" spans="9:14">
      <c r="I2165" s="2"/>
      <c r="K2165" s="149"/>
      <c r="L2165" s="149"/>
      <c r="M2165" s="149"/>
      <c r="N2165" s="149"/>
    </row>
    <row r="2166" spans="9:14">
      <c r="I2166" s="2"/>
      <c r="K2166" s="149"/>
      <c r="L2166" s="149"/>
      <c r="M2166" s="149"/>
      <c r="N2166" s="149"/>
    </row>
    <row r="2167" spans="9:14">
      <c r="I2167" s="2"/>
      <c r="K2167" s="149"/>
      <c r="L2167" s="149"/>
      <c r="M2167" s="149"/>
      <c r="N2167" s="149"/>
    </row>
    <row r="2168" spans="9:14">
      <c r="J2168" s="2"/>
      <c r="K2168" s="149"/>
      <c r="L2168" s="149"/>
      <c r="M2168" s="149"/>
      <c r="N2168" s="149"/>
    </row>
    <row r="2169" spans="9:14">
      <c r="K2169" s="149"/>
      <c r="L2169" s="149"/>
      <c r="M2169" s="149"/>
      <c r="N2169" s="149"/>
    </row>
    <row r="2170" spans="9:14">
      <c r="I2170" s="2"/>
      <c r="K2170" s="149"/>
      <c r="L2170" s="149"/>
      <c r="M2170" s="149"/>
      <c r="N2170" s="149"/>
    </row>
    <row r="2171" spans="9:14">
      <c r="I2171" s="2"/>
      <c r="K2171" s="149"/>
      <c r="L2171" s="149"/>
      <c r="M2171" s="149"/>
      <c r="N2171" s="149"/>
    </row>
    <row r="2172" spans="9:14">
      <c r="K2172" s="149"/>
      <c r="L2172" s="149"/>
      <c r="M2172" s="149"/>
      <c r="N2172" s="149"/>
    </row>
    <row r="2173" spans="9:14">
      <c r="I2173" s="2"/>
      <c r="K2173" s="149"/>
      <c r="L2173" s="149"/>
      <c r="M2173" s="149"/>
      <c r="N2173" s="149"/>
    </row>
    <row r="2174" spans="9:14">
      <c r="K2174" s="149"/>
      <c r="L2174" s="149"/>
      <c r="M2174" s="149"/>
      <c r="N2174" s="149"/>
    </row>
    <row r="2175" spans="9:14">
      <c r="I2175" s="2"/>
      <c r="K2175" s="149"/>
      <c r="L2175" s="149"/>
      <c r="M2175" s="149"/>
      <c r="N2175" s="149"/>
    </row>
    <row r="2176" spans="9:14">
      <c r="I2176" s="2"/>
      <c r="K2176" s="149"/>
      <c r="L2176" s="149"/>
      <c r="M2176" s="149"/>
      <c r="N2176" s="149"/>
    </row>
    <row r="2177" spans="9:14">
      <c r="K2177" s="149"/>
      <c r="L2177" s="149"/>
      <c r="M2177" s="149"/>
      <c r="N2177" s="149"/>
    </row>
    <row r="2178" spans="9:14">
      <c r="J2178" s="2"/>
      <c r="K2178" s="149"/>
      <c r="L2178" s="149"/>
      <c r="M2178" s="149"/>
      <c r="N2178" s="149"/>
    </row>
    <row r="2179" spans="9:14">
      <c r="I2179" s="2"/>
      <c r="J2179" s="2"/>
      <c r="K2179" s="149"/>
      <c r="L2179" s="149"/>
      <c r="M2179" s="149"/>
      <c r="N2179" s="149"/>
    </row>
    <row r="2180" spans="9:14">
      <c r="I2180" s="2"/>
      <c r="K2180" s="149"/>
      <c r="L2180" s="149"/>
      <c r="M2180" s="149"/>
      <c r="N2180" s="149"/>
    </row>
    <row r="2181" spans="9:14">
      <c r="I2181" s="2"/>
      <c r="K2181" s="149"/>
      <c r="L2181" s="149"/>
      <c r="M2181" s="149"/>
      <c r="N2181" s="149"/>
    </row>
    <row r="2182" spans="9:14">
      <c r="K2182" s="149"/>
      <c r="L2182" s="149"/>
      <c r="M2182" s="149"/>
      <c r="N2182" s="149"/>
    </row>
    <row r="2183" spans="9:14">
      <c r="K2183" s="149"/>
      <c r="L2183" s="149"/>
      <c r="M2183" s="149"/>
      <c r="N2183" s="149"/>
    </row>
    <row r="2184" spans="9:14">
      <c r="I2184" s="2"/>
      <c r="K2184" s="149"/>
      <c r="L2184" s="149"/>
      <c r="M2184" s="149"/>
      <c r="N2184" s="149"/>
    </row>
    <row r="2185" spans="9:14">
      <c r="K2185" s="149"/>
      <c r="L2185" s="149"/>
      <c r="M2185" s="149"/>
      <c r="N2185" s="149"/>
    </row>
    <row r="2186" spans="9:14">
      <c r="J2186" s="2"/>
      <c r="K2186" s="149"/>
      <c r="L2186" s="149"/>
      <c r="M2186" s="149"/>
      <c r="N2186" s="149"/>
    </row>
    <row r="2187" spans="9:14">
      <c r="I2187" s="2"/>
      <c r="K2187" s="149"/>
      <c r="L2187" s="149"/>
      <c r="M2187" s="149"/>
      <c r="N2187" s="149"/>
    </row>
    <row r="2188" spans="9:14">
      <c r="I2188" s="2"/>
      <c r="K2188" s="149"/>
      <c r="L2188" s="149"/>
      <c r="M2188" s="149"/>
      <c r="N2188" s="149"/>
    </row>
    <row r="2189" spans="9:14">
      <c r="K2189" s="149"/>
      <c r="L2189" s="149"/>
      <c r="M2189" s="149"/>
      <c r="N2189" s="149"/>
    </row>
    <row r="2190" spans="9:14">
      <c r="K2190" s="149"/>
      <c r="L2190" s="149"/>
      <c r="M2190" s="149"/>
      <c r="N2190" s="149"/>
    </row>
    <row r="2191" spans="9:14">
      <c r="K2191" s="149"/>
      <c r="L2191" s="149"/>
      <c r="M2191" s="149"/>
      <c r="N2191" s="149"/>
    </row>
    <row r="2192" spans="9:14">
      <c r="I2192" s="2"/>
      <c r="K2192" s="149"/>
      <c r="L2192" s="149"/>
      <c r="M2192" s="149"/>
      <c r="N2192" s="149"/>
    </row>
    <row r="2193" spans="9:14">
      <c r="K2193" s="149"/>
      <c r="L2193" s="149"/>
      <c r="M2193" s="149"/>
      <c r="N2193" s="149"/>
    </row>
    <row r="2194" spans="9:14">
      <c r="K2194" s="149"/>
      <c r="L2194" s="149"/>
      <c r="M2194" s="149"/>
      <c r="N2194" s="149"/>
    </row>
    <row r="2195" spans="9:14">
      <c r="K2195" s="149"/>
      <c r="L2195" s="149"/>
      <c r="M2195" s="149"/>
      <c r="N2195" s="149"/>
    </row>
    <row r="2196" spans="9:14">
      <c r="J2196" s="2"/>
      <c r="K2196" s="149"/>
      <c r="L2196" s="149"/>
      <c r="M2196" s="149"/>
      <c r="N2196" s="149"/>
    </row>
    <row r="2197" spans="9:14">
      <c r="K2197" s="149"/>
      <c r="L2197" s="149"/>
      <c r="M2197" s="149"/>
      <c r="N2197" s="149"/>
    </row>
    <row r="2198" spans="9:14">
      <c r="J2198" s="2"/>
      <c r="K2198" s="149"/>
      <c r="L2198" s="149"/>
      <c r="M2198" s="149"/>
      <c r="N2198" s="149"/>
    </row>
    <row r="2199" spans="9:14">
      <c r="I2199" s="2"/>
      <c r="K2199" s="149"/>
      <c r="L2199" s="149"/>
      <c r="M2199" s="149"/>
      <c r="N2199" s="149"/>
    </row>
    <row r="2200" spans="9:14">
      <c r="K2200" s="149"/>
      <c r="L2200" s="149"/>
      <c r="M2200" s="149"/>
      <c r="N2200" s="149"/>
    </row>
    <row r="2201" spans="9:14">
      <c r="J2201" s="2"/>
      <c r="K2201" s="149"/>
      <c r="L2201" s="149"/>
      <c r="M2201" s="149"/>
      <c r="N2201" s="149"/>
    </row>
    <row r="2202" spans="9:14">
      <c r="J2202" s="2"/>
      <c r="K2202" s="149"/>
      <c r="L2202" s="149"/>
      <c r="M2202" s="149"/>
      <c r="N2202" s="149"/>
    </row>
    <row r="2203" spans="9:14">
      <c r="J2203" s="2"/>
      <c r="K2203" s="149"/>
      <c r="L2203" s="149"/>
      <c r="M2203" s="149"/>
      <c r="N2203" s="149"/>
    </row>
    <row r="2204" spans="9:14">
      <c r="I2204" s="2"/>
      <c r="K2204" s="149"/>
      <c r="L2204" s="149"/>
      <c r="M2204" s="149"/>
      <c r="N2204" s="149"/>
    </row>
    <row r="2205" spans="9:14">
      <c r="I2205" s="2"/>
      <c r="K2205" s="149"/>
      <c r="L2205" s="149"/>
      <c r="M2205" s="149"/>
      <c r="N2205" s="149"/>
    </row>
    <row r="2206" spans="9:14">
      <c r="I2206" s="2"/>
      <c r="K2206" s="149"/>
      <c r="L2206" s="149"/>
      <c r="M2206" s="149"/>
      <c r="N2206" s="149"/>
    </row>
    <row r="2207" spans="9:14">
      <c r="I2207" s="2"/>
      <c r="K2207" s="149"/>
      <c r="L2207" s="149"/>
      <c r="M2207" s="149"/>
      <c r="N2207" s="149"/>
    </row>
    <row r="2208" spans="9:14">
      <c r="J2208" s="2"/>
      <c r="K2208" s="149"/>
      <c r="L2208" s="149"/>
      <c r="M2208" s="149"/>
      <c r="N2208" s="149"/>
    </row>
    <row r="2209" spans="8:14">
      <c r="K2209" s="149"/>
      <c r="L2209" s="149"/>
      <c r="M2209" s="149"/>
      <c r="N2209" s="149"/>
    </row>
    <row r="2210" spans="8:14">
      <c r="K2210" s="149"/>
      <c r="L2210" s="149"/>
      <c r="M2210" s="149"/>
      <c r="N2210" s="149"/>
    </row>
    <row r="2211" spans="8:14">
      <c r="I2211" s="2"/>
      <c r="K2211" s="149"/>
      <c r="L2211" s="149"/>
      <c r="M2211" s="149"/>
      <c r="N2211" s="149"/>
    </row>
    <row r="2212" spans="8:14">
      <c r="I2212" s="2"/>
      <c r="K2212" s="149"/>
      <c r="L2212" s="149"/>
      <c r="M2212" s="149"/>
      <c r="N2212" s="149"/>
    </row>
    <row r="2213" spans="8:14">
      <c r="I2213" s="2"/>
      <c r="J2213" s="2"/>
      <c r="K2213" s="149"/>
      <c r="L2213" s="149"/>
      <c r="M2213" s="149"/>
      <c r="N2213" s="149"/>
    </row>
    <row r="2214" spans="8:14">
      <c r="H2214" s="2"/>
      <c r="K2214" s="149"/>
      <c r="L2214" s="149"/>
      <c r="M2214" s="149"/>
      <c r="N2214" s="149"/>
    </row>
    <row r="2215" spans="8:14">
      <c r="H2215" s="2"/>
      <c r="K2215" s="149"/>
      <c r="L2215" s="149"/>
      <c r="M2215" s="149"/>
      <c r="N2215" s="149"/>
    </row>
    <row r="2216" spans="8:14">
      <c r="H2216" s="2"/>
      <c r="K2216" s="149"/>
      <c r="L2216" s="149"/>
      <c r="M2216" s="149"/>
      <c r="N2216" s="149"/>
    </row>
    <row r="2217" spans="8:14">
      <c r="H2217" s="2"/>
      <c r="K2217" s="149"/>
      <c r="L2217" s="149"/>
      <c r="M2217" s="149"/>
      <c r="N2217" s="149"/>
    </row>
    <row r="2218" spans="8:14">
      <c r="H2218" s="2"/>
      <c r="K2218" s="149"/>
      <c r="L2218" s="149"/>
      <c r="M2218" s="149"/>
      <c r="N2218" s="149"/>
    </row>
    <row r="2219" spans="8:14">
      <c r="H2219" s="2"/>
      <c r="K2219" s="149"/>
      <c r="L2219" s="149"/>
      <c r="M2219" s="149"/>
      <c r="N2219" s="149"/>
    </row>
    <row r="2220" spans="8:14">
      <c r="H2220" s="2"/>
      <c r="K2220" s="149"/>
      <c r="L2220" s="149"/>
      <c r="M2220" s="149"/>
      <c r="N2220" s="149"/>
    </row>
    <row r="2221" spans="8:14">
      <c r="H2221" s="2"/>
      <c r="K2221" s="149"/>
      <c r="L2221" s="149"/>
      <c r="M2221" s="149"/>
      <c r="N2221" s="149"/>
    </row>
    <row r="2222" spans="8:14">
      <c r="K2222" s="149"/>
      <c r="L2222" s="149"/>
      <c r="M2222" s="149"/>
      <c r="N2222" s="149"/>
    </row>
    <row r="2223" spans="8:14">
      <c r="K2223" s="149"/>
      <c r="L2223" s="149"/>
      <c r="M2223" s="149"/>
      <c r="N2223" s="149"/>
    </row>
    <row r="2224" spans="8:14">
      <c r="K2224" s="149"/>
      <c r="L2224" s="149"/>
      <c r="M2224" s="149"/>
      <c r="N2224" s="149"/>
    </row>
    <row r="2225" spans="8:14">
      <c r="K2225" s="149"/>
      <c r="L2225" s="149"/>
      <c r="M2225" s="149"/>
      <c r="N2225" s="149"/>
    </row>
    <row r="2226" spans="8:14">
      <c r="K2226" s="149"/>
      <c r="L2226" s="149"/>
      <c r="M2226" s="149"/>
      <c r="N2226" s="149"/>
    </row>
    <row r="2227" spans="8:14">
      <c r="K2227" s="149"/>
      <c r="L2227" s="149"/>
      <c r="M2227" s="149"/>
      <c r="N2227" s="149"/>
    </row>
    <row r="2228" spans="8:14">
      <c r="K2228" s="149"/>
      <c r="L2228" s="149"/>
      <c r="M2228" s="149"/>
      <c r="N2228" s="149"/>
    </row>
    <row r="2229" spans="8:14">
      <c r="K2229" s="149"/>
      <c r="L2229" s="149"/>
      <c r="M2229" s="149"/>
      <c r="N2229" s="149"/>
    </row>
    <row r="2230" spans="8:14">
      <c r="K2230" s="149"/>
      <c r="L2230" s="149"/>
      <c r="M2230" s="149"/>
      <c r="N2230" s="149"/>
    </row>
    <row r="2231" spans="8:14">
      <c r="K2231" s="149"/>
      <c r="L2231" s="149"/>
      <c r="M2231" s="149"/>
      <c r="N2231" s="149"/>
    </row>
    <row r="2232" spans="8:14">
      <c r="K2232" s="149"/>
      <c r="L2232" s="149"/>
      <c r="M2232" s="149"/>
      <c r="N2232" s="149"/>
    </row>
    <row r="2233" spans="8:14">
      <c r="K2233" s="149"/>
      <c r="L2233" s="149"/>
      <c r="M2233" s="149"/>
      <c r="N2233" s="149"/>
    </row>
    <row r="2234" spans="8:14">
      <c r="K2234" s="149"/>
      <c r="L2234" s="149"/>
      <c r="M2234" s="149"/>
      <c r="N2234" s="149"/>
    </row>
    <row r="2235" spans="8:14">
      <c r="J2235" s="2"/>
      <c r="K2235" s="149"/>
      <c r="L2235" s="149"/>
      <c r="M2235" s="149"/>
      <c r="N2235" s="149"/>
    </row>
    <row r="2236" spans="8:14">
      <c r="K2236" s="149"/>
      <c r="L2236" s="149"/>
      <c r="M2236" s="149"/>
      <c r="N2236" s="149"/>
    </row>
    <row r="2237" spans="8:14">
      <c r="K2237" s="149"/>
      <c r="L2237" s="149"/>
      <c r="M2237" s="149"/>
      <c r="N2237" s="149"/>
    </row>
    <row r="2238" spans="8:14">
      <c r="K2238" s="149"/>
      <c r="L2238" s="149"/>
      <c r="M2238" s="149"/>
      <c r="N2238" s="149"/>
    </row>
    <row r="2239" spans="8:14">
      <c r="H2239" s="2"/>
      <c r="K2239" s="149"/>
      <c r="L2239" s="149"/>
      <c r="M2239" s="149"/>
      <c r="N2239" s="149"/>
    </row>
    <row r="2240" spans="8:14">
      <c r="H2240" s="2"/>
      <c r="I2240" s="2"/>
      <c r="J2240" s="2"/>
      <c r="K2240" s="149"/>
      <c r="L2240" s="149"/>
      <c r="M2240" s="149"/>
      <c r="N2240" s="149"/>
    </row>
    <row r="2241" spans="8:14">
      <c r="H2241" s="2"/>
      <c r="J2241" s="2"/>
      <c r="K2241" s="149"/>
      <c r="L2241" s="149"/>
      <c r="M2241" s="149"/>
      <c r="N2241" s="149"/>
    </row>
    <row r="2242" spans="8:14">
      <c r="H2242" s="2"/>
      <c r="J2242" s="2"/>
      <c r="K2242" s="149"/>
      <c r="L2242" s="149"/>
      <c r="M2242" s="149"/>
      <c r="N2242" s="149"/>
    </row>
    <row r="2243" spans="8:14">
      <c r="H2243" s="2"/>
      <c r="J2243" s="2"/>
      <c r="K2243" s="149"/>
      <c r="L2243" s="149"/>
      <c r="M2243" s="149"/>
      <c r="N2243" s="149"/>
    </row>
    <row r="2244" spans="8:14">
      <c r="H2244" s="2"/>
      <c r="I2244" s="2"/>
      <c r="K2244" s="149"/>
      <c r="L2244" s="149"/>
      <c r="M2244" s="149"/>
      <c r="N2244" s="149"/>
    </row>
    <row r="2245" spans="8:14">
      <c r="H2245" s="2"/>
      <c r="I2245" s="2"/>
      <c r="K2245" s="149"/>
      <c r="L2245" s="149"/>
      <c r="M2245" s="149"/>
      <c r="N2245" s="149"/>
    </row>
    <row r="2246" spans="8:14">
      <c r="H2246" s="2"/>
      <c r="I2246" s="2"/>
      <c r="K2246" s="149"/>
      <c r="L2246" s="149"/>
      <c r="M2246" s="149"/>
      <c r="N2246" s="149"/>
    </row>
    <row r="2247" spans="8:14">
      <c r="H2247" s="2"/>
      <c r="J2247" s="2"/>
      <c r="K2247" s="149"/>
      <c r="L2247" s="149"/>
      <c r="M2247" s="149"/>
      <c r="N2247" s="149"/>
    </row>
    <row r="2248" spans="8:14">
      <c r="H2248" s="2"/>
      <c r="I2248" s="2"/>
      <c r="K2248" s="149"/>
      <c r="L2248" s="149"/>
      <c r="M2248" s="149"/>
      <c r="N2248" s="149"/>
    </row>
    <row r="2249" spans="8:14">
      <c r="H2249" s="2"/>
      <c r="I2249" s="2"/>
      <c r="K2249" s="149"/>
      <c r="L2249" s="149"/>
      <c r="M2249" s="149"/>
      <c r="N2249" s="149"/>
    </row>
    <row r="2250" spans="8:14">
      <c r="H2250" s="2"/>
      <c r="J2250" s="2"/>
      <c r="K2250" s="149"/>
      <c r="L2250" s="149"/>
      <c r="M2250" s="149"/>
      <c r="N2250" s="149"/>
    </row>
    <row r="2251" spans="8:14">
      <c r="H2251" s="2"/>
      <c r="K2251" s="149"/>
      <c r="L2251" s="149"/>
      <c r="M2251" s="149"/>
      <c r="N2251" s="149"/>
    </row>
    <row r="2252" spans="8:14">
      <c r="H2252" s="2"/>
      <c r="K2252" s="149"/>
      <c r="L2252" s="149"/>
      <c r="M2252" s="149"/>
      <c r="N2252" s="149"/>
    </row>
    <row r="2253" spans="8:14">
      <c r="H2253" s="2"/>
      <c r="K2253" s="149"/>
      <c r="L2253" s="149"/>
      <c r="M2253" s="149"/>
      <c r="N2253" s="149"/>
    </row>
    <row r="2254" spans="8:14">
      <c r="H2254" s="2"/>
      <c r="K2254" s="149"/>
      <c r="L2254" s="149"/>
      <c r="M2254" s="149"/>
      <c r="N2254" s="149"/>
    </row>
    <row r="2255" spans="8:14">
      <c r="H2255" s="2"/>
      <c r="K2255" s="149"/>
      <c r="L2255" s="149"/>
      <c r="M2255" s="149"/>
      <c r="N2255" s="149"/>
    </row>
    <row r="2256" spans="8:14">
      <c r="H2256" s="2"/>
      <c r="K2256" s="149"/>
      <c r="L2256" s="149"/>
      <c r="M2256" s="149"/>
      <c r="N2256" s="149"/>
    </row>
    <row r="2257" spans="8:14">
      <c r="H2257" s="2"/>
      <c r="I2257" s="2"/>
      <c r="K2257" s="149"/>
      <c r="L2257" s="149"/>
      <c r="M2257" s="149"/>
      <c r="N2257" s="149"/>
    </row>
    <row r="2258" spans="8:14">
      <c r="H2258" s="2"/>
      <c r="I2258" s="2"/>
      <c r="K2258" s="149"/>
      <c r="L2258" s="149"/>
      <c r="M2258" s="149"/>
      <c r="N2258" s="149"/>
    </row>
    <row r="2259" spans="8:14">
      <c r="H2259" s="2"/>
      <c r="I2259" s="2"/>
      <c r="K2259" s="149"/>
      <c r="L2259" s="149"/>
      <c r="M2259" s="149"/>
      <c r="N2259" s="149"/>
    </row>
    <row r="2260" spans="8:14">
      <c r="H2260" s="2"/>
      <c r="I2260" s="2"/>
      <c r="K2260" s="149"/>
      <c r="L2260" s="149"/>
      <c r="M2260" s="149"/>
      <c r="N2260" s="149"/>
    </row>
    <row r="2261" spans="8:14">
      <c r="H2261" s="2"/>
      <c r="I2261" s="2"/>
      <c r="K2261" s="149"/>
      <c r="L2261" s="149"/>
      <c r="M2261" s="149"/>
      <c r="N2261" s="149"/>
    </row>
    <row r="2262" spans="8:14">
      <c r="H2262" s="2"/>
      <c r="I2262" s="2"/>
      <c r="K2262" s="149"/>
      <c r="L2262" s="149"/>
      <c r="M2262" s="149"/>
      <c r="N2262" s="149"/>
    </row>
    <row r="2263" spans="8:14">
      <c r="H2263" s="2"/>
      <c r="I2263" s="2"/>
      <c r="K2263" s="149"/>
      <c r="L2263" s="149"/>
      <c r="M2263" s="149"/>
      <c r="N2263" s="149"/>
    </row>
    <row r="2264" spans="8:14">
      <c r="H2264" s="2"/>
      <c r="K2264" s="149"/>
      <c r="L2264" s="149"/>
      <c r="M2264" s="149"/>
      <c r="N2264" s="149"/>
    </row>
    <row r="2265" spans="8:14">
      <c r="H2265" s="2"/>
      <c r="I2265" s="2"/>
      <c r="K2265" s="149"/>
      <c r="L2265" s="149"/>
      <c r="M2265" s="149"/>
      <c r="N2265" s="149"/>
    </row>
    <row r="2266" spans="8:14">
      <c r="H2266" s="2"/>
      <c r="I2266" s="2"/>
      <c r="K2266" s="149"/>
      <c r="L2266" s="149"/>
      <c r="M2266" s="149"/>
      <c r="N2266" s="149"/>
    </row>
    <row r="2267" spans="8:14">
      <c r="H2267" s="2"/>
      <c r="I2267" s="2"/>
      <c r="K2267" s="149"/>
      <c r="L2267" s="149"/>
      <c r="M2267" s="149"/>
      <c r="N2267" s="149"/>
    </row>
    <row r="2268" spans="8:14">
      <c r="H2268" s="2"/>
      <c r="I2268" s="2"/>
      <c r="K2268" s="149"/>
      <c r="L2268" s="149"/>
      <c r="M2268" s="149"/>
      <c r="N2268" s="149"/>
    </row>
    <row r="2269" spans="8:14">
      <c r="H2269" s="2"/>
      <c r="I2269" s="2"/>
      <c r="K2269" s="149"/>
      <c r="L2269" s="149"/>
      <c r="M2269" s="149"/>
      <c r="N2269" s="149"/>
    </row>
    <row r="2270" spans="8:14">
      <c r="H2270" s="2"/>
      <c r="I2270" s="2"/>
      <c r="K2270" s="149"/>
      <c r="L2270" s="149"/>
      <c r="M2270" s="149"/>
      <c r="N2270" s="149"/>
    </row>
    <row r="2271" spans="8:14">
      <c r="H2271" s="2"/>
      <c r="I2271" s="2"/>
      <c r="K2271" s="149"/>
      <c r="L2271" s="149"/>
      <c r="M2271" s="149"/>
      <c r="N2271" s="149"/>
    </row>
    <row r="2272" spans="8:14">
      <c r="H2272" s="2"/>
      <c r="I2272" s="2"/>
      <c r="K2272" s="149"/>
      <c r="L2272" s="149"/>
      <c r="M2272" s="149"/>
      <c r="N2272" s="149"/>
    </row>
    <row r="2273" spans="8:14">
      <c r="H2273" s="2"/>
      <c r="I2273" s="2"/>
      <c r="K2273" s="149"/>
      <c r="L2273" s="149"/>
      <c r="M2273" s="149"/>
      <c r="N2273" s="149"/>
    </row>
    <row r="2274" spans="8:14">
      <c r="H2274" s="2"/>
      <c r="K2274" s="149"/>
      <c r="L2274" s="149"/>
      <c r="M2274" s="149"/>
      <c r="N2274" s="149"/>
    </row>
    <row r="2275" spans="8:14">
      <c r="H2275" s="2"/>
      <c r="I2275" s="2"/>
      <c r="K2275" s="149"/>
      <c r="L2275" s="149"/>
      <c r="M2275" s="149"/>
      <c r="N2275" s="149"/>
    </row>
    <row r="2276" spans="8:14">
      <c r="H2276" s="2"/>
      <c r="I2276" s="2"/>
      <c r="K2276" s="149"/>
      <c r="L2276" s="149"/>
      <c r="M2276" s="149"/>
      <c r="N2276" s="149"/>
    </row>
    <row r="2277" spans="8:14">
      <c r="H2277" s="2"/>
      <c r="I2277" s="2"/>
      <c r="K2277" s="149"/>
      <c r="L2277" s="149"/>
      <c r="M2277" s="149"/>
      <c r="N2277" s="149"/>
    </row>
    <row r="2278" spans="8:14">
      <c r="H2278" s="2"/>
      <c r="I2278" s="2"/>
      <c r="K2278" s="149"/>
      <c r="L2278" s="149"/>
      <c r="M2278" s="149"/>
      <c r="N2278" s="149"/>
    </row>
    <row r="2279" spans="8:14">
      <c r="H2279" s="2"/>
      <c r="K2279" s="149"/>
      <c r="L2279" s="149"/>
      <c r="M2279" s="149"/>
      <c r="N2279" s="149"/>
    </row>
    <row r="2280" spans="8:14">
      <c r="H2280" s="2"/>
      <c r="I2280" s="2"/>
      <c r="K2280" s="149"/>
      <c r="L2280" s="149"/>
      <c r="M2280" s="149"/>
      <c r="N2280" s="149"/>
    </row>
    <row r="2281" spans="8:14">
      <c r="H2281" s="2"/>
      <c r="K2281" s="149"/>
      <c r="L2281" s="149"/>
      <c r="M2281" s="149"/>
      <c r="N2281" s="149"/>
    </row>
    <row r="2282" spans="8:14">
      <c r="H2282" s="2"/>
      <c r="K2282" s="149"/>
      <c r="L2282" s="149"/>
      <c r="M2282" s="149"/>
      <c r="N2282" s="149"/>
    </row>
    <row r="2283" spans="8:14">
      <c r="H2283" s="2"/>
      <c r="K2283" s="149"/>
      <c r="L2283" s="149"/>
      <c r="M2283" s="149"/>
      <c r="N2283" s="149"/>
    </row>
    <row r="2284" spans="8:14">
      <c r="H2284" s="2"/>
      <c r="I2284" s="2"/>
      <c r="K2284" s="149"/>
      <c r="L2284" s="149"/>
      <c r="M2284" s="149"/>
      <c r="N2284" s="149"/>
    </row>
    <row r="2285" spans="8:14">
      <c r="H2285" s="2"/>
      <c r="K2285" s="149"/>
      <c r="L2285" s="149"/>
      <c r="M2285" s="149"/>
      <c r="N2285" s="149"/>
    </row>
    <row r="2286" spans="8:14">
      <c r="H2286" s="2"/>
      <c r="I2286" s="2"/>
      <c r="K2286" s="149"/>
      <c r="L2286" s="149"/>
      <c r="M2286" s="149"/>
      <c r="N2286" s="149"/>
    </row>
    <row r="2287" spans="8:14">
      <c r="H2287" s="2"/>
      <c r="I2287" s="2"/>
      <c r="K2287" s="149"/>
      <c r="L2287" s="149"/>
      <c r="M2287" s="149"/>
      <c r="N2287" s="149"/>
    </row>
    <row r="2288" spans="8:14">
      <c r="H2288" s="2"/>
      <c r="I2288" s="2"/>
      <c r="K2288" s="149"/>
      <c r="L2288" s="149"/>
      <c r="M2288" s="149"/>
      <c r="N2288" s="149"/>
    </row>
    <row r="2289" spans="8:14">
      <c r="H2289" s="2"/>
      <c r="I2289" s="2"/>
      <c r="K2289" s="149"/>
      <c r="L2289" s="149"/>
      <c r="M2289" s="149"/>
      <c r="N2289" s="149"/>
    </row>
    <row r="2290" spans="8:14">
      <c r="H2290" s="2"/>
      <c r="J2290" s="2"/>
      <c r="K2290" s="149"/>
      <c r="L2290" s="149"/>
      <c r="M2290" s="149"/>
      <c r="N2290" s="149"/>
    </row>
    <row r="2291" spans="8:14">
      <c r="H2291" s="2"/>
      <c r="I2291" s="2"/>
      <c r="K2291" s="149"/>
      <c r="L2291" s="149"/>
      <c r="M2291" s="149"/>
      <c r="N2291" s="149"/>
    </row>
    <row r="2292" spans="8:14">
      <c r="H2292" s="2"/>
      <c r="K2292" s="149"/>
      <c r="L2292" s="149"/>
      <c r="M2292" s="149"/>
      <c r="N2292" s="149"/>
    </row>
    <row r="2293" spans="8:14">
      <c r="H2293" s="2"/>
      <c r="I2293" s="2"/>
      <c r="K2293" s="149"/>
      <c r="L2293" s="149"/>
      <c r="M2293" s="149"/>
      <c r="N2293" s="149"/>
    </row>
    <row r="2294" spans="8:14">
      <c r="H2294" s="2"/>
      <c r="I2294" s="2"/>
      <c r="K2294" s="149"/>
      <c r="L2294" s="149"/>
      <c r="M2294" s="149"/>
      <c r="N2294" s="149"/>
    </row>
    <row r="2295" spans="8:14">
      <c r="H2295" s="2"/>
      <c r="K2295" s="149"/>
      <c r="L2295" s="149"/>
      <c r="M2295" s="149"/>
      <c r="N2295" s="149"/>
    </row>
    <row r="2296" spans="8:14">
      <c r="H2296" s="2"/>
      <c r="K2296" s="149"/>
      <c r="L2296" s="149"/>
      <c r="M2296" s="149"/>
      <c r="N2296" s="149"/>
    </row>
    <row r="2297" spans="8:14">
      <c r="H2297" s="2"/>
      <c r="K2297" s="149"/>
      <c r="L2297" s="149"/>
      <c r="M2297" s="149"/>
      <c r="N2297" s="149"/>
    </row>
    <row r="2298" spans="8:14">
      <c r="H2298" s="2"/>
      <c r="I2298" s="2"/>
      <c r="K2298" s="149"/>
      <c r="L2298" s="149"/>
      <c r="M2298" s="149"/>
      <c r="N2298" s="149"/>
    </row>
    <row r="2299" spans="8:14">
      <c r="H2299" s="2"/>
      <c r="K2299" s="149"/>
      <c r="L2299" s="149"/>
      <c r="M2299" s="149"/>
      <c r="N2299" s="149"/>
    </row>
    <row r="2300" spans="8:14">
      <c r="H2300" s="2"/>
      <c r="I2300" s="2"/>
      <c r="K2300" s="149"/>
      <c r="L2300" s="149"/>
      <c r="M2300" s="149"/>
      <c r="N2300" s="149"/>
    </row>
    <row r="2301" spans="8:14">
      <c r="H2301" s="2"/>
      <c r="I2301" s="2"/>
      <c r="K2301" s="149"/>
      <c r="L2301" s="149"/>
      <c r="M2301" s="149"/>
      <c r="N2301" s="149"/>
    </row>
    <row r="2302" spans="8:14">
      <c r="H2302" s="2"/>
      <c r="I2302" s="2"/>
      <c r="K2302" s="149"/>
      <c r="L2302" s="149"/>
      <c r="M2302" s="149"/>
      <c r="N2302" s="149"/>
    </row>
    <row r="2303" spans="8:14">
      <c r="H2303" s="2"/>
      <c r="I2303" s="2"/>
      <c r="K2303" s="149"/>
      <c r="L2303" s="149"/>
      <c r="M2303" s="149"/>
      <c r="N2303" s="149"/>
    </row>
    <row r="2304" spans="8:14">
      <c r="H2304" s="2"/>
      <c r="I2304" s="2"/>
      <c r="K2304" s="149"/>
      <c r="L2304" s="149"/>
      <c r="M2304" s="149"/>
      <c r="N2304" s="149"/>
    </row>
    <row r="2305" spans="8:14">
      <c r="H2305" s="2"/>
      <c r="I2305" s="2"/>
      <c r="K2305" s="149"/>
      <c r="L2305" s="149"/>
      <c r="M2305" s="149"/>
      <c r="N2305" s="149"/>
    </row>
    <row r="2306" spans="8:14">
      <c r="H2306" s="2"/>
      <c r="I2306" s="2"/>
      <c r="K2306" s="149"/>
      <c r="L2306" s="149"/>
      <c r="M2306" s="149"/>
      <c r="N2306" s="149"/>
    </row>
    <row r="2307" spans="8:14">
      <c r="H2307" s="2"/>
      <c r="I2307" s="2"/>
      <c r="K2307" s="149"/>
      <c r="L2307" s="149"/>
      <c r="M2307" s="149"/>
      <c r="N2307" s="149"/>
    </row>
    <row r="2308" spans="8:14">
      <c r="H2308" s="2"/>
      <c r="K2308" s="149"/>
      <c r="L2308" s="149"/>
      <c r="M2308" s="149"/>
      <c r="N2308" s="149"/>
    </row>
    <row r="2309" spans="8:14">
      <c r="H2309" s="2"/>
      <c r="K2309" s="149"/>
      <c r="L2309" s="149"/>
      <c r="M2309" s="149"/>
      <c r="N2309" s="149"/>
    </row>
    <row r="2310" spans="8:14">
      <c r="H2310" s="2"/>
      <c r="I2310" s="2"/>
      <c r="K2310" s="149"/>
      <c r="L2310" s="149"/>
      <c r="M2310" s="149"/>
      <c r="N2310" s="149"/>
    </row>
    <row r="2311" spans="8:14">
      <c r="H2311" s="2"/>
      <c r="I2311" s="2"/>
      <c r="K2311" s="149"/>
      <c r="L2311" s="149"/>
      <c r="M2311" s="149"/>
      <c r="N2311" s="149"/>
    </row>
    <row r="2312" spans="8:14">
      <c r="H2312" s="2"/>
      <c r="K2312" s="149"/>
      <c r="L2312" s="149"/>
      <c r="M2312" s="149"/>
      <c r="N2312" s="149"/>
    </row>
    <row r="2313" spans="8:14">
      <c r="H2313" s="2"/>
      <c r="K2313" s="149"/>
      <c r="L2313" s="149"/>
      <c r="M2313" s="149"/>
      <c r="N2313" s="149"/>
    </row>
    <row r="2314" spans="8:14">
      <c r="H2314" s="2"/>
      <c r="I2314" s="2"/>
      <c r="K2314" s="149"/>
      <c r="L2314" s="149"/>
      <c r="M2314" s="149"/>
      <c r="N2314" s="149"/>
    </row>
    <row r="2315" spans="8:14">
      <c r="H2315" s="2"/>
      <c r="K2315" s="149"/>
      <c r="L2315" s="149"/>
      <c r="M2315" s="149"/>
      <c r="N2315" s="149"/>
    </row>
    <row r="2316" spans="8:14">
      <c r="H2316" s="2"/>
      <c r="J2316" s="2"/>
      <c r="K2316" s="149"/>
      <c r="L2316" s="149"/>
      <c r="M2316" s="149"/>
      <c r="N2316" s="149"/>
    </row>
    <row r="2317" spans="8:14">
      <c r="H2317" s="2"/>
      <c r="I2317" s="2"/>
      <c r="K2317" s="149"/>
      <c r="L2317" s="149"/>
      <c r="M2317" s="149"/>
      <c r="N2317" s="149"/>
    </row>
    <row r="2318" spans="8:14">
      <c r="H2318" s="2"/>
      <c r="K2318" s="149"/>
      <c r="L2318" s="149"/>
      <c r="M2318" s="149"/>
      <c r="N2318" s="149"/>
    </row>
    <row r="2319" spans="8:14">
      <c r="H2319" s="2"/>
      <c r="I2319" s="2"/>
      <c r="K2319" s="149"/>
      <c r="L2319" s="149"/>
      <c r="M2319" s="149"/>
      <c r="N2319" s="149"/>
    </row>
    <row r="2320" spans="8:14">
      <c r="H2320" s="2"/>
      <c r="I2320" s="2"/>
      <c r="K2320" s="149"/>
      <c r="L2320" s="149"/>
      <c r="M2320" s="149"/>
      <c r="N2320" s="149"/>
    </row>
    <row r="2321" spans="8:14">
      <c r="H2321" s="2"/>
      <c r="I2321" s="2"/>
      <c r="K2321" s="149"/>
      <c r="L2321" s="149"/>
      <c r="M2321" s="149"/>
      <c r="N2321" s="149"/>
    </row>
    <row r="2322" spans="8:14">
      <c r="H2322" s="2"/>
      <c r="K2322" s="149"/>
      <c r="L2322" s="149"/>
      <c r="M2322" s="149"/>
      <c r="N2322" s="149"/>
    </row>
    <row r="2323" spans="8:14">
      <c r="H2323" s="2"/>
      <c r="I2323" s="2"/>
      <c r="K2323" s="149"/>
      <c r="L2323" s="149"/>
      <c r="M2323" s="149"/>
      <c r="N2323" s="149"/>
    </row>
    <row r="2324" spans="8:14">
      <c r="H2324" s="2"/>
      <c r="I2324" s="2"/>
      <c r="K2324" s="149"/>
      <c r="L2324" s="149"/>
      <c r="M2324" s="149"/>
      <c r="N2324" s="149"/>
    </row>
    <row r="2325" spans="8:14">
      <c r="H2325" s="2"/>
      <c r="I2325" s="2"/>
      <c r="K2325" s="149"/>
      <c r="L2325" s="149"/>
      <c r="M2325" s="149"/>
      <c r="N2325" s="149"/>
    </row>
    <row r="2326" spans="8:14">
      <c r="H2326" s="2"/>
      <c r="I2326" s="2"/>
      <c r="K2326" s="149"/>
      <c r="L2326" s="149"/>
      <c r="M2326" s="149"/>
      <c r="N2326" s="149"/>
    </row>
    <row r="2327" spans="8:14">
      <c r="H2327" s="2"/>
      <c r="I2327" s="2"/>
      <c r="K2327" s="149"/>
      <c r="L2327" s="149"/>
      <c r="M2327" s="149"/>
      <c r="N2327" s="149"/>
    </row>
    <row r="2328" spans="8:14">
      <c r="H2328" s="2"/>
      <c r="J2328" s="2"/>
      <c r="K2328" s="149"/>
      <c r="L2328" s="149"/>
      <c r="M2328" s="149"/>
      <c r="N2328" s="149"/>
    </row>
    <row r="2329" spans="8:14">
      <c r="H2329" s="2"/>
      <c r="I2329" s="2"/>
      <c r="K2329" s="149"/>
      <c r="L2329" s="149"/>
      <c r="M2329" s="149"/>
      <c r="N2329" s="149"/>
    </row>
    <row r="2330" spans="8:14">
      <c r="H2330" s="2"/>
      <c r="I2330" s="2"/>
      <c r="K2330" s="149"/>
      <c r="L2330" s="149"/>
      <c r="M2330" s="149"/>
      <c r="N2330" s="149"/>
    </row>
    <row r="2331" spans="8:14">
      <c r="H2331" s="2"/>
      <c r="I2331" s="2"/>
      <c r="K2331" s="149"/>
      <c r="L2331" s="149"/>
      <c r="M2331" s="149"/>
      <c r="N2331" s="149"/>
    </row>
    <row r="2332" spans="8:14">
      <c r="H2332" s="2"/>
      <c r="I2332" s="2"/>
      <c r="K2332" s="149"/>
      <c r="L2332" s="149"/>
      <c r="M2332" s="149"/>
      <c r="N2332" s="149"/>
    </row>
    <row r="2333" spans="8:14">
      <c r="H2333" s="2"/>
      <c r="I2333" s="2"/>
      <c r="K2333" s="149"/>
      <c r="L2333" s="149"/>
      <c r="M2333" s="149"/>
      <c r="N2333" s="149"/>
    </row>
    <row r="2334" spans="8:14">
      <c r="H2334" s="2"/>
      <c r="I2334" s="2"/>
      <c r="K2334" s="149"/>
      <c r="L2334" s="149"/>
      <c r="M2334" s="149"/>
      <c r="N2334" s="149"/>
    </row>
    <row r="2335" spans="8:14">
      <c r="H2335" s="2"/>
      <c r="I2335" s="2"/>
      <c r="K2335" s="149"/>
      <c r="L2335" s="149"/>
      <c r="M2335" s="149"/>
      <c r="N2335" s="149"/>
    </row>
    <row r="2336" spans="8:14">
      <c r="H2336" s="2"/>
      <c r="I2336" s="2"/>
      <c r="K2336" s="149"/>
      <c r="L2336" s="149"/>
      <c r="M2336" s="149"/>
      <c r="N2336" s="149"/>
    </row>
    <row r="2337" spans="8:14">
      <c r="H2337" s="2"/>
      <c r="I2337" s="2"/>
      <c r="K2337" s="149"/>
      <c r="L2337" s="149"/>
      <c r="M2337" s="149"/>
      <c r="N2337" s="149"/>
    </row>
    <row r="2338" spans="8:14">
      <c r="H2338" s="2"/>
      <c r="I2338" s="2"/>
      <c r="K2338" s="149"/>
      <c r="L2338" s="149"/>
      <c r="M2338" s="149"/>
      <c r="N2338" s="149"/>
    </row>
    <row r="2339" spans="8:14">
      <c r="H2339" s="2"/>
      <c r="I2339" s="2"/>
      <c r="K2339" s="149"/>
      <c r="L2339" s="149"/>
      <c r="M2339" s="149"/>
      <c r="N2339" s="149"/>
    </row>
    <row r="2340" spans="8:14">
      <c r="H2340" s="2"/>
      <c r="I2340" s="2"/>
      <c r="K2340" s="149"/>
      <c r="L2340" s="149"/>
      <c r="M2340" s="149"/>
      <c r="N2340" s="149"/>
    </row>
    <row r="2341" spans="8:14">
      <c r="H2341" s="2"/>
      <c r="I2341" s="2"/>
      <c r="K2341" s="149"/>
      <c r="L2341" s="149"/>
      <c r="M2341" s="149"/>
      <c r="N2341" s="149"/>
    </row>
    <row r="2342" spans="8:14">
      <c r="H2342" s="2"/>
      <c r="K2342" s="149"/>
      <c r="L2342" s="149"/>
      <c r="M2342" s="149"/>
      <c r="N2342" s="149"/>
    </row>
    <row r="2343" spans="8:14">
      <c r="H2343" s="2"/>
      <c r="K2343" s="149"/>
      <c r="L2343" s="149"/>
      <c r="M2343" s="149"/>
      <c r="N2343" s="149"/>
    </row>
    <row r="2344" spans="8:14">
      <c r="H2344" s="2"/>
      <c r="I2344" s="2"/>
      <c r="K2344" s="149"/>
      <c r="L2344" s="149"/>
      <c r="M2344" s="149"/>
      <c r="N2344" s="149"/>
    </row>
    <row r="2345" spans="8:14">
      <c r="H2345" s="2"/>
      <c r="K2345" s="149"/>
      <c r="L2345" s="149"/>
      <c r="M2345" s="149"/>
      <c r="N2345" s="149"/>
    </row>
    <row r="2346" spans="8:14">
      <c r="H2346" s="2"/>
      <c r="K2346" s="149"/>
      <c r="L2346" s="149"/>
      <c r="M2346" s="149"/>
      <c r="N2346" s="149"/>
    </row>
    <row r="2347" spans="8:14">
      <c r="H2347" s="2"/>
      <c r="I2347" s="2"/>
      <c r="K2347" s="149"/>
      <c r="L2347" s="149"/>
      <c r="M2347" s="149"/>
      <c r="N2347" s="149"/>
    </row>
    <row r="2348" spans="8:14">
      <c r="H2348" s="2"/>
      <c r="K2348" s="149"/>
      <c r="L2348" s="149"/>
      <c r="M2348" s="149"/>
      <c r="N2348" s="149"/>
    </row>
    <row r="2349" spans="8:14">
      <c r="H2349" s="2"/>
      <c r="K2349" s="149"/>
      <c r="L2349" s="149"/>
      <c r="M2349" s="149"/>
      <c r="N2349" s="149"/>
    </row>
    <row r="2350" spans="8:14">
      <c r="H2350" s="2"/>
      <c r="K2350" s="149"/>
      <c r="L2350" s="149"/>
      <c r="M2350" s="149"/>
      <c r="N2350" s="149"/>
    </row>
    <row r="2351" spans="8:14">
      <c r="H2351" s="2"/>
      <c r="K2351" s="149"/>
      <c r="L2351" s="149"/>
      <c r="M2351" s="149"/>
      <c r="N2351" s="149"/>
    </row>
    <row r="2352" spans="8:14">
      <c r="H2352" s="2"/>
      <c r="K2352" s="149"/>
      <c r="L2352" s="149"/>
      <c r="M2352" s="149"/>
      <c r="N2352" s="149"/>
    </row>
    <row r="2353" spans="8:14">
      <c r="H2353" s="2"/>
      <c r="K2353" s="149"/>
      <c r="L2353" s="149"/>
      <c r="M2353" s="149"/>
      <c r="N2353" s="149"/>
    </row>
    <row r="2354" spans="8:14">
      <c r="H2354" s="2"/>
      <c r="J2354" s="2"/>
      <c r="K2354" s="149"/>
      <c r="L2354" s="149"/>
      <c r="M2354" s="149"/>
      <c r="N2354" s="149"/>
    </row>
    <row r="2355" spans="8:14">
      <c r="H2355" s="2"/>
      <c r="I2355" s="2"/>
      <c r="K2355" s="149"/>
      <c r="L2355" s="149"/>
      <c r="M2355" s="149"/>
      <c r="N2355" s="149"/>
    </row>
    <row r="2356" spans="8:14">
      <c r="H2356" s="2"/>
      <c r="K2356" s="149"/>
      <c r="L2356" s="149"/>
      <c r="M2356" s="149"/>
      <c r="N2356" s="149"/>
    </row>
    <row r="2357" spans="8:14">
      <c r="H2357" s="2"/>
      <c r="K2357" s="149"/>
      <c r="L2357" s="149"/>
      <c r="M2357" s="149"/>
      <c r="N2357" s="149"/>
    </row>
    <row r="2358" spans="8:14">
      <c r="H2358" s="2"/>
      <c r="K2358" s="149"/>
      <c r="L2358" s="149"/>
      <c r="M2358" s="149"/>
      <c r="N2358" s="149"/>
    </row>
    <row r="2359" spans="8:14">
      <c r="H2359" s="2"/>
      <c r="I2359" s="2"/>
      <c r="K2359" s="149"/>
      <c r="L2359" s="149"/>
      <c r="M2359" s="149"/>
      <c r="N2359" s="149"/>
    </row>
    <row r="2360" spans="8:14">
      <c r="H2360" s="2"/>
      <c r="I2360" s="2"/>
      <c r="K2360" s="149"/>
      <c r="L2360" s="149"/>
      <c r="M2360" s="149"/>
      <c r="N2360" s="149"/>
    </row>
    <row r="2361" spans="8:14">
      <c r="H2361" s="2"/>
      <c r="I2361" s="2"/>
      <c r="K2361" s="149"/>
      <c r="L2361" s="149"/>
      <c r="M2361" s="149"/>
      <c r="N2361" s="149"/>
    </row>
    <row r="2362" spans="8:14">
      <c r="H2362" s="2"/>
      <c r="I2362" s="2"/>
      <c r="K2362" s="149"/>
      <c r="L2362" s="149"/>
      <c r="M2362" s="149"/>
      <c r="N2362" s="149"/>
    </row>
    <row r="2363" spans="8:14">
      <c r="H2363" s="2"/>
      <c r="K2363" s="149"/>
      <c r="L2363" s="149"/>
      <c r="M2363" s="149"/>
      <c r="N2363" s="149"/>
    </row>
    <row r="2364" spans="8:14">
      <c r="H2364" s="2"/>
      <c r="K2364" s="149"/>
      <c r="L2364" s="149"/>
      <c r="M2364" s="149"/>
      <c r="N2364" s="149"/>
    </row>
    <row r="2365" spans="8:14">
      <c r="H2365" s="2"/>
      <c r="K2365" s="149"/>
      <c r="L2365" s="149"/>
      <c r="M2365" s="149"/>
      <c r="N2365" s="149"/>
    </row>
    <row r="2366" spans="8:14">
      <c r="H2366" s="2"/>
      <c r="I2366" s="2"/>
      <c r="K2366" s="149"/>
      <c r="L2366" s="149"/>
      <c r="M2366" s="149"/>
      <c r="N2366" s="149"/>
    </row>
    <row r="2367" spans="8:14">
      <c r="H2367" s="2"/>
      <c r="K2367" s="149"/>
      <c r="L2367" s="149"/>
      <c r="M2367" s="149"/>
      <c r="N2367" s="149"/>
    </row>
    <row r="2368" spans="8:14">
      <c r="H2368" s="2"/>
      <c r="K2368" s="149"/>
      <c r="L2368" s="149"/>
      <c r="M2368" s="149"/>
      <c r="N2368" s="149"/>
    </row>
    <row r="2369" spans="8:14">
      <c r="H2369" s="2"/>
      <c r="K2369" s="149"/>
      <c r="L2369" s="149"/>
      <c r="M2369" s="149"/>
      <c r="N2369" s="149"/>
    </row>
    <row r="2370" spans="8:14">
      <c r="H2370" s="2"/>
      <c r="K2370" s="149"/>
      <c r="L2370" s="149"/>
      <c r="M2370" s="149"/>
      <c r="N2370" s="149"/>
    </row>
    <row r="2371" spans="8:14">
      <c r="H2371" s="2"/>
      <c r="I2371" s="2"/>
      <c r="K2371" s="149"/>
      <c r="L2371" s="149"/>
      <c r="M2371" s="149"/>
      <c r="N2371" s="149"/>
    </row>
    <row r="2372" spans="8:14">
      <c r="H2372" s="2"/>
      <c r="K2372" s="149"/>
      <c r="L2372" s="149"/>
      <c r="M2372" s="149"/>
      <c r="N2372" s="149"/>
    </row>
    <row r="2373" spans="8:14">
      <c r="H2373" s="2"/>
      <c r="K2373" s="149"/>
      <c r="L2373" s="149"/>
      <c r="M2373" s="149"/>
      <c r="N2373" s="149"/>
    </row>
    <row r="2374" spans="8:14">
      <c r="H2374" s="2"/>
      <c r="K2374" s="149"/>
      <c r="L2374" s="149"/>
      <c r="M2374" s="149"/>
      <c r="N2374" s="149"/>
    </row>
    <row r="2375" spans="8:14">
      <c r="H2375" s="2"/>
      <c r="K2375" s="149"/>
      <c r="L2375" s="149"/>
      <c r="M2375" s="149"/>
      <c r="N2375" s="149"/>
    </row>
    <row r="2376" spans="8:14">
      <c r="H2376" s="2"/>
      <c r="K2376" s="149"/>
      <c r="L2376" s="149"/>
      <c r="M2376" s="149"/>
      <c r="N2376" s="149"/>
    </row>
    <row r="2377" spans="8:14">
      <c r="H2377" s="2"/>
      <c r="I2377" s="2"/>
      <c r="K2377" s="149"/>
      <c r="L2377" s="149"/>
      <c r="M2377" s="149"/>
      <c r="N2377" s="149"/>
    </row>
    <row r="2378" spans="8:14">
      <c r="H2378" s="2"/>
      <c r="K2378" s="149"/>
      <c r="L2378" s="149"/>
      <c r="M2378" s="149"/>
      <c r="N2378" s="149"/>
    </row>
    <row r="2379" spans="8:14">
      <c r="H2379" s="2"/>
      <c r="K2379" s="149"/>
      <c r="L2379" s="149"/>
      <c r="M2379" s="149"/>
      <c r="N2379" s="149"/>
    </row>
    <row r="2380" spans="8:14">
      <c r="H2380" s="2"/>
      <c r="I2380" s="2"/>
      <c r="K2380" s="149"/>
      <c r="L2380" s="149"/>
      <c r="M2380" s="149"/>
      <c r="N2380" s="149"/>
    </row>
    <row r="2381" spans="8:14">
      <c r="H2381" s="2"/>
      <c r="I2381" s="2"/>
      <c r="K2381" s="149"/>
      <c r="L2381" s="149"/>
      <c r="M2381" s="149"/>
      <c r="N2381" s="149"/>
    </row>
    <row r="2382" spans="8:14">
      <c r="H2382" s="2"/>
      <c r="I2382" s="2"/>
      <c r="K2382" s="149"/>
      <c r="L2382" s="149"/>
      <c r="M2382" s="149"/>
      <c r="N2382" s="149"/>
    </row>
    <row r="2383" spans="8:14">
      <c r="H2383" s="2"/>
      <c r="I2383" s="2"/>
      <c r="K2383" s="149"/>
      <c r="L2383" s="149"/>
      <c r="M2383" s="149"/>
      <c r="N2383" s="149"/>
    </row>
    <row r="2384" spans="8:14">
      <c r="H2384" s="2"/>
      <c r="I2384" s="2"/>
      <c r="K2384" s="149"/>
      <c r="L2384" s="149"/>
      <c r="M2384" s="149"/>
      <c r="N2384" s="149"/>
    </row>
    <row r="2385" spans="8:14">
      <c r="H2385" s="2"/>
      <c r="I2385" s="2"/>
      <c r="K2385" s="149"/>
      <c r="L2385" s="149"/>
      <c r="M2385" s="149"/>
      <c r="N2385" s="149"/>
    </row>
    <row r="2386" spans="8:14">
      <c r="H2386" s="2"/>
      <c r="K2386" s="149"/>
      <c r="L2386" s="149"/>
      <c r="M2386" s="149"/>
      <c r="N2386" s="149"/>
    </row>
    <row r="2387" spans="8:14">
      <c r="H2387" s="2"/>
      <c r="K2387" s="149"/>
      <c r="L2387" s="149"/>
      <c r="M2387" s="149"/>
      <c r="N2387" s="149"/>
    </row>
    <row r="2388" spans="8:14">
      <c r="H2388" s="2"/>
      <c r="K2388" s="149"/>
      <c r="L2388" s="149"/>
      <c r="M2388" s="149"/>
      <c r="N2388" s="149"/>
    </row>
    <row r="2389" spans="8:14">
      <c r="H2389" s="2"/>
      <c r="K2389" s="149"/>
      <c r="L2389" s="149"/>
      <c r="M2389" s="149"/>
      <c r="N2389" s="149"/>
    </row>
    <row r="2390" spans="8:14">
      <c r="H2390" s="2"/>
      <c r="K2390" s="149"/>
      <c r="L2390" s="149"/>
      <c r="M2390" s="149"/>
      <c r="N2390" s="149"/>
    </row>
    <row r="2391" spans="8:14">
      <c r="H2391" s="2"/>
      <c r="I2391" s="2"/>
      <c r="K2391" s="149"/>
      <c r="L2391" s="149"/>
      <c r="M2391" s="149"/>
      <c r="N2391" s="149"/>
    </row>
    <row r="2392" spans="8:14">
      <c r="H2392" s="2"/>
      <c r="K2392" s="149"/>
      <c r="L2392" s="149"/>
      <c r="M2392" s="149"/>
      <c r="N2392" s="149"/>
    </row>
    <row r="2393" spans="8:14">
      <c r="H2393" s="2"/>
      <c r="I2393" s="2"/>
      <c r="K2393" s="149"/>
      <c r="L2393" s="149"/>
      <c r="M2393" s="149"/>
      <c r="N2393" s="149"/>
    </row>
    <row r="2394" spans="8:14">
      <c r="H2394" s="2"/>
      <c r="I2394" s="2"/>
      <c r="K2394" s="149"/>
      <c r="L2394" s="149"/>
      <c r="M2394" s="149"/>
      <c r="N2394" s="149"/>
    </row>
    <row r="2395" spans="8:14">
      <c r="H2395" s="2"/>
      <c r="I2395" s="2"/>
      <c r="K2395" s="149"/>
      <c r="L2395" s="149"/>
      <c r="M2395" s="149"/>
      <c r="N2395" s="149"/>
    </row>
    <row r="2396" spans="8:14">
      <c r="H2396" s="2"/>
      <c r="J2396" s="2"/>
      <c r="K2396" s="149"/>
      <c r="L2396" s="149"/>
      <c r="M2396" s="149"/>
      <c r="N2396" s="149"/>
    </row>
    <row r="2397" spans="8:14">
      <c r="H2397" s="2"/>
      <c r="K2397" s="149"/>
      <c r="L2397" s="149"/>
      <c r="M2397" s="149"/>
      <c r="N2397" s="149"/>
    </row>
    <row r="2398" spans="8:14">
      <c r="H2398" s="2"/>
      <c r="K2398" s="149"/>
      <c r="L2398" s="149"/>
      <c r="M2398" s="149"/>
      <c r="N2398" s="149"/>
    </row>
    <row r="2399" spans="8:14">
      <c r="H2399" s="2"/>
      <c r="I2399" s="2"/>
      <c r="K2399" s="149"/>
      <c r="L2399" s="149"/>
      <c r="M2399" s="149"/>
      <c r="N2399" s="149"/>
    </row>
    <row r="2400" spans="8:14">
      <c r="H2400" s="2"/>
      <c r="K2400" s="149"/>
      <c r="L2400" s="149"/>
      <c r="M2400" s="149"/>
      <c r="N2400" s="149"/>
    </row>
    <row r="2401" spans="8:14">
      <c r="H2401" s="2"/>
      <c r="I2401" s="2"/>
      <c r="K2401" s="149"/>
      <c r="L2401" s="149"/>
      <c r="M2401" s="149"/>
      <c r="N2401" s="149"/>
    </row>
    <row r="2402" spans="8:14">
      <c r="H2402" s="2"/>
      <c r="I2402" s="2"/>
      <c r="K2402" s="149"/>
      <c r="L2402" s="149"/>
      <c r="M2402" s="149"/>
      <c r="N2402" s="149"/>
    </row>
    <row r="2403" spans="8:14">
      <c r="H2403" s="2"/>
      <c r="I2403" s="2"/>
      <c r="K2403" s="149"/>
      <c r="L2403" s="149"/>
      <c r="M2403" s="149"/>
      <c r="N2403" s="149"/>
    </row>
    <row r="2404" spans="8:14">
      <c r="H2404" s="2"/>
      <c r="I2404" s="2"/>
      <c r="K2404" s="149"/>
      <c r="L2404" s="149"/>
      <c r="M2404" s="149"/>
      <c r="N2404" s="149"/>
    </row>
    <row r="2405" spans="8:14">
      <c r="H2405" s="2"/>
      <c r="K2405" s="149"/>
      <c r="L2405" s="149"/>
      <c r="M2405" s="149"/>
      <c r="N2405" s="149"/>
    </row>
    <row r="2406" spans="8:14">
      <c r="H2406" s="2"/>
      <c r="I2406" s="2"/>
      <c r="K2406" s="149"/>
      <c r="L2406" s="149"/>
      <c r="M2406" s="149"/>
      <c r="N2406" s="149"/>
    </row>
    <row r="2407" spans="8:14">
      <c r="H2407" s="2"/>
      <c r="K2407" s="149"/>
      <c r="L2407" s="149"/>
      <c r="M2407" s="149"/>
      <c r="N2407" s="149"/>
    </row>
    <row r="2408" spans="8:14">
      <c r="H2408" s="2"/>
      <c r="K2408" s="149"/>
      <c r="L2408" s="149"/>
      <c r="M2408" s="149"/>
      <c r="N2408" s="149"/>
    </row>
    <row r="2409" spans="8:14">
      <c r="H2409" s="2"/>
      <c r="K2409" s="149"/>
      <c r="L2409" s="149"/>
      <c r="M2409" s="149"/>
      <c r="N2409" s="149"/>
    </row>
    <row r="2410" spans="8:14">
      <c r="H2410" s="2"/>
      <c r="K2410" s="149"/>
      <c r="L2410" s="149"/>
      <c r="M2410" s="149"/>
      <c r="N2410" s="149"/>
    </row>
    <row r="2411" spans="8:14">
      <c r="H2411" s="2"/>
      <c r="K2411" s="149"/>
      <c r="L2411" s="149"/>
      <c r="M2411" s="149"/>
      <c r="N2411" s="149"/>
    </row>
    <row r="2412" spans="8:14">
      <c r="H2412" s="2"/>
      <c r="K2412" s="149"/>
      <c r="L2412" s="149"/>
      <c r="M2412" s="149"/>
      <c r="N2412" s="149"/>
    </row>
    <row r="2413" spans="8:14">
      <c r="H2413" s="2"/>
      <c r="I2413" s="2"/>
      <c r="K2413" s="149"/>
      <c r="L2413" s="149"/>
      <c r="M2413" s="149"/>
      <c r="N2413" s="149"/>
    </row>
    <row r="2414" spans="8:14">
      <c r="H2414" s="2"/>
      <c r="K2414" s="149"/>
      <c r="L2414" s="149"/>
      <c r="M2414" s="149"/>
      <c r="N2414" s="149"/>
    </row>
    <row r="2415" spans="8:14">
      <c r="H2415" s="2"/>
      <c r="K2415" s="149"/>
      <c r="L2415" s="149"/>
      <c r="M2415" s="149"/>
      <c r="N2415" s="149"/>
    </row>
    <row r="2416" spans="8:14">
      <c r="H2416" s="2"/>
      <c r="K2416" s="149"/>
      <c r="L2416" s="149"/>
      <c r="M2416" s="149"/>
      <c r="N2416" s="149"/>
    </row>
    <row r="2417" spans="8:14">
      <c r="H2417" s="2"/>
      <c r="K2417" s="149"/>
      <c r="L2417" s="149"/>
      <c r="M2417" s="149"/>
      <c r="N2417" s="149"/>
    </row>
    <row r="2418" spans="8:14">
      <c r="H2418" s="2"/>
      <c r="K2418" s="149"/>
      <c r="L2418" s="149"/>
      <c r="M2418" s="149"/>
      <c r="N2418" s="149"/>
    </row>
    <row r="2419" spans="8:14">
      <c r="H2419" s="2"/>
      <c r="K2419" s="149"/>
      <c r="L2419" s="149"/>
      <c r="M2419" s="149"/>
      <c r="N2419" s="149"/>
    </row>
    <row r="2420" spans="8:14">
      <c r="H2420" s="2"/>
      <c r="K2420" s="149"/>
      <c r="L2420" s="149"/>
      <c r="M2420" s="149"/>
      <c r="N2420" s="149"/>
    </row>
    <row r="2421" spans="8:14">
      <c r="H2421" s="2"/>
      <c r="K2421" s="149"/>
      <c r="L2421" s="149"/>
      <c r="M2421" s="149"/>
      <c r="N2421" s="149"/>
    </row>
    <row r="2422" spans="8:14">
      <c r="H2422" s="2"/>
      <c r="K2422" s="149"/>
      <c r="L2422" s="149"/>
      <c r="M2422" s="149"/>
      <c r="N2422" s="149"/>
    </row>
    <row r="2423" spans="8:14">
      <c r="H2423" s="2"/>
      <c r="K2423" s="149"/>
      <c r="L2423" s="149"/>
      <c r="M2423" s="149"/>
      <c r="N2423" s="149"/>
    </row>
    <row r="2424" spans="8:14">
      <c r="H2424" s="2"/>
      <c r="K2424" s="149"/>
      <c r="L2424" s="149"/>
      <c r="M2424" s="149"/>
      <c r="N2424" s="149"/>
    </row>
    <row r="2425" spans="8:14">
      <c r="H2425" s="2"/>
      <c r="I2425" s="2"/>
      <c r="K2425" s="149"/>
      <c r="L2425" s="149"/>
      <c r="M2425" s="149"/>
      <c r="N2425" s="149"/>
    </row>
    <row r="2426" spans="8:14">
      <c r="H2426" s="2"/>
      <c r="K2426" s="149"/>
      <c r="L2426" s="149"/>
      <c r="M2426" s="149"/>
      <c r="N2426" s="149"/>
    </row>
    <row r="2427" spans="8:14">
      <c r="H2427" s="2"/>
      <c r="I2427" s="2"/>
      <c r="K2427" s="149"/>
      <c r="L2427" s="149"/>
      <c r="M2427" s="149"/>
      <c r="N2427" s="149"/>
    </row>
    <row r="2428" spans="8:14">
      <c r="H2428" s="2"/>
      <c r="K2428" s="149"/>
      <c r="L2428" s="149"/>
      <c r="M2428" s="149"/>
      <c r="N2428" s="149"/>
    </row>
    <row r="2429" spans="8:14">
      <c r="H2429" s="2"/>
      <c r="K2429" s="149"/>
      <c r="L2429" s="149"/>
      <c r="M2429" s="149"/>
      <c r="N2429" s="149"/>
    </row>
    <row r="2430" spans="8:14">
      <c r="H2430" s="2"/>
      <c r="I2430" s="2"/>
      <c r="K2430" s="149"/>
      <c r="L2430" s="149"/>
      <c r="M2430" s="149"/>
      <c r="N2430" s="149"/>
    </row>
    <row r="2431" spans="8:14">
      <c r="H2431" s="2"/>
      <c r="I2431" s="2"/>
      <c r="K2431" s="149"/>
      <c r="L2431" s="149"/>
      <c r="M2431" s="149"/>
      <c r="N2431" s="149"/>
    </row>
    <row r="2432" spans="8:14">
      <c r="H2432" s="2"/>
      <c r="I2432" s="2"/>
      <c r="K2432" s="149"/>
      <c r="L2432" s="149"/>
      <c r="M2432" s="149"/>
      <c r="N2432" s="149"/>
    </row>
    <row r="2433" spans="8:14">
      <c r="H2433" s="2"/>
      <c r="K2433" s="149"/>
      <c r="L2433" s="149"/>
      <c r="M2433" s="149"/>
      <c r="N2433" s="149"/>
    </row>
    <row r="2434" spans="8:14">
      <c r="H2434" s="2"/>
      <c r="K2434" s="149"/>
      <c r="L2434" s="149"/>
      <c r="M2434" s="149"/>
      <c r="N2434" s="149"/>
    </row>
    <row r="2435" spans="8:14">
      <c r="H2435" s="2"/>
      <c r="I2435" s="2"/>
      <c r="K2435" s="149"/>
      <c r="L2435" s="149"/>
      <c r="M2435" s="149"/>
      <c r="N2435" s="149"/>
    </row>
    <row r="2436" spans="8:14">
      <c r="H2436" s="2"/>
      <c r="K2436" s="149"/>
      <c r="L2436" s="149"/>
      <c r="M2436" s="149"/>
      <c r="N2436" s="149"/>
    </row>
    <row r="2437" spans="8:14">
      <c r="H2437" s="2"/>
      <c r="K2437" s="149"/>
      <c r="L2437" s="149"/>
      <c r="M2437" s="149"/>
      <c r="N2437" s="149"/>
    </row>
    <row r="2438" spans="8:14">
      <c r="H2438" s="2"/>
      <c r="I2438" s="2"/>
      <c r="K2438" s="149"/>
      <c r="L2438" s="149"/>
      <c r="M2438" s="149"/>
      <c r="N2438" s="149"/>
    </row>
    <row r="2439" spans="8:14">
      <c r="H2439" s="2"/>
      <c r="K2439" s="149"/>
      <c r="L2439" s="149"/>
      <c r="M2439" s="149"/>
      <c r="N2439" s="149"/>
    </row>
    <row r="2440" spans="8:14">
      <c r="H2440" s="2"/>
      <c r="K2440" s="149"/>
      <c r="L2440" s="149"/>
      <c r="M2440" s="149"/>
      <c r="N2440" s="149"/>
    </row>
    <row r="2441" spans="8:14">
      <c r="H2441" s="2"/>
      <c r="K2441" s="149"/>
      <c r="L2441" s="149"/>
      <c r="M2441" s="149"/>
      <c r="N2441" s="149"/>
    </row>
    <row r="2442" spans="8:14">
      <c r="H2442" s="2"/>
      <c r="K2442" s="149"/>
      <c r="L2442" s="149"/>
      <c r="M2442" s="149"/>
      <c r="N2442" s="149"/>
    </row>
    <row r="2443" spans="8:14">
      <c r="H2443" s="2"/>
      <c r="K2443" s="149"/>
      <c r="L2443" s="149"/>
      <c r="M2443" s="149"/>
      <c r="N2443" s="149"/>
    </row>
    <row r="2444" spans="8:14">
      <c r="H2444" s="2"/>
      <c r="K2444" s="149"/>
      <c r="L2444" s="149"/>
      <c r="M2444" s="149"/>
      <c r="N2444" s="149"/>
    </row>
    <row r="2445" spans="8:14">
      <c r="H2445" s="2"/>
      <c r="K2445" s="149"/>
      <c r="L2445" s="149"/>
      <c r="M2445" s="149"/>
      <c r="N2445" s="149"/>
    </row>
    <row r="2446" spans="8:14">
      <c r="H2446" s="2"/>
      <c r="K2446" s="149"/>
      <c r="L2446" s="149"/>
      <c r="M2446" s="149"/>
      <c r="N2446" s="149"/>
    </row>
    <row r="2447" spans="8:14">
      <c r="H2447" s="2"/>
      <c r="I2447" s="2"/>
      <c r="K2447" s="149"/>
      <c r="L2447" s="149"/>
      <c r="M2447" s="149"/>
      <c r="N2447" s="149"/>
    </row>
    <row r="2448" spans="8:14">
      <c r="H2448" s="2"/>
      <c r="K2448" s="149"/>
      <c r="L2448" s="149"/>
      <c r="M2448" s="149"/>
      <c r="N2448" s="149"/>
    </row>
    <row r="2449" spans="8:14">
      <c r="H2449" s="2"/>
      <c r="K2449" s="149"/>
      <c r="L2449" s="149"/>
      <c r="M2449" s="149"/>
      <c r="N2449" s="149"/>
    </row>
    <row r="2450" spans="8:14">
      <c r="H2450" s="2"/>
      <c r="K2450" s="149"/>
      <c r="L2450" s="149"/>
      <c r="M2450" s="149"/>
      <c r="N2450" s="149"/>
    </row>
    <row r="2451" spans="8:14">
      <c r="H2451" s="2"/>
      <c r="K2451" s="149"/>
      <c r="L2451" s="149"/>
      <c r="M2451" s="149"/>
      <c r="N2451" s="149"/>
    </row>
    <row r="2452" spans="8:14">
      <c r="H2452" s="2"/>
      <c r="K2452" s="149"/>
      <c r="L2452" s="149"/>
      <c r="M2452" s="149"/>
      <c r="N2452" s="149"/>
    </row>
    <row r="2453" spans="8:14">
      <c r="H2453" s="2"/>
      <c r="K2453" s="149"/>
      <c r="L2453" s="149"/>
      <c r="M2453" s="149"/>
      <c r="N2453" s="149"/>
    </row>
    <row r="2454" spans="8:14">
      <c r="H2454" s="2"/>
      <c r="K2454" s="149"/>
      <c r="L2454" s="149"/>
      <c r="M2454" s="149"/>
      <c r="N2454" s="149"/>
    </row>
    <row r="2455" spans="8:14">
      <c r="H2455" s="2"/>
      <c r="K2455" s="149"/>
      <c r="L2455" s="149"/>
      <c r="M2455" s="149"/>
      <c r="N2455" s="149"/>
    </row>
    <row r="2456" spans="8:14">
      <c r="H2456" s="2"/>
      <c r="K2456" s="149"/>
      <c r="L2456" s="149"/>
      <c r="M2456" s="149"/>
      <c r="N2456" s="149"/>
    </row>
    <row r="2457" spans="8:14">
      <c r="H2457" s="2"/>
      <c r="K2457" s="149"/>
      <c r="L2457" s="149"/>
      <c r="M2457" s="149"/>
      <c r="N2457" s="149"/>
    </row>
    <row r="2458" spans="8:14">
      <c r="H2458" s="2"/>
      <c r="K2458" s="149"/>
      <c r="L2458" s="149"/>
      <c r="M2458" s="149"/>
      <c r="N2458" s="149"/>
    </row>
    <row r="2459" spans="8:14">
      <c r="H2459" s="2"/>
      <c r="K2459" s="149"/>
      <c r="L2459" s="149"/>
      <c r="M2459" s="149"/>
      <c r="N2459" s="149"/>
    </row>
    <row r="2460" spans="8:14">
      <c r="H2460" s="2"/>
      <c r="K2460" s="149"/>
      <c r="L2460" s="149"/>
      <c r="M2460" s="149"/>
      <c r="N2460" s="149"/>
    </row>
    <row r="2461" spans="8:14">
      <c r="H2461" s="2"/>
      <c r="I2461" s="2"/>
      <c r="K2461" s="149"/>
      <c r="L2461" s="149"/>
      <c r="M2461" s="149"/>
      <c r="N2461" s="149"/>
    </row>
    <row r="2462" spans="8:14">
      <c r="H2462" s="2"/>
      <c r="K2462" s="149"/>
      <c r="L2462" s="149"/>
      <c r="M2462" s="149"/>
      <c r="N2462" s="149"/>
    </row>
    <row r="2463" spans="8:14">
      <c r="H2463" s="2"/>
      <c r="K2463" s="149"/>
      <c r="L2463" s="149"/>
      <c r="M2463" s="149"/>
      <c r="N2463" s="149"/>
    </row>
    <row r="2464" spans="8:14">
      <c r="H2464" s="2"/>
      <c r="K2464" s="149"/>
      <c r="L2464" s="149"/>
      <c r="M2464" s="149"/>
      <c r="N2464" s="149"/>
    </row>
    <row r="2465" spans="8:14">
      <c r="H2465" s="2"/>
      <c r="K2465" s="149"/>
      <c r="L2465" s="149"/>
      <c r="M2465" s="149"/>
      <c r="N2465" s="149"/>
    </row>
    <row r="2466" spans="8:14">
      <c r="H2466" s="2"/>
      <c r="K2466" s="149"/>
      <c r="L2466" s="149"/>
      <c r="M2466" s="149"/>
      <c r="N2466" s="149"/>
    </row>
    <row r="2467" spans="8:14">
      <c r="H2467" s="2"/>
      <c r="I2467" s="2"/>
      <c r="K2467" s="149"/>
      <c r="L2467" s="149"/>
      <c r="M2467" s="149"/>
      <c r="N2467" s="149"/>
    </row>
    <row r="2468" spans="8:14">
      <c r="H2468" s="2"/>
      <c r="I2468" s="2"/>
      <c r="K2468" s="149"/>
      <c r="L2468" s="149"/>
      <c r="M2468" s="149"/>
      <c r="N2468" s="149"/>
    </row>
    <row r="2469" spans="8:14">
      <c r="H2469" s="2"/>
      <c r="K2469" s="149"/>
      <c r="L2469" s="149"/>
      <c r="M2469" s="149"/>
      <c r="N2469" s="149"/>
    </row>
    <row r="2470" spans="8:14">
      <c r="H2470" s="2"/>
      <c r="I2470" s="2"/>
      <c r="K2470" s="149"/>
      <c r="L2470" s="149"/>
      <c r="M2470" s="149"/>
      <c r="N2470" s="149"/>
    </row>
    <row r="2471" spans="8:14">
      <c r="H2471" s="2"/>
      <c r="I2471" s="2"/>
      <c r="K2471" s="149"/>
      <c r="L2471" s="149"/>
      <c r="M2471" s="149"/>
      <c r="N2471" s="149"/>
    </row>
    <row r="2472" spans="8:14">
      <c r="H2472" s="2"/>
      <c r="K2472" s="149"/>
      <c r="L2472" s="149"/>
      <c r="M2472" s="149"/>
      <c r="N2472" s="149"/>
    </row>
    <row r="2473" spans="8:14">
      <c r="H2473" s="2"/>
      <c r="I2473" s="2"/>
      <c r="K2473" s="149"/>
      <c r="L2473" s="149"/>
      <c r="M2473" s="149"/>
      <c r="N2473" s="149"/>
    </row>
    <row r="2474" spans="8:14">
      <c r="H2474" s="2"/>
      <c r="K2474" s="149"/>
      <c r="L2474" s="149"/>
      <c r="M2474" s="149"/>
      <c r="N2474" s="149"/>
    </row>
    <row r="2475" spans="8:14">
      <c r="H2475" s="2"/>
      <c r="K2475" s="149"/>
      <c r="L2475" s="149"/>
      <c r="M2475" s="149"/>
      <c r="N2475" s="149"/>
    </row>
    <row r="2476" spans="8:14">
      <c r="H2476" s="2"/>
      <c r="I2476" s="2"/>
      <c r="K2476" s="149"/>
      <c r="L2476" s="149"/>
      <c r="M2476" s="149"/>
      <c r="N2476" s="149"/>
    </row>
    <row r="2477" spans="8:14">
      <c r="H2477" s="2"/>
      <c r="K2477" s="149"/>
      <c r="L2477" s="149"/>
      <c r="M2477" s="149"/>
      <c r="N2477" s="149"/>
    </row>
    <row r="2478" spans="8:14">
      <c r="H2478" s="2"/>
      <c r="K2478" s="149"/>
      <c r="L2478" s="149"/>
      <c r="M2478" s="149"/>
      <c r="N2478" s="149"/>
    </row>
    <row r="2479" spans="8:14">
      <c r="H2479" s="2"/>
      <c r="K2479" s="149"/>
      <c r="L2479" s="149"/>
      <c r="M2479" s="149"/>
      <c r="N2479" s="149"/>
    </row>
    <row r="2480" spans="8:14">
      <c r="H2480" s="2"/>
      <c r="K2480" s="149"/>
      <c r="L2480" s="149"/>
      <c r="M2480" s="149"/>
      <c r="N2480" s="149"/>
    </row>
    <row r="2481" spans="8:14">
      <c r="H2481" s="2"/>
      <c r="K2481" s="149"/>
      <c r="L2481" s="149"/>
      <c r="M2481" s="149"/>
      <c r="N2481" s="149"/>
    </row>
    <row r="2482" spans="8:14">
      <c r="H2482" s="2"/>
      <c r="K2482" s="149"/>
      <c r="L2482" s="149"/>
      <c r="M2482" s="149"/>
      <c r="N2482" s="149"/>
    </row>
    <row r="2483" spans="8:14">
      <c r="H2483" s="2"/>
      <c r="I2483" s="2"/>
      <c r="K2483" s="149"/>
      <c r="L2483" s="149"/>
      <c r="M2483" s="149"/>
      <c r="N2483" s="149"/>
    </row>
    <row r="2484" spans="8:14">
      <c r="H2484" s="2"/>
      <c r="K2484" s="149"/>
      <c r="L2484" s="149"/>
      <c r="M2484" s="149"/>
      <c r="N2484" s="149"/>
    </row>
    <row r="2485" spans="8:14">
      <c r="H2485" s="2"/>
      <c r="K2485" s="149"/>
      <c r="L2485" s="149"/>
      <c r="M2485" s="149"/>
      <c r="N2485" s="149"/>
    </row>
    <row r="2486" spans="8:14">
      <c r="H2486" s="2"/>
      <c r="K2486" s="149"/>
      <c r="L2486" s="149"/>
      <c r="M2486" s="149"/>
      <c r="N2486" s="149"/>
    </row>
    <row r="2487" spans="8:14">
      <c r="H2487" s="2"/>
      <c r="I2487" s="2"/>
      <c r="K2487" s="149"/>
      <c r="L2487" s="149"/>
      <c r="M2487" s="149"/>
      <c r="N2487" s="149"/>
    </row>
    <row r="2488" spans="8:14">
      <c r="H2488" s="2"/>
      <c r="K2488" s="149"/>
      <c r="L2488" s="149"/>
      <c r="M2488" s="149"/>
      <c r="N2488" s="149"/>
    </row>
    <row r="2489" spans="8:14">
      <c r="H2489" s="2"/>
      <c r="K2489" s="149"/>
      <c r="L2489" s="149"/>
      <c r="M2489" s="149"/>
      <c r="N2489" s="149"/>
    </row>
    <row r="2490" spans="8:14">
      <c r="H2490" s="2"/>
      <c r="K2490" s="149"/>
      <c r="L2490" s="149"/>
      <c r="M2490" s="149"/>
      <c r="N2490" s="149"/>
    </row>
    <row r="2491" spans="8:14">
      <c r="H2491" s="2"/>
      <c r="K2491" s="149"/>
      <c r="L2491" s="149"/>
      <c r="M2491" s="149"/>
      <c r="N2491" s="149"/>
    </row>
    <row r="2492" spans="8:14">
      <c r="H2492" s="2"/>
      <c r="K2492" s="149"/>
      <c r="L2492" s="149"/>
      <c r="M2492" s="149"/>
      <c r="N2492" s="149"/>
    </row>
    <row r="2493" spans="8:14">
      <c r="H2493" s="2"/>
      <c r="K2493" s="149"/>
      <c r="L2493" s="149"/>
      <c r="M2493" s="149"/>
      <c r="N2493" s="149"/>
    </row>
    <row r="2494" spans="8:14">
      <c r="H2494" s="2"/>
      <c r="K2494" s="149"/>
      <c r="L2494" s="149"/>
      <c r="M2494" s="149"/>
      <c r="N2494" s="149"/>
    </row>
    <row r="2495" spans="8:14">
      <c r="H2495" s="2"/>
      <c r="K2495" s="149"/>
      <c r="L2495" s="149"/>
      <c r="M2495" s="149"/>
      <c r="N2495" s="149"/>
    </row>
    <row r="2496" spans="8:14">
      <c r="H2496" s="2"/>
      <c r="K2496" s="149"/>
      <c r="L2496" s="149"/>
      <c r="M2496" s="149"/>
      <c r="N2496" s="149"/>
    </row>
    <row r="2497" spans="8:14">
      <c r="H2497" s="2"/>
      <c r="K2497" s="149"/>
      <c r="L2497" s="149"/>
      <c r="M2497" s="149"/>
      <c r="N2497" s="149"/>
    </row>
    <row r="2498" spans="8:14">
      <c r="H2498" s="2"/>
      <c r="I2498" s="2"/>
      <c r="K2498" s="149"/>
      <c r="L2498" s="149"/>
      <c r="M2498" s="149"/>
      <c r="N2498" s="149"/>
    </row>
    <row r="2499" spans="8:14">
      <c r="H2499" s="2"/>
      <c r="K2499" s="149"/>
      <c r="L2499" s="149"/>
      <c r="M2499" s="149"/>
      <c r="N2499" s="149"/>
    </row>
    <row r="2500" spans="8:14">
      <c r="H2500" s="2"/>
      <c r="I2500" s="2"/>
      <c r="K2500" s="149"/>
      <c r="L2500" s="149"/>
      <c r="M2500" s="149"/>
      <c r="N2500" s="149"/>
    </row>
    <row r="2501" spans="8:14">
      <c r="H2501" s="2"/>
      <c r="I2501" s="2"/>
      <c r="K2501" s="149"/>
      <c r="L2501" s="149"/>
      <c r="M2501" s="149"/>
      <c r="N2501" s="149"/>
    </row>
    <row r="2502" spans="8:14">
      <c r="H2502" s="2"/>
      <c r="I2502" s="2"/>
      <c r="K2502" s="149"/>
      <c r="L2502" s="149"/>
      <c r="M2502" s="149"/>
      <c r="N2502" s="149"/>
    </row>
    <row r="2503" spans="8:14">
      <c r="H2503" s="2"/>
      <c r="I2503" s="2"/>
      <c r="K2503" s="149"/>
      <c r="L2503" s="149"/>
      <c r="M2503" s="149"/>
      <c r="N2503" s="149"/>
    </row>
    <row r="2504" spans="8:14">
      <c r="H2504" s="2"/>
      <c r="K2504" s="149"/>
      <c r="L2504" s="149"/>
      <c r="M2504" s="149"/>
      <c r="N2504" s="149"/>
    </row>
    <row r="2505" spans="8:14">
      <c r="H2505" s="2"/>
      <c r="I2505" s="2"/>
      <c r="K2505" s="149"/>
      <c r="L2505" s="149"/>
      <c r="M2505" s="149"/>
      <c r="N2505" s="149"/>
    </row>
    <row r="2506" spans="8:14">
      <c r="H2506" s="2"/>
      <c r="K2506" s="149"/>
      <c r="L2506" s="149"/>
      <c r="M2506" s="149"/>
      <c r="N2506" s="149"/>
    </row>
    <row r="2507" spans="8:14">
      <c r="H2507" s="2"/>
      <c r="I2507" s="2"/>
      <c r="K2507" s="149"/>
      <c r="L2507" s="149"/>
      <c r="M2507" s="149"/>
      <c r="N2507" s="149"/>
    </row>
    <row r="2508" spans="8:14">
      <c r="H2508" s="2"/>
      <c r="K2508" s="149"/>
      <c r="L2508" s="149"/>
      <c r="M2508" s="149"/>
      <c r="N2508" s="149"/>
    </row>
    <row r="2509" spans="8:14">
      <c r="H2509" s="2"/>
      <c r="K2509" s="149"/>
      <c r="L2509" s="149"/>
      <c r="M2509" s="149"/>
      <c r="N2509" s="149"/>
    </row>
    <row r="2510" spans="8:14">
      <c r="H2510" s="2"/>
      <c r="K2510" s="149"/>
      <c r="L2510" s="149"/>
      <c r="M2510" s="149"/>
      <c r="N2510" s="149"/>
    </row>
    <row r="2511" spans="8:14">
      <c r="H2511" s="2"/>
      <c r="K2511" s="149"/>
      <c r="L2511" s="149"/>
      <c r="M2511" s="149"/>
      <c r="N2511" s="149"/>
    </row>
    <row r="2512" spans="8:14">
      <c r="H2512" s="2"/>
      <c r="K2512" s="149"/>
      <c r="L2512" s="149"/>
      <c r="M2512" s="149"/>
      <c r="N2512" s="149"/>
    </row>
    <row r="2513" spans="8:14">
      <c r="H2513" s="2"/>
      <c r="K2513" s="149"/>
      <c r="L2513" s="149"/>
      <c r="M2513" s="149"/>
      <c r="N2513" s="149"/>
    </row>
    <row r="2514" spans="8:14">
      <c r="H2514" s="2"/>
      <c r="K2514" s="149"/>
      <c r="L2514" s="149"/>
      <c r="M2514" s="149"/>
      <c r="N2514" s="149"/>
    </row>
    <row r="2515" spans="8:14">
      <c r="H2515" s="2"/>
      <c r="K2515" s="149"/>
      <c r="L2515" s="149"/>
      <c r="M2515" s="149"/>
      <c r="N2515" s="149"/>
    </row>
    <row r="2516" spans="8:14">
      <c r="H2516" s="2"/>
      <c r="K2516" s="149"/>
      <c r="L2516" s="149"/>
      <c r="M2516" s="149"/>
      <c r="N2516" s="149"/>
    </row>
    <row r="2517" spans="8:14">
      <c r="H2517" s="2"/>
      <c r="K2517" s="149"/>
      <c r="L2517" s="149"/>
      <c r="M2517" s="149"/>
      <c r="N2517" s="149"/>
    </row>
    <row r="2518" spans="8:14">
      <c r="H2518" s="2"/>
      <c r="K2518" s="149"/>
      <c r="L2518" s="149"/>
      <c r="M2518" s="149"/>
      <c r="N2518" s="149"/>
    </row>
    <row r="2519" spans="8:14">
      <c r="H2519" s="2"/>
      <c r="K2519" s="149"/>
      <c r="L2519" s="149"/>
      <c r="M2519" s="149"/>
      <c r="N2519" s="149"/>
    </row>
    <row r="2520" spans="8:14">
      <c r="H2520" s="2"/>
      <c r="K2520" s="149"/>
      <c r="L2520" s="149"/>
      <c r="M2520" s="149"/>
      <c r="N2520" s="149"/>
    </row>
    <row r="2521" spans="8:14">
      <c r="H2521" s="2"/>
      <c r="K2521" s="149"/>
      <c r="L2521" s="149"/>
      <c r="M2521" s="149"/>
      <c r="N2521" s="149"/>
    </row>
    <row r="2522" spans="8:14">
      <c r="H2522" s="2"/>
      <c r="I2522" s="2"/>
      <c r="K2522" s="149"/>
      <c r="L2522" s="149"/>
      <c r="M2522" s="149"/>
      <c r="N2522" s="149"/>
    </row>
    <row r="2523" spans="8:14">
      <c r="H2523" s="2"/>
      <c r="I2523" s="2"/>
      <c r="K2523" s="149"/>
      <c r="L2523" s="149"/>
      <c r="M2523" s="149"/>
      <c r="N2523" s="149"/>
    </row>
    <row r="2524" spans="8:14">
      <c r="H2524" s="2"/>
      <c r="K2524" s="149"/>
      <c r="L2524" s="149"/>
      <c r="M2524" s="149"/>
      <c r="N2524" s="149"/>
    </row>
    <row r="2525" spans="8:14">
      <c r="H2525" s="2"/>
      <c r="K2525" s="149"/>
      <c r="L2525" s="149"/>
      <c r="M2525" s="149"/>
      <c r="N2525" s="149"/>
    </row>
    <row r="2526" spans="8:14">
      <c r="H2526" s="2"/>
      <c r="K2526" s="149"/>
      <c r="L2526" s="149"/>
      <c r="M2526" s="149"/>
      <c r="N2526" s="149"/>
    </row>
    <row r="2527" spans="8:14">
      <c r="H2527" s="2"/>
      <c r="K2527" s="149"/>
      <c r="L2527" s="149"/>
      <c r="M2527" s="149"/>
      <c r="N2527" s="149"/>
    </row>
    <row r="2528" spans="8:14">
      <c r="H2528" s="2"/>
      <c r="K2528" s="149"/>
      <c r="L2528" s="149"/>
      <c r="M2528" s="149"/>
      <c r="N2528" s="149"/>
    </row>
    <row r="2529" spans="8:14">
      <c r="H2529" s="2"/>
      <c r="K2529" s="149"/>
      <c r="L2529" s="149"/>
      <c r="M2529" s="149"/>
      <c r="N2529" s="149"/>
    </row>
    <row r="2530" spans="8:14">
      <c r="H2530" s="2"/>
      <c r="K2530" s="149"/>
      <c r="L2530" s="149"/>
      <c r="M2530" s="149"/>
      <c r="N2530" s="149"/>
    </row>
    <row r="2531" spans="8:14">
      <c r="H2531" s="2"/>
      <c r="K2531" s="149"/>
      <c r="L2531" s="149"/>
      <c r="M2531" s="149"/>
      <c r="N2531" s="149"/>
    </row>
    <row r="2532" spans="8:14">
      <c r="H2532" s="2"/>
      <c r="K2532" s="149"/>
      <c r="L2532" s="149"/>
      <c r="M2532" s="149"/>
      <c r="N2532" s="149"/>
    </row>
    <row r="2533" spans="8:14">
      <c r="H2533" s="2"/>
      <c r="K2533" s="149"/>
      <c r="L2533" s="149"/>
      <c r="M2533" s="149"/>
      <c r="N2533" s="149"/>
    </row>
    <row r="2534" spans="8:14">
      <c r="H2534" s="2"/>
      <c r="I2534" s="2"/>
      <c r="K2534" s="149"/>
      <c r="L2534" s="149"/>
      <c r="M2534" s="149"/>
      <c r="N2534" s="149"/>
    </row>
    <row r="2535" spans="8:14">
      <c r="H2535" s="2"/>
      <c r="K2535" s="149"/>
      <c r="L2535" s="149"/>
      <c r="M2535" s="149"/>
      <c r="N2535" s="149"/>
    </row>
    <row r="2536" spans="8:14">
      <c r="H2536" s="2"/>
      <c r="K2536" s="149"/>
      <c r="L2536" s="149"/>
      <c r="M2536" s="149"/>
      <c r="N2536" s="149"/>
    </row>
    <row r="2537" spans="8:14">
      <c r="H2537" s="2"/>
      <c r="K2537" s="149"/>
      <c r="L2537" s="149"/>
      <c r="M2537" s="149"/>
      <c r="N2537" s="149"/>
    </row>
    <row r="2538" spans="8:14">
      <c r="H2538" s="2"/>
      <c r="K2538" s="149"/>
      <c r="L2538" s="149"/>
      <c r="M2538" s="149"/>
      <c r="N2538" s="149"/>
    </row>
    <row r="2539" spans="8:14">
      <c r="H2539" s="2"/>
      <c r="K2539" s="149"/>
      <c r="L2539" s="149"/>
      <c r="M2539" s="149"/>
      <c r="N2539" s="149"/>
    </row>
    <row r="2540" spans="8:14">
      <c r="H2540" s="2"/>
      <c r="K2540" s="149"/>
      <c r="L2540" s="149"/>
      <c r="M2540" s="149"/>
      <c r="N2540" s="149"/>
    </row>
    <row r="2541" spans="8:14">
      <c r="H2541" s="2"/>
      <c r="K2541" s="149"/>
      <c r="L2541" s="149"/>
      <c r="M2541" s="149"/>
      <c r="N2541" s="149"/>
    </row>
    <row r="2542" spans="8:14">
      <c r="H2542" s="2"/>
      <c r="K2542" s="149"/>
      <c r="L2542" s="149"/>
      <c r="M2542" s="149"/>
      <c r="N2542" s="149"/>
    </row>
    <row r="2543" spans="8:14">
      <c r="H2543" s="2"/>
      <c r="K2543" s="149"/>
      <c r="L2543" s="149"/>
      <c r="M2543" s="149"/>
      <c r="N2543" s="149"/>
    </row>
    <row r="2544" spans="8:14">
      <c r="H2544" s="2"/>
      <c r="K2544" s="149"/>
      <c r="L2544" s="149"/>
      <c r="M2544" s="149"/>
      <c r="N2544" s="149"/>
    </row>
    <row r="2545" spans="8:14">
      <c r="H2545" s="2"/>
      <c r="I2545" s="2"/>
      <c r="K2545" s="149"/>
      <c r="L2545" s="149"/>
      <c r="M2545" s="149"/>
      <c r="N2545" s="149"/>
    </row>
    <row r="2546" spans="8:14">
      <c r="H2546" s="2"/>
      <c r="I2546" s="2"/>
      <c r="K2546" s="149"/>
      <c r="L2546" s="149"/>
      <c r="M2546" s="149"/>
      <c r="N2546" s="149"/>
    </row>
    <row r="2547" spans="8:14">
      <c r="H2547" s="2"/>
      <c r="K2547" s="149"/>
      <c r="L2547" s="149"/>
      <c r="M2547" s="149"/>
      <c r="N2547" s="149"/>
    </row>
    <row r="2548" spans="8:14">
      <c r="H2548" s="2"/>
      <c r="I2548" s="2"/>
      <c r="K2548" s="149"/>
      <c r="L2548" s="149"/>
      <c r="M2548" s="149"/>
      <c r="N2548" s="149"/>
    </row>
    <row r="2549" spans="8:14">
      <c r="H2549" s="2"/>
      <c r="I2549" s="2"/>
      <c r="K2549" s="149"/>
      <c r="L2549" s="149"/>
      <c r="M2549" s="149"/>
      <c r="N2549" s="149"/>
    </row>
    <row r="2550" spans="8:14">
      <c r="H2550" s="2"/>
      <c r="I2550" s="2"/>
      <c r="K2550" s="149"/>
      <c r="L2550" s="149"/>
      <c r="M2550" s="149"/>
      <c r="N2550" s="149"/>
    </row>
    <row r="2551" spans="8:14">
      <c r="H2551" s="2"/>
      <c r="I2551" s="2"/>
      <c r="K2551" s="149"/>
      <c r="L2551" s="149"/>
      <c r="M2551" s="149"/>
      <c r="N2551" s="149"/>
    </row>
    <row r="2552" spans="8:14">
      <c r="H2552" s="2"/>
      <c r="I2552" s="2"/>
      <c r="K2552" s="149"/>
      <c r="L2552" s="149"/>
      <c r="M2552" s="149"/>
      <c r="N2552" s="149"/>
    </row>
    <row r="2553" spans="8:14">
      <c r="H2553" s="2"/>
      <c r="I2553" s="2"/>
      <c r="K2553" s="149"/>
      <c r="L2553" s="149"/>
      <c r="M2553" s="149"/>
      <c r="N2553" s="149"/>
    </row>
    <row r="2554" spans="8:14">
      <c r="H2554" s="2"/>
      <c r="K2554" s="149"/>
      <c r="L2554" s="149"/>
      <c r="M2554" s="149"/>
      <c r="N2554" s="149"/>
    </row>
    <row r="2555" spans="8:14">
      <c r="H2555" s="2"/>
      <c r="K2555" s="149"/>
      <c r="L2555" s="149"/>
      <c r="M2555" s="149"/>
      <c r="N2555" s="149"/>
    </row>
    <row r="2556" spans="8:14">
      <c r="H2556" s="2"/>
      <c r="K2556" s="149"/>
      <c r="L2556" s="149"/>
      <c r="M2556" s="149"/>
      <c r="N2556" s="149"/>
    </row>
    <row r="2557" spans="8:14">
      <c r="H2557" s="2"/>
      <c r="I2557" s="2"/>
      <c r="K2557" s="149"/>
      <c r="L2557" s="149"/>
      <c r="M2557" s="149"/>
      <c r="N2557" s="149"/>
    </row>
    <row r="2558" spans="8:14">
      <c r="H2558" s="2"/>
      <c r="K2558" s="149"/>
      <c r="L2558" s="149"/>
      <c r="M2558" s="149"/>
      <c r="N2558" s="149"/>
    </row>
    <row r="2559" spans="8:14">
      <c r="H2559" s="2"/>
      <c r="K2559" s="149"/>
      <c r="L2559" s="149"/>
      <c r="M2559" s="149"/>
      <c r="N2559" s="149"/>
    </row>
    <row r="2560" spans="8:14">
      <c r="H2560" s="2"/>
      <c r="K2560" s="149"/>
      <c r="L2560" s="149"/>
      <c r="M2560" s="149"/>
      <c r="N2560" s="149"/>
    </row>
    <row r="2561" spans="8:14">
      <c r="H2561" s="2"/>
      <c r="K2561" s="149"/>
      <c r="L2561" s="149"/>
      <c r="M2561" s="149"/>
      <c r="N2561" s="149"/>
    </row>
    <row r="2562" spans="8:14">
      <c r="H2562" s="2"/>
      <c r="K2562" s="149"/>
      <c r="L2562" s="149"/>
      <c r="M2562" s="149"/>
      <c r="N2562" s="149"/>
    </row>
    <row r="2563" spans="8:14">
      <c r="H2563" s="2"/>
      <c r="K2563" s="149"/>
      <c r="L2563" s="149"/>
      <c r="M2563" s="149"/>
      <c r="N2563" s="149"/>
    </row>
    <row r="2564" spans="8:14">
      <c r="H2564" s="2"/>
      <c r="I2564" s="2"/>
      <c r="K2564" s="149"/>
      <c r="L2564" s="149"/>
      <c r="M2564" s="149"/>
      <c r="N2564" s="149"/>
    </row>
    <row r="2565" spans="8:14">
      <c r="H2565" s="2"/>
      <c r="K2565" s="149"/>
      <c r="L2565" s="149"/>
      <c r="M2565" s="149"/>
      <c r="N2565" s="149"/>
    </row>
    <row r="2566" spans="8:14">
      <c r="H2566" s="2"/>
      <c r="I2566" s="2"/>
      <c r="K2566" s="149"/>
      <c r="L2566" s="149"/>
      <c r="M2566" s="149"/>
      <c r="N2566" s="149"/>
    </row>
    <row r="2567" spans="8:14">
      <c r="H2567" s="2"/>
      <c r="K2567" s="149"/>
      <c r="L2567" s="149"/>
      <c r="M2567" s="149"/>
      <c r="N2567" s="149"/>
    </row>
    <row r="2568" spans="8:14">
      <c r="H2568" s="2"/>
      <c r="I2568" s="2"/>
      <c r="K2568" s="149"/>
      <c r="L2568" s="149"/>
      <c r="M2568" s="149"/>
      <c r="N2568" s="149"/>
    </row>
    <row r="2569" spans="8:14">
      <c r="H2569" s="2"/>
      <c r="K2569" s="149"/>
      <c r="L2569" s="149"/>
      <c r="M2569" s="149"/>
      <c r="N2569" s="149"/>
    </row>
    <row r="2570" spans="8:14">
      <c r="H2570" s="2"/>
      <c r="J2570" s="2"/>
      <c r="K2570" s="149"/>
      <c r="L2570" s="149"/>
      <c r="M2570" s="149"/>
      <c r="N2570" s="149"/>
    </row>
    <row r="2571" spans="8:14">
      <c r="H2571" s="2"/>
      <c r="K2571" s="149"/>
      <c r="L2571" s="149"/>
      <c r="M2571" s="149"/>
      <c r="N2571" s="149"/>
    </row>
    <row r="2572" spans="8:14">
      <c r="H2572" s="2"/>
      <c r="K2572" s="149"/>
      <c r="L2572" s="149"/>
      <c r="M2572" s="149"/>
      <c r="N2572" s="149"/>
    </row>
    <row r="2573" spans="8:14">
      <c r="H2573" s="2"/>
      <c r="K2573" s="149"/>
      <c r="L2573" s="149"/>
      <c r="M2573" s="149"/>
      <c r="N2573" s="149"/>
    </row>
    <row r="2574" spans="8:14">
      <c r="H2574" s="2"/>
      <c r="K2574" s="149"/>
      <c r="L2574" s="149"/>
      <c r="M2574" s="149"/>
      <c r="N2574" s="149"/>
    </row>
    <row r="2575" spans="8:14">
      <c r="H2575" s="2"/>
      <c r="K2575" s="149"/>
      <c r="L2575" s="149"/>
      <c r="M2575" s="149"/>
      <c r="N2575" s="149"/>
    </row>
    <row r="2576" spans="8:14">
      <c r="H2576" s="2"/>
      <c r="K2576" s="149"/>
      <c r="L2576" s="149"/>
      <c r="M2576" s="149"/>
      <c r="N2576" s="149"/>
    </row>
    <row r="2577" spans="8:14">
      <c r="H2577" s="2"/>
      <c r="K2577" s="149"/>
      <c r="L2577" s="149"/>
      <c r="M2577" s="149"/>
      <c r="N2577" s="149"/>
    </row>
    <row r="2578" spans="8:14">
      <c r="H2578" s="2"/>
      <c r="K2578" s="149"/>
      <c r="L2578" s="149"/>
      <c r="M2578" s="149"/>
      <c r="N2578" s="149"/>
    </row>
    <row r="2579" spans="8:14">
      <c r="H2579" s="2"/>
      <c r="K2579" s="149"/>
      <c r="L2579" s="149"/>
      <c r="M2579" s="149"/>
      <c r="N2579" s="149"/>
    </row>
    <row r="2580" spans="8:14">
      <c r="H2580" s="2"/>
      <c r="I2580" s="2"/>
      <c r="K2580" s="149"/>
      <c r="L2580" s="149"/>
      <c r="M2580" s="149"/>
      <c r="N2580" s="149"/>
    </row>
    <row r="2581" spans="8:14">
      <c r="H2581" s="2"/>
      <c r="K2581" s="149"/>
      <c r="L2581" s="149"/>
      <c r="M2581" s="149"/>
      <c r="N2581" s="149"/>
    </row>
    <row r="2582" spans="8:14">
      <c r="H2582" s="2"/>
      <c r="I2582" s="2"/>
      <c r="K2582" s="149"/>
      <c r="L2582" s="149"/>
      <c r="M2582" s="149"/>
      <c r="N2582" s="149"/>
    </row>
    <row r="2583" spans="8:14">
      <c r="H2583" s="2"/>
      <c r="I2583" s="2"/>
      <c r="K2583" s="149"/>
      <c r="L2583" s="149"/>
      <c r="M2583" s="149"/>
      <c r="N2583" s="149"/>
    </row>
    <row r="2584" spans="8:14">
      <c r="H2584" s="2"/>
      <c r="K2584" s="149"/>
      <c r="L2584" s="149"/>
      <c r="M2584" s="149"/>
      <c r="N2584" s="149"/>
    </row>
    <row r="2585" spans="8:14">
      <c r="H2585" s="2"/>
      <c r="I2585" s="2"/>
      <c r="J2585" s="2"/>
      <c r="K2585" s="149"/>
      <c r="L2585" s="149"/>
      <c r="M2585" s="149"/>
      <c r="N2585" s="149"/>
    </row>
    <row r="2586" spans="8:14">
      <c r="H2586" s="2"/>
      <c r="I2586" s="2"/>
      <c r="K2586" s="149"/>
      <c r="L2586" s="149"/>
      <c r="M2586" s="149"/>
      <c r="N2586" s="149"/>
    </row>
    <row r="2587" spans="8:14">
      <c r="H2587" s="2"/>
      <c r="I2587" s="2"/>
      <c r="K2587" s="149"/>
      <c r="L2587" s="149"/>
      <c r="M2587" s="149"/>
      <c r="N2587" s="149"/>
    </row>
    <row r="2588" spans="8:14">
      <c r="H2588" s="2"/>
      <c r="K2588" s="149"/>
      <c r="L2588" s="149"/>
      <c r="M2588" s="149"/>
      <c r="N2588" s="149"/>
    </row>
    <row r="2589" spans="8:14">
      <c r="H2589" s="2"/>
      <c r="K2589" s="149"/>
      <c r="L2589" s="149"/>
      <c r="M2589" s="149"/>
      <c r="N2589" s="149"/>
    </row>
    <row r="2590" spans="8:14">
      <c r="H2590" s="2"/>
      <c r="I2590" s="2"/>
      <c r="K2590" s="149"/>
      <c r="L2590" s="149"/>
      <c r="M2590" s="149"/>
      <c r="N2590" s="149"/>
    </row>
    <row r="2591" spans="8:14">
      <c r="H2591" s="2"/>
      <c r="I2591" s="2"/>
      <c r="K2591" s="149"/>
      <c r="L2591" s="149"/>
      <c r="M2591" s="149"/>
      <c r="N2591" s="149"/>
    </row>
    <row r="2592" spans="8:14">
      <c r="H2592" s="2"/>
      <c r="I2592" s="2"/>
      <c r="K2592" s="149"/>
      <c r="L2592" s="149"/>
      <c r="M2592" s="149"/>
      <c r="N2592" s="149"/>
    </row>
    <row r="2593" spans="8:14">
      <c r="H2593" s="2"/>
      <c r="K2593" s="149"/>
      <c r="L2593" s="149"/>
      <c r="M2593" s="149"/>
      <c r="N2593" s="149"/>
    </row>
    <row r="2594" spans="8:14">
      <c r="H2594" s="2"/>
      <c r="K2594" s="149"/>
      <c r="L2594" s="149"/>
      <c r="M2594" s="149"/>
      <c r="N2594" s="149"/>
    </row>
    <row r="2595" spans="8:14">
      <c r="H2595" s="2"/>
      <c r="K2595" s="149"/>
      <c r="L2595" s="149"/>
      <c r="M2595" s="149"/>
      <c r="N2595" s="149"/>
    </row>
    <row r="2596" spans="8:14">
      <c r="H2596" s="2"/>
      <c r="K2596" s="149"/>
      <c r="L2596" s="149"/>
      <c r="M2596" s="149"/>
      <c r="N2596" s="149"/>
    </row>
    <row r="2597" spans="8:14">
      <c r="H2597" s="2"/>
      <c r="K2597" s="149"/>
      <c r="L2597" s="149"/>
      <c r="M2597" s="149"/>
      <c r="N2597" s="149"/>
    </row>
    <row r="2598" spans="8:14">
      <c r="H2598" s="2"/>
      <c r="K2598" s="149"/>
      <c r="L2598" s="149"/>
      <c r="M2598" s="149"/>
      <c r="N2598" s="149"/>
    </row>
    <row r="2599" spans="8:14">
      <c r="H2599" s="2"/>
      <c r="K2599" s="149"/>
      <c r="L2599" s="149"/>
      <c r="M2599" s="149"/>
      <c r="N2599" s="149"/>
    </row>
    <row r="2600" spans="8:14">
      <c r="H2600" s="2"/>
      <c r="I2600" s="2"/>
      <c r="K2600" s="149"/>
      <c r="L2600" s="149"/>
      <c r="M2600" s="149"/>
      <c r="N2600" s="149"/>
    </row>
    <row r="2601" spans="8:14">
      <c r="H2601" s="2"/>
      <c r="K2601" s="149"/>
      <c r="L2601" s="149"/>
      <c r="M2601" s="149"/>
      <c r="N2601" s="149"/>
    </row>
    <row r="2602" spans="8:14">
      <c r="H2602" s="2"/>
      <c r="K2602" s="149"/>
      <c r="L2602" s="149"/>
      <c r="M2602" s="149"/>
      <c r="N2602" s="149"/>
    </row>
    <row r="2603" spans="8:14">
      <c r="H2603" s="2"/>
      <c r="K2603" s="149"/>
      <c r="L2603" s="149"/>
      <c r="M2603" s="149"/>
      <c r="N2603" s="149"/>
    </row>
    <row r="2604" spans="8:14">
      <c r="H2604" s="2"/>
      <c r="K2604" s="149"/>
      <c r="L2604" s="149"/>
      <c r="M2604" s="149"/>
      <c r="N2604" s="149"/>
    </row>
    <row r="2605" spans="8:14">
      <c r="H2605" s="2"/>
      <c r="K2605" s="149"/>
      <c r="L2605" s="149"/>
      <c r="M2605" s="149"/>
      <c r="N2605" s="149"/>
    </row>
    <row r="2606" spans="8:14">
      <c r="H2606" s="2"/>
      <c r="I2606" s="2"/>
      <c r="K2606" s="149"/>
      <c r="L2606" s="149"/>
      <c r="M2606" s="149"/>
      <c r="N2606" s="149"/>
    </row>
    <row r="2607" spans="8:14">
      <c r="H2607" s="2"/>
      <c r="K2607" s="149"/>
      <c r="L2607" s="149"/>
      <c r="M2607" s="149"/>
      <c r="N2607" s="149"/>
    </row>
    <row r="2608" spans="8:14">
      <c r="H2608" s="2"/>
      <c r="K2608" s="149"/>
      <c r="L2608" s="149"/>
      <c r="M2608" s="149"/>
      <c r="N2608" s="149"/>
    </row>
    <row r="2609" spans="8:14">
      <c r="H2609" s="2"/>
      <c r="K2609" s="149"/>
      <c r="L2609" s="149"/>
      <c r="M2609" s="149"/>
      <c r="N2609" s="149"/>
    </row>
    <row r="2610" spans="8:14">
      <c r="H2610" s="2"/>
      <c r="K2610" s="149"/>
      <c r="L2610" s="149"/>
      <c r="M2610" s="149"/>
      <c r="N2610" s="149"/>
    </row>
    <row r="2611" spans="8:14">
      <c r="H2611" s="2"/>
      <c r="I2611" s="2"/>
      <c r="K2611" s="149"/>
      <c r="L2611" s="149"/>
      <c r="M2611" s="149"/>
      <c r="N2611" s="149"/>
    </row>
    <row r="2612" spans="8:14">
      <c r="H2612" s="2"/>
      <c r="I2612" s="2"/>
      <c r="K2612" s="149"/>
      <c r="L2612" s="149"/>
      <c r="M2612" s="149"/>
      <c r="N2612" s="149"/>
    </row>
    <row r="2613" spans="8:14">
      <c r="H2613" s="2"/>
      <c r="K2613" s="149"/>
      <c r="L2613" s="149"/>
      <c r="M2613" s="149"/>
      <c r="N2613" s="149"/>
    </row>
    <row r="2614" spans="8:14">
      <c r="H2614" s="2"/>
      <c r="K2614" s="149"/>
      <c r="L2614" s="149"/>
      <c r="M2614" s="149"/>
      <c r="N2614" s="149"/>
    </row>
    <row r="2615" spans="8:14">
      <c r="H2615" s="2"/>
      <c r="K2615" s="149"/>
      <c r="L2615" s="149"/>
      <c r="M2615" s="149"/>
      <c r="N2615" s="149"/>
    </row>
    <row r="2616" spans="8:14">
      <c r="H2616" s="2"/>
      <c r="I2616" s="2"/>
      <c r="K2616" s="149"/>
      <c r="L2616" s="149"/>
      <c r="M2616" s="149"/>
      <c r="N2616" s="149"/>
    </row>
    <row r="2617" spans="8:14">
      <c r="K2617" s="149"/>
      <c r="L2617" s="149"/>
      <c r="M2617" s="149"/>
      <c r="N2617" s="149"/>
    </row>
    <row r="2618" spans="8:14">
      <c r="K2618" s="149"/>
      <c r="L2618" s="149"/>
      <c r="M2618" s="149"/>
      <c r="N2618" s="149"/>
    </row>
    <row r="2619" spans="8:14">
      <c r="K2619" s="149"/>
      <c r="L2619" s="149"/>
      <c r="M2619" s="149"/>
      <c r="N2619" s="149"/>
    </row>
    <row r="2620" spans="8:14">
      <c r="K2620" s="149"/>
      <c r="L2620" s="149"/>
      <c r="M2620" s="149"/>
      <c r="N2620" s="149"/>
    </row>
    <row r="2621" spans="8:14">
      <c r="K2621" s="149"/>
      <c r="L2621" s="149"/>
      <c r="M2621" s="149"/>
      <c r="N2621" s="149"/>
    </row>
    <row r="2622" spans="8:14">
      <c r="K2622" s="149"/>
      <c r="L2622" s="149"/>
      <c r="M2622" s="149"/>
      <c r="N2622" s="149"/>
    </row>
    <row r="2623" spans="8:14">
      <c r="K2623" s="149"/>
      <c r="L2623" s="149"/>
      <c r="M2623" s="149"/>
      <c r="N2623" s="149"/>
    </row>
    <row r="2624" spans="8:14">
      <c r="K2624" s="149"/>
      <c r="L2624" s="149"/>
      <c r="M2624" s="149"/>
      <c r="N2624" s="149"/>
    </row>
    <row r="2625" spans="11:14">
      <c r="K2625" s="149"/>
      <c r="L2625" s="149"/>
      <c r="M2625" s="149"/>
      <c r="N2625" s="149"/>
    </row>
    <row r="2626" spans="11:14">
      <c r="K2626" s="149"/>
      <c r="L2626" s="149"/>
      <c r="M2626" s="149"/>
      <c r="N2626" s="149"/>
    </row>
    <row r="2627" spans="11:14">
      <c r="K2627" s="149"/>
      <c r="L2627" s="149"/>
      <c r="M2627" s="149"/>
      <c r="N2627" s="149"/>
    </row>
    <row r="2628" spans="11:14">
      <c r="K2628" s="149"/>
      <c r="L2628" s="149"/>
      <c r="M2628" s="149"/>
      <c r="N2628" s="149"/>
    </row>
    <row r="2629" spans="11:14">
      <c r="K2629" s="149"/>
      <c r="L2629" s="149"/>
      <c r="M2629" s="149"/>
      <c r="N2629" s="149"/>
    </row>
    <row r="2630" spans="11:14">
      <c r="K2630" s="149"/>
      <c r="L2630" s="149"/>
      <c r="M2630" s="149"/>
      <c r="N2630" s="149"/>
    </row>
    <row r="2631" spans="11:14">
      <c r="K2631" s="149"/>
      <c r="L2631" s="149"/>
      <c r="M2631" s="149"/>
      <c r="N2631" s="149"/>
    </row>
    <row r="2632" spans="11:14">
      <c r="K2632" s="149"/>
      <c r="L2632" s="149"/>
      <c r="M2632" s="149"/>
      <c r="N2632" s="149"/>
    </row>
    <row r="2633" spans="11:14">
      <c r="K2633" s="149"/>
      <c r="L2633" s="149"/>
      <c r="M2633" s="149"/>
      <c r="N2633" s="149"/>
    </row>
    <row r="2634" spans="11:14">
      <c r="K2634" s="149"/>
      <c r="L2634" s="149"/>
      <c r="M2634" s="149"/>
      <c r="N2634" s="149"/>
    </row>
    <row r="2635" spans="11:14">
      <c r="K2635" s="149"/>
      <c r="L2635" s="149"/>
      <c r="M2635" s="149"/>
      <c r="N2635" s="149"/>
    </row>
    <row r="2636" spans="11:14">
      <c r="K2636" s="149"/>
      <c r="L2636" s="149"/>
      <c r="M2636" s="149"/>
      <c r="N2636" s="149"/>
    </row>
    <row r="2637" spans="11:14">
      <c r="K2637" s="149"/>
      <c r="L2637" s="149"/>
      <c r="M2637" s="149"/>
      <c r="N2637" s="149"/>
    </row>
    <row r="2638" spans="11:14">
      <c r="K2638" s="149"/>
      <c r="L2638" s="149"/>
      <c r="M2638" s="149"/>
      <c r="N2638" s="149"/>
    </row>
    <row r="2639" spans="11:14">
      <c r="K2639" s="149"/>
      <c r="L2639" s="149"/>
      <c r="M2639" s="149"/>
      <c r="N2639" s="149"/>
    </row>
    <row r="2640" spans="11:14">
      <c r="K2640" s="149"/>
      <c r="L2640" s="149"/>
      <c r="M2640" s="149"/>
      <c r="N2640" s="149"/>
    </row>
    <row r="2641" spans="11:14">
      <c r="K2641" s="149"/>
      <c r="L2641" s="149"/>
      <c r="M2641" s="149"/>
      <c r="N2641" s="149"/>
    </row>
    <row r="2642" spans="11:14">
      <c r="K2642" s="149"/>
      <c r="L2642" s="149"/>
      <c r="M2642" s="149"/>
      <c r="N2642" s="149"/>
    </row>
    <row r="2643" spans="11:14">
      <c r="K2643" s="149"/>
      <c r="L2643" s="149"/>
      <c r="M2643" s="149"/>
      <c r="N2643" s="149"/>
    </row>
    <row r="2644" spans="11:14">
      <c r="K2644" s="149"/>
      <c r="L2644" s="149"/>
      <c r="M2644" s="149"/>
      <c r="N2644" s="149"/>
    </row>
    <row r="2645" spans="11:14">
      <c r="K2645" s="149"/>
      <c r="L2645" s="149"/>
      <c r="M2645" s="149"/>
      <c r="N2645" s="149"/>
    </row>
    <row r="2646" spans="11:14">
      <c r="K2646" s="149"/>
      <c r="L2646" s="149"/>
      <c r="M2646" s="149"/>
      <c r="N2646" s="149"/>
    </row>
    <row r="2647" spans="11:14">
      <c r="K2647" s="149"/>
      <c r="L2647" s="149"/>
      <c r="M2647" s="149"/>
      <c r="N2647" s="149"/>
    </row>
    <row r="2648" spans="11:14">
      <c r="K2648" s="149"/>
      <c r="L2648" s="149"/>
      <c r="M2648" s="149"/>
      <c r="N2648" s="149"/>
    </row>
    <row r="2649" spans="11:14">
      <c r="K2649" s="149"/>
      <c r="L2649" s="149"/>
      <c r="M2649" s="149"/>
      <c r="N2649" s="149"/>
    </row>
    <row r="2650" spans="11:14">
      <c r="K2650" s="149"/>
      <c r="L2650" s="149"/>
      <c r="M2650" s="149"/>
      <c r="N2650" s="149"/>
    </row>
    <row r="2651" spans="11:14">
      <c r="K2651" s="149"/>
      <c r="L2651" s="149"/>
      <c r="M2651" s="149"/>
      <c r="N2651" s="149"/>
    </row>
    <row r="2652" spans="11:14">
      <c r="K2652" s="149"/>
      <c r="L2652" s="149"/>
      <c r="M2652" s="149"/>
      <c r="N2652" s="149"/>
    </row>
    <row r="2653" spans="11:14">
      <c r="K2653" s="149"/>
      <c r="L2653" s="149"/>
      <c r="M2653" s="149"/>
      <c r="N2653" s="149"/>
    </row>
    <row r="2654" spans="11:14">
      <c r="K2654" s="149"/>
      <c r="L2654" s="149"/>
      <c r="M2654" s="149"/>
      <c r="N2654" s="149"/>
    </row>
    <row r="2655" spans="11:14">
      <c r="K2655" s="149"/>
      <c r="L2655" s="149"/>
      <c r="M2655" s="149"/>
      <c r="N2655" s="149"/>
    </row>
    <row r="2656" spans="11:14">
      <c r="K2656" s="149"/>
      <c r="L2656" s="149"/>
      <c r="M2656" s="149"/>
      <c r="N2656" s="149"/>
    </row>
    <row r="2657" spans="11:14">
      <c r="K2657" s="149"/>
      <c r="L2657" s="149"/>
      <c r="M2657" s="149"/>
      <c r="N2657" s="149"/>
    </row>
    <row r="2658" spans="11:14">
      <c r="K2658" s="149"/>
      <c r="L2658" s="149"/>
      <c r="M2658" s="149"/>
      <c r="N2658" s="149"/>
    </row>
    <row r="2659" spans="11:14">
      <c r="K2659" s="149"/>
      <c r="L2659" s="149"/>
      <c r="M2659" s="149"/>
      <c r="N2659" s="149"/>
    </row>
    <row r="2660" spans="11:14">
      <c r="K2660" s="149"/>
      <c r="L2660" s="149"/>
      <c r="M2660" s="149"/>
      <c r="N2660" s="149"/>
    </row>
    <row r="2661" spans="11:14">
      <c r="K2661" s="149"/>
      <c r="L2661" s="149"/>
      <c r="M2661" s="149"/>
      <c r="N2661" s="149"/>
    </row>
    <row r="2662" spans="11:14">
      <c r="K2662" s="149"/>
      <c r="L2662" s="149"/>
      <c r="M2662" s="149"/>
      <c r="N2662" s="149"/>
    </row>
    <row r="2663" spans="11:14">
      <c r="K2663" s="149"/>
      <c r="L2663" s="149"/>
      <c r="M2663" s="149"/>
      <c r="N2663" s="149"/>
    </row>
    <row r="2664" spans="11:14">
      <c r="K2664" s="149"/>
      <c r="L2664" s="149"/>
      <c r="M2664" s="149"/>
      <c r="N2664" s="149"/>
    </row>
    <row r="2665" spans="11:14">
      <c r="K2665" s="149"/>
      <c r="L2665" s="149"/>
      <c r="M2665" s="149"/>
      <c r="N2665" s="149"/>
    </row>
    <row r="2666" spans="11:14">
      <c r="K2666" s="149"/>
      <c r="L2666" s="149"/>
      <c r="M2666" s="149"/>
      <c r="N2666" s="149"/>
    </row>
    <row r="2667" spans="11:14">
      <c r="K2667" s="149"/>
      <c r="L2667" s="149"/>
      <c r="M2667" s="149"/>
      <c r="N2667" s="149"/>
    </row>
    <row r="2668" spans="11:14">
      <c r="K2668" s="149"/>
      <c r="L2668" s="149"/>
      <c r="M2668" s="149"/>
      <c r="N2668" s="149"/>
    </row>
    <row r="2669" spans="11:14">
      <c r="K2669" s="149"/>
      <c r="L2669" s="149"/>
      <c r="M2669" s="149"/>
      <c r="N2669" s="149"/>
    </row>
    <row r="2670" spans="11:14">
      <c r="K2670" s="149"/>
      <c r="L2670" s="149"/>
      <c r="M2670" s="149"/>
      <c r="N2670" s="149"/>
    </row>
    <row r="2671" spans="11:14">
      <c r="K2671" s="149"/>
      <c r="L2671" s="149"/>
      <c r="M2671" s="149"/>
      <c r="N2671" s="149"/>
    </row>
    <row r="2672" spans="11:14">
      <c r="K2672" s="149"/>
      <c r="L2672" s="149"/>
      <c r="M2672" s="149"/>
      <c r="N2672" s="149"/>
    </row>
    <row r="2673" spans="9:14">
      <c r="K2673" s="149"/>
      <c r="L2673" s="149"/>
      <c r="M2673" s="149"/>
      <c r="N2673" s="149"/>
    </row>
    <row r="2674" spans="9:14">
      <c r="K2674" s="149"/>
      <c r="L2674" s="149"/>
      <c r="M2674" s="149"/>
      <c r="N2674" s="149"/>
    </row>
    <row r="2675" spans="9:14">
      <c r="K2675" s="149"/>
      <c r="L2675" s="149"/>
      <c r="M2675" s="149"/>
      <c r="N2675" s="149"/>
    </row>
    <row r="2676" spans="9:14">
      <c r="K2676" s="149"/>
      <c r="L2676" s="149"/>
      <c r="M2676" s="149"/>
      <c r="N2676" s="149"/>
    </row>
    <row r="2677" spans="9:14">
      <c r="K2677" s="149"/>
      <c r="L2677" s="149"/>
      <c r="M2677" s="149"/>
      <c r="N2677" s="149"/>
    </row>
    <row r="2678" spans="9:14">
      <c r="K2678" s="149"/>
      <c r="L2678" s="149"/>
      <c r="M2678" s="149"/>
      <c r="N2678" s="149"/>
    </row>
    <row r="2679" spans="9:14">
      <c r="K2679" s="149"/>
      <c r="L2679" s="149"/>
      <c r="M2679" s="149"/>
      <c r="N2679" s="149"/>
    </row>
    <row r="2680" spans="9:14">
      <c r="K2680" s="149"/>
      <c r="L2680" s="149"/>
      <c r="M2680" s="149"/>
      <c r="N2680" s="149"/>
    </row>
    <row r="2681" spans="9:14">
      <c r="K2681" s="149"/>
      <c r="L2681" s="149"/>
      <c r="M2681" s="149"/>
      <c r="N2681" s="149"/>
    </row>
    <row r="2682" spans="9:14">
      <c r="I2682" s="2"/>
      <c r="K2682" s="149"/>
      <c r="L2682" s="149"/>
      <c r="M2682" s="149"/>
      <c r="N2682" s="149"/>
    </row>
    <row r="2683" spans="9:14">
      <c r="K2683" s="149"/>
      <c r="L2683" s="149"/>
      <c r="M2683" s="149"/>
      <c r="N2683" s="149"/>
    </row>
    <row r="2684" spans="9:14">
      <c r="K2684" s="149"/>
      <c r="L2684" s="149"/>
      <c r="M2684" s="149"/>
      <c r="N2684" s="149"/>
    </row>
    <row r="2685" spans="9:14">
      <c r="K2685" s="149"/>
      <c r="L2685" s="149"/>
      <c r="M2685" s="149"/>
      <c r="N2685" s="149"/>
    </row>
    <row r="2686" spans="9:14">
      <c r="K2686" s="149"/>
      <c r="L2686" s="149"/>
      <c r="M2686" s="149"/>
      <c r="N2686" s="149"/>
    </row>
    <row r="2687" spans="9:14">
      <c r="K2687" s="149"/>
      <c r="L2687" s="149"/>
      <c r="M2687" s="149"/>
      <c r="N2687" s="149"/>
    </row>
    <row r="2688" spans="9:14">
      <c r="I2688" s="2"/>
      <c r="K2688" s="149"/>
      <c r="L2688" s="149"/>
      <c r="M2688" s="149"/>
      <c r="N2688" s="149"/>
    </row>
    <row r="2689" spans="9:14">
      <c r="K2689" s="149"/>
      <c r="L2689" s="149"/>
      <c r="M2689" s="149"/>
      <c r="N2689" s="149"/>
    </row>
    <row r="2690" spans="9:14">
      <c r="K2690" s="149"/>
      <c r="L2690" s="149"/>
      <c r="M2690" s="149"/>
      <c r="N2690" s="149"/>
    </row>
    <row r="2691" spans="9:14">
      <c r="K2691" s="149"/>
      <c r="L2691" s="149"/>
      <c r="M2691" s="149"/>
      <c r="N2691" s="149"/>
    </row>
    <row r="2692" spans="9:14">
      <c r="I2692" s="2"/>
      <c r="K2692" s="149"/>
      <c r="L2692" s="149"/>
      <c r="M2692" s="149"/>
      <c r="N2692" s="149"/>
    </row>
    <row r="2693" spans="9:14">
      <c r="K2693" s="149"/>
      <c r="L2693" s="149"/>
      <c r="M2693" s="149"/>
      <c r="N2693" s="149"/>
    </row>
    <row r="2694" spans="9:14">
      <c r="K2694" s="149"/>
      <c r="L2694" s="149"/>
      <c r="M2694" s="149"/>
      <c r="N2694" s="149"/>
    </row>
    <row r="2695" spans="9:14">
      <c r="K2695" s="149"/>
      <c r="L2695" s="149"/>
      <c r="M2695" s="149"/>
      <c r="N2695" s="149"/>
    </row>
    <row r="2696" spans="9:14">
      <c r="K2696" s="149"/>
      <c r="L2696" s="149"/>
      <c r="M2696" s="149"/>
      <c r="N2696" s="149"/>
    </row>
    <row r="2697" spans="9:14">
      <c r="K2697" s="149"/>
      <c r="L2697" s="149"/>
      <c r="M2697" s="149"/>
      <c r="N2697" s="149"/>
    </row>
    <row r="2698" spans="9:14">
      <c r="I2698" s="2"/>
      <c r="K2698" s="149"/>
      <c r="L2698" s="149"/>
      <c r="M2698" s="149"/>
      <c r="N2698" s="149"/>
    </row>
    <row r="2699" spans="9:14">
      <c r="K2699" s="149"/>
      <c r="L2699" s="149"/>
      <c r="M2699" s="149"/>
      <c r="N2699" s="149"/>
    </row>
    <row r="2700" spans="9:14">
      <c r="K2700" s="149"/>
      <c r="L2700" s="149"/>
      <c r="M2700" s="149"/>
      <c r="N2700" s="149"/>
    </row>
    <row r="2701" spans="9:14">
      <c r="K2701" s="149"/>
      <c r="L2701" s="149"/>
      <c r="M2701" s="149"/>
      <c r="N2701" s="149"/>
    </row>
    <row r="2702" spans="9:14">
      <c r="K2702" s="149"/>
      <c r="L2702" s="149"/>
      <c r="M2702" s="149"/>
      <c r="N2702" s="149"/>
    </row>
    <row r="2703" spans="9:14">
      <c r="K2703" s="149"/>
      <c r="L2703" s="149"/>
      <c r="M2703" s="149"/>
      <c r="N2703" s="149"/>
    </row>
    <row r="2704" spans="9:14">
      <c r="K2704" s="149"/>
      <c r="L2704" s="149"/>
      <c r="M2704" s="149"/>
      <c r="N2704" s="149"/>
    </row>
    <row r="2705" spans="9:14">
      <c r="K2705" s="149"/>
      <c r="L2705" s="149"/>
      <c r="M2705" s="149"/>
      <c r="N2705" s="149"/>
    </row>
    <row r="2706" spans="9:14">
      <c r="K2706" s="149"/>
      <c r="L2706" s="149"/>
      <c r="M2706" s="149"/>
      <c r="N2706" s="149"/>
    </row>
    <row r="2707" spans="9:14">
      <c r="I2707" s="2"/>
      <c r="K2707" s="149"/>
      <c r="L2707" s="149"/>
      <c r="M2707" s="149"/>
      <c r="N2707" s="149"/>
    </row>
    <row r="2708" spans="9:14">
      <c r="K2708" s="149"/>
      <c r="L2708" s="149"/>
      <c r="M2708" s="149"/>
      <c r="N2708" s="149"/>
    </row>
    <row r="2709" spans="9:14">
      <c r="K2709" s="149"/>
      <c r="L2709" s="149"/>
      <c r="M2709" s="149"/>
      <c r="N2709" s="149"/>
    </row>
    <row r="2710" spans="9:14">
      <c r="K2710" s="149"/>
      <c r="L2710" s="149"/>
      <c r="M2710" s="149"/>
      <c r="N2710" s="149"/>
    </row>
    <row r="2711" spans="9:14">
      <c r="K2711" s="149"/>
      <c r="L2711" s="149"/>
      <c r="M2711" s="149"/>
      <c r="N2711" s="149"/>
    </row>
    <row r="2712" spans="9:14">
      <c r="K2712" s="149"/>
      <c r="L2712" s="149"/>
      <c r="M2712" s="149"/>
      <c r="N2712" s="149"/>
    </row>
    <row r="2713" spans="9:14">
      <c r="K2713" s="149"/>
      <c r="L2713" s="149"/>
      <c r="M2713" s="149"/>
      <c r="N2713" s="149"/>
    </row>
    <row r="2714" spans="9:14">
      <c r="K2714" s="149"/>
      <c r="L2714" s="149"/>
      <c r="M2714" s="149"/>
      <c r="N2714" s="149"/>
    </row>
    <row r="2715" spans="9:14">
      <c r="K2715" s="149"/>
      <c r="L2715" s="149"/>
      <c r="M2715" s="149"/>
      <c r="N2715" s="149"/>
    </row>
    <row r="2716" spans="9:14">
      <c r="K2716" s="149"/>
      <c r="L2716" s="149"/>
      <c r="M2716" s="149"/>
      <c r="N2716" s="149"/>
    </row>
    <row r="2717" spans="9:14">
      <c r="K2717" s="149"/>
      <c r="L2717" s="149"/>
      <c r="M2717" s="149"/>
      <c r="N2717" s="149"/>
    </row>
    <row r="2718" spans="9:14">
      <c r="K2718" s="149"/>
      <c r="L2718" s="149"/>
      <c r="M2718" s="149"/>
      <c r="N2718" s="149"/>
    </row>
    <row r="2719" spans="9:14">
      <c r="K2719" s="149"/>
      <c r="L2719" s="149"/>
      <c r="M2719" s="149"/>
      <c r="N2719" s="149"/>
    </row>
    <row r="2720" spans="9:14">
      <c r="K2720" s="149"/>
      <c r="L2720" s="149"/>
      <c r="M2720" s="149"/>
      <c r="N2720" s="149"/>
    </row>
    <row r="2721" spans="9:14">
      <c r="K2721" s="149"/>
      <c r="L2721" s="149"/>
      <c r="M2721" s="149"/>
      <c r="N2721" s="149"/>
    </row>
    <row r="2722" spans="9:14">
      <c r="K2722" s="149"/>
      <c r="L2722" s="149"/>
      <c r="M2722" s="149"/>
      <c r="N2722" s="149"/>
    </row>
    <row r="2723" spans="9:14">
      <c r="K2723" s="149"/>
      <c r="L2723" s="149"/>
      <c r="M2723" s="149"/>
      <c r="N2723" s="149"/>
    </row>
    <row r="2724" spans="9:14">
      <c r="K2724" s="149"/>
      <c r="L2724" s="149"/>
      <c r="M2724" s="149"/>
      <c r="N2724" s="149"/>
    </row>
    <row r="2725" spans="9:14">
      <c r="K2725" s="149"/>
      <c r="L2725" s="149"/>
      <c r="M2725" s="149"/>
      <c r="N2725" s="149"/>
    </row>
    <row r="2726" spans="9:14">
      <c r="K2726" s="149"/>
      <c r="L2726" s="149"/>
      <c r="M2726" s="149"/>
      <c r="N2726" s="149"/>
    </row>
    <row r="2727" spans="9:14">
      <c r="K2727" s="149"/>
      <c r="L2727" s="149"/>
      <c r="M2727" s="149"/>
      <c r="N2727" s="149"/>
    </row>
    <row r="2728" spans="9:14">
      <c r="K2728" s="149"/>
      <c r="L2728" s="149"/>
      <c r="M2728" s="149"/>
      <c r="N2728" s="149"/>
    </row>
    <row r="2729" spans="9:14">
      <c r="I2729" s="2"/>
      <c r="K2729" s="149"/>
      <c r="L2729" s="149"/>
      <c r="M2729" s="149"/>
      <c r="N2729" s="149"/>
    </row>
    <row r="2730" spans="9:14">
      <c r="K2730" s="149"/>
      <c r="L2730" s="149"/>
      <c r="M2730" s="149"/>
      <c r="N2730" s="149"/>
    </row>
    <row r="2731" spans="9:14">
      <c r="K2731" s="149"/>
      <c r="L2731" s="149"/>
      <c r="M2731" s="149"/>
      <c r="N2731" s="149"/>
    </row>
    <row r="2732" spans="9:14">
      <c r="K2732" s="149"/>
      <c r="L2732" s="149"/>
      <c r="M2732" s="149"/>
      <c r="N2732" s="149"/>
    </row>
    <row r="2733" spans="9:14">
      <c r="K2733" s="149"/>
      <c r="L2733" s="149"/>
      <c r="M2733" s="149"/>
      <c r="N2733" s="149"/>
    </row>
    <row r="2734" spans="9:14">
      <c r="K2734" s="149"/>
      <c r="L2734" s="149"/>
      <c r="M2734" s="149"/>
      <c r="N2734" s="149"/>
    </row>
    <row r="2735" spans="9:14">
      <c r="K2735" s="149"/>
      <c r="L2735" s="149"/>
      <c r="M2735" s="149"/>
      <c r="N2735" s="149"/>
    </row>
    <row r="2736" spans="9:14">
      <c r="K2736" s="149"/>
      <c r="L2736" s="149"/>
      <c r="M2736" s="149"/>
      <c r="N2736" s="149"/>
    </row>
    <row r="2737" spans="9:14">
      <c r="K2737" s="149"/>
      <c r="L2737" s="149"/>
      <c r="M2737" s="149"/>
      <c r="N2737" s="149"/>
    </row>
    <row r="2738" spans="9:14">
      <c r="K2738" s="149"/>
      <c r="L2738" s="149"/>
      <c r="M2738" s="149"/>
      <c r="N2738" s="149"/>
    </row>
    <row r="2739" spans="9:14">
      <c r="K2739" s="149"/>
      <c r="L2739" s="149"/>
      <c r="M2739" s="149"/>
      <c r="N2739" s="149"/>
    </row>
    <row r="2740" spans="9:14">
      <c r="K2740" s="149"/>
      <c r="L2740" s="149"/>
      <c r="M2740" s="149"/>
      <c r="N2740" s="149"/>
    </row>
    <row r="2741" spans="9:14">
      <c r="K2741" s="149"/>
      <c r="L2741" s="149"/>
      <c r="M2741" s="149"/>
      <c r="N2741" s="149"/>
    </row>
    <row r="2742" spans="9:14">
      <c r="K2742" s="149"/>
      <c r="L2742" s="149"/>
      <c r="M2742" s="149"/>
      <c r="N2742" s="149"/>
    </row>
    <row r="2743" spans="9:14">
      <c r="K2743" s="149"/>
      <c r="L2743" s="149"/>
      <c r="M2743" s="149"/>
      <c r="N2743" s="149"/>
    </row>
    <row r="2744" spans="9:14">
      <c r="K2744" s="149"/>
      <c r="L2744" s="149"/>
      <c r="M2744" s="149"/>
      <c r="N2744" s="149"/>
    </row>
    <row r="2745" spans="9:14">
      <c r="K2745" s="149"/>
      <c r="L2745" s="149"/>
      <c r="M2745" s="149"/>
      <c r="N2745" s="149"/>
    </row>
    <row r="2746" spans="9:14">
      <c r="K2746" s="149"/>
      <c r="L2746" s="149"/>
      <c r="M2746" s="149"/>
      <c r="N2746" s="149"/>
    </row>
    <row r="2747" spans="9:14">
      <c r="K2747" s="149"/>
      <c r="L2747" s="149"/>
      <c r="M2747" s="149"/>
      <c r="N2747" s="149"/>
    </row>
    <row r="2748" spans="9:14">
      <c r="K2748" s="149"/>
      <c r="L2748" s="149"/>
      <c r="M2748" s="149"/>
      <c r="N2748" s="149"/>
    </row>
    <row r="2749" spans="9:14">
      <c r="K2749" s="149"/>
      <c r="L2749" s="149"/>
      <c r="M2749" s="149"/>
      <c r="N2749" s="149"/>
    </row>
    <row r="2750" spans="9:14">
      <c r="I2750" s="2"/>
      <c r="K2750" s="149"/>
      <c r="L2750" s="149"/>
      <c r="M2750" s="149"/>
      <c r="N2750" s="149"/>
    </row>
    <row r="2751" spans="9:14">
      <c r="K2751" s="149"/>
      <c r="L2751" s="149"/>
      <c r="M2751" s="149"/>
      <c r="N2751" s="149"/>
    </row>
    <row r="2752" spans="9:14">
      <c r="K2752" s="149"/>
      <c r="L2752" s="149"/>
      <c r="M2752" s="149"/>
      <c r="N2752" s="149"/>
    </row>
    <row r="2753" spans="9:14">
      <c r="I2753" s="2"/>
      <c r="K2753" s="149"/>
      <c r="L2753" s="149"/>
      <c r="M2753" s="149"/>
      <c r="N2753" s="149"/>
    </row>
    <row r="2754" spans="9:14">
      <c r="K2754" s="149"/>
      <c r="L2754" s="149"/>
      <c r="M2754" s="149"/>
      <c r="N2754" s="149"/>
    </row>
    <row r="2755" spans="9:14">
      <c r="K2755" s="149"/>
      <c r="L2755" s="149"/>
      <c r="M2755" s="149"/>
      <c r="N2755" s="149"/>
    </row>
    <row r="2756" spans="9:14">
      <c r="K2756" s="149"/>
      <c r="L2756" s="149"/>
      <c r="M2756" s="149"/>
      <c r="N2756" s="149"/>
    </row>
    <row r="2757" spans="9:14">
      <c r="K2757" s="149"/>
      <c r="L2757" s="149"/>
      <c r="M2757" s="149"/>
      <c r="N2757" s="149"/>
    </row>
    <row r="2758" spans="9:14">
      <c r="K2758" s="149"/>
      <c r="L2758" s="149"/>
      <c r="M2758" s="149"/>
      <c r="N2758" s="149"/>
    </row>
    <row r="2759" spans="9:14">
      <c r="I2759" s="2"/>
      <c r="K2759" s="149"/>
      <c r="L2759" s="149"/>
      <c r="M2759" s="149"/>
      <c r="N2759" s="149"/>
    </row>
    <row r="2760" spans="9:14">
      <c r="K2760" s="149"/>
      <c r="L2760" s="149"/>
      <c r="M2760" s="149"/>
      <c r="N2760" s="149"/>
    </row>
    <row r="2761" spans="9:14">
      <c r="K2761" s="149"/>
      <c r="L2761" s="149"/>
      <c r="M2761" s="149"/>
      <c r="N2761" s="149"/>
    </row>
    <row r="2762" spans="9:14">
      <c r="K2762" s="149"/>
      <c r="L2762" s="149"/>
      <c r="M2762" s="149"/>
      <c r="N2762" s="149"/>
    </row>
    <row r="2763" spans="9:14">
      <c r="K2763" s="149"/>
      <c r="L2763" s="149"/>
      <c r="M2763" s="149"/>
      <c r="N2763" s="149"/>
    </row>
    <row r="2764" spans="9:14">
      <c r="K2764" s="149"/>
      <c r="L2764" s="149"/>
      <c r="M2764" s="149"/>
      <c r="N2764" s="149"/>
    </row>
    <row r="2765" spans="9:14">
      <c r="K2765" s="149"/>
      <c r="L2765" s="149"/>
      <c r="M2765" s="149"/>
      <c r="N2765" s="149"/>
    </row>
    <row r="2766" spans="9:14">
      <c r="K2766" s="149"/>
      <c r="L2766" s="149"/>
      <c r="M2766" s="149"/>
      <c r="N2766" s="149"/>
    </row>
    <row r="2767" spans="9:14">
      <c r="J2767" s="2"/>
      <c r="K2767" s="149"/>
      <c r="L2767" s="149"/>
      <c r="M2767" s="149"/>
      <c r="N2767" s="149"/>
    </row>
    <row r="2768" spans="9:14">
      <c r="K2768" s="149"/>
      <c r="L2768" s="149"/>
      <c r="M2768" s="149"/>
      <c r="N2768" s="149"/>
    </row>
    <row r="2769" spans="9:14">
      <c r="K2769" s="149"/>
      <c r="L2769" s="149"/>
      <c r="M2769" s="149"/>
      <c r="N2769" s="149"/>
    </row>
    <row r="2770" spans="9:14">
      <c r="K2770" s="149"/>
      <c r="L2770" s="149"/>
      <c r="M2770" s="149"/>
      <c r="N2770" s="149"/>
    </row>
    <row r="2771" spans="9:14">
      <c r="K2771" s="149"/>
      <c r="L2771" s="149"/>
      <c r="M2771" s="149"/>
      <c r="N2771" s="149"/>
    </row>
    <row r="2772" spans="9:14">
      <c r="K2772" s="149"/>
      <c r="L2772" s="149"/>
      <c r="M2772" s="149"/>
      <c r="N2772" s="149"/>
    </row>
    <row r="2773" spans="9:14">
      <c r="K2773" s="149"/>
      <c r="L2773" s="149"/>
      <c r="M2773" s="149"/>
      <c r="N2773" s="149"/>
    </row>
    <row r="2774" spans="9:14">
      <c r="K2774" s="149"/>
      <c r="L2774" s="149"/>
      <c r="M2774" s="149"/>
      <c r="N2774" s="149"/>
    </row>
    <row r="2775" spans="9:14">
      <c r="K2775" s="149"/>
      <c r="L2775" s="149"/>
      <c r="M2775" s="149"/>
      <c r="N2775" s="149"/>
    </row>
    <row r="2776" spans="9:14">
      <c r="K2776" s="149"/>
      <c r="L2776" s="149"/>
      <c r="M2776" s="149"/>
      <c r="N2776" s="149"/>
    </row>
    <row r="2777" spans="9:14">
      <c r="K2777" s="149"/>
      <c r="L2777" s="149"/>
      <c r="M2777" s="149"/>
      <c r="N2777" s="149"/>
    </row>
    <row r="2778" spans="9:14">
      <c r="I2778" s="2"/>
      <c r="K2778" s="149"/>
      <c r="L2778" s="149"/>
      <c r="M2778" s="149"/>
      <c r="N2778" s="149"/>
    </row>
    <row r="2779" spans="9:14">
      <c r="K2779" s="149"/>
      <c r="L2779" s="149"/>
      <c r="M2779" s="149"/>
      <c r="N2779" s="149"/>
    </row>
    <row r="2780" spans="9:14">
      <c r="I2780" s="2"/>
      <c r="K2780" s="149"/>
      <c r="L2780" s="149"/>
      <c r="M2780" s="149"/>
      <c r="N2780" s="149"/>
    </row>
    <row r="2781" spans="9:14">
      <c r="K2781" s="149"/>
      <c r="L2781" s="149"/>
      <c r="M2781" s="149"/>
      <c r="N2781" s="149"/>
    </row>
    <row r="2782" spans="9:14">
      <c r="K2782" s="149"/>
      <c r="L2782" s="149"/>
      <c r="M2782" s="149"/>
      <c r="N2782" s="149"/>
    </row>
    <row r="2783" spans="9:14">
      <c r="I2783" s="2"/>
      <c r="K2783" s="149"/>
      <c r="L2783" s="149"/>
      <c r="M2783" s="149"/>
      <c r="N2783" s="149"/>
    </row>
    <row r="2784" spans="9:14">
      <c r="K2784" s="149"/>
      <c r="L2784" s="149"/>
      <c r="M2784" s="149"/>
      <c r="N2784" s="149"/>
    </row>
    <row r="2785" spans="8:14">
      <c r="K2785" s="149"/>
      <c r="L2785" s="149"/>
      <c r="M2785" s="149"/>
      <c r="N2785" s="149"/>
    </row>
    <row r="2786" spans="8:14">
      <c r="K2786" s="149"/>
      <c r="L2786" s="149"/>
      <c r="M2786" s="149"/>
      <c r="N2786" s="149"/>
    </row>
    <row r="2787" spans="8:14">
      <c r="I2787" s="2"/>
      <c r="K2787" s="149"/>
      <c r="L2787" s="149"/>
      <c r="M2787" s="149"/>
      <c r="N2787" s="149"/>
    </row>
    <row r="2788" spans="8:14">
      <c r="K2788" s="149"/>
      <c r="L2788" s="149"/>
      <c r="M2788" s="149"/>
      <c r="N2788" s="149"/>
    </row>
    <row r="2789" spans="8:14">
      <c r="K2789" s="149"/>
      <c r="L2789" s="149"/>
      <c r="M2789" s="149"/>
      <c r="N2789" s="149"/>
    </row>
    <row r="2790" spans="8:14">
      <c r="K2790" s="149"/>
      <c r="L2790" s="149"/>
      <c r="M2790" s="149"/>
      <c r="N2790" s="149"/>
    </row>
    <row r="2791" spans="8:14">
      <c r="K2791" s="149"/>
      <c r="L2791" s="149"/>
      <c r="M2791" s="149"/>
      <c r="N2791" s="149"/>
    </row>
    <row r="2792" spans="8:14">
      <c r="K2792" s="149"/>
      <c r="L2792" s="149"/>
      <c r="M2792" s="149"/>
      <c r="N2792" s="149"/>
    </row>
    <row r="2793" spans="8:14">
      <c r="K2793" s="149"/>
      <c r="L2793" s="149"/>
      <c r="M2793" s="149"/>
      <c r="N2793" s="149"/>
    </row>
    <row r="2794" spans="8:14">
      <c r="K2794" s="149"/>
      <c r="L2794" s="149"/>
      <c r="M2794" s="149"/>
      <c r="N2794" s="149"/>
    </row>
    <row r="2795" spans="8:14">
      <c r="I2795" s="2"/>
      <c r="K2795" s="149"/>
      <c r="L2795" s="149"/>
      <c r="M2795" s="149"/>
      <c r="N2795" s="149"/>
    </row>
    <row r="2796" spans="8:14">
      <c r="K2796" s="149"/>
      <c r="L2796" s="149"/>
      <c r="M2796" s="149"/>
      <c r="N2796" s="149"/>
    </row>
    <row r="2797" spans="8:14">
      <c r="K2797" s="149"/>
      <c r="L2797" s="149"/>
      <c r="M2797" s="149"/>
      <c r="N2797" s="149"/>
    </row>
    <row r="2798" spans="8:14">
      <c r="K2798" s="149"/>
      <c r="L2798" s="149"/>
      <c r="M2798" s="149"/>
      <c r="N2798" s="149"/>
    </row>
    <row r="2799" spans="8:14">
      <c r="H2799" s="2"/>
      <c r="K2799" s="149"/>
      <c r="L2799" s="149"/>
      <c r="M2799" s="149"/>
      <c r="N2799" s="149"/>
    </row>
    <row r="2800" spans="8:14">
      <c r="H2800" s="2"/>
      <c r="K2800" s="149"/>
      <c r="L2800" s="149"/>
      <c r="M2800" s="149"/>
      <c r="N2800" s="149"/>
    </row>
    <row r="2801" spans="8:14">
      <c r="H2801" s="2"/>
      <c r="K2801" s="149"/>
      <c r="L2801" s="149"/>
      <c r="M2801" s="149"/>
      <c r="N2801" s="149"/>
    </row>
    <row r="2802" spans="8:14">
      <c r="H2802" s="2"/>
      <c r="K2802" s="149"/>
      <c r="L2802" s="149"/>
      <c r="M2802" s="149"/>
      <c r="N2802" s="149"/>
    </row>
    <row r="2803" spans="8:14">
      <c r="H2803" s="2"/>
      <c r="K2803" s="149"/>
      <c r="L2803" s="149"/>
      <c r="M2803" s="149"/>
      <c r="N2803" s="149"/>
    </row>
    <row r="2804" spans="8:14">
      <c r="H2804" s="2"/>
      <c r="K2804" s="149"/>
      <c r="L2804" s="149"/>
      <c r="M2804" s="149"/>
      <c r="N2804" s="149"/>
    </row>
    <row r="2805" spans="8:14">
      <c r="H2805" s="2"/>
      <c r="K2805" s="149"/>
      <c r="L2805" s="149"/>
      <c r="M2805" s="149"/>
      <c r="N2805" s="149"/>
    </row>
    <row r="2806" spans="8:14">
      <c r="H2806" s="2"/>
      <c r="K2806" s="149"/>
      <c r="L2806" s="149"/>
      <c r="M2806" s="149"/>
      <c r="N2806" s="149"/>
    </row>
    <row r="2807" spans="8:14">
      <c r="H2807" s="2"/>
      <c r="K2807" s="149"/>
      <c r="L2807" s="149"/>
      <c r="M2807" s="149"/>
      <c r="N2807" s="149"/>
    </row>
    <row r="2808" spans="8:14">
      <c r="H2808" s="2"/>
      <c r="J2808" s="2"/>
      <c r="K2808" s="149"/>
      <c r="L2808" s="149"/>
      <c r="M2808" s="149"/>
      <c r="N2808" s="149"/>
    </row>
    <row r="2809" spans="8:14">
      <c r="K2809" s="149"/>
      <c r="L2809" s="149"/>
      <c r="M2809" s="149"/>
      <c r="N2809" s="149"/>
    </row>
    <row r="2810" spans="8:14">
      <c r="H2810" s="2"/>
      <c r="K2810" s="149"/>
      <c r="L2810" s="149"/>
      <c r="M2810" s="149"/>
      <c r="N2810" s="149"/>
    </row>
    <row r="2811" spans="8:14">
      <c r="H2811" s="2"/>
      <c r="K2811" s="149"/>
      <c r="L2811" s="149"/>
      <c r="M2811" s="149"/>
      <c r="N2811" s="149"/>
    </row>
    <row r="2812" spans="8:14">
      <c r="K2812" s="149"/>
      <c r="L2812" s="149"/>
      <c r="M2812" s="149"/>
      <c r="N2812" s="149"/>
    </row>
    <row r="2813" spans="8:14">
      <c r="K2813" s="149"/>
      <c r="L2813" s="149"/>
      <c r="M2813" s="149"/>
      <c r="N2813" s="149"/>
    </row>
    <row r="2814" spans="8:14">
      <c r="K2814" s="149"/>
      <c r="L2814" s="149"/>
      <c r="M2814" s="149"/>
      <c r="N2814" s="149"/>
    </row>
    <row r="2815" spans="8:14">
      <c r="K2815" s="149"/>
      <c r="L2815" s="149"/>
      <c r="M2815" s="149"/>
      <c r="N2815" s="149"/>
    </row>
    <row r="2816" spans="8:14">
      <c r="K2816" s="149"/>
      <c r="L2816" s="149"/>
      <c r="M2816" s="149"/>
      <c r="N2816" s="149"/>
    </row>
    <row r="2817" spans="8:14">
      <c r="H2817" s="2"/>
      <c r="I2817" s="2"/>
      <c r="K2817" s="149"/>
      <c r="L2817" s="149"/>
      <c r="M2817" s="149"/>
      <c r="N2817" s="149"/>
    </row>
    <row r="2818" spans="8:14">
      <c r="H2818" s="2"/>
      <c r="K2818" s="149"/>
      <c r="L2818" s="149"/>
      <c r="M2818" s="149"/>
      <c r="N2818" s="149"/>
    </row>
    <row r="2819" spans="8:14">
      <c r="H2819" s="2"/>
      <c r="K2819" s="149"/>
      <c r="L2819" s="149"/>
      <c r="M2819" s="149"/>
      <c r="N2819" s="149"/>
    </row>
    <row r="2820" spans="8:14">
      <c r="H2820" s="2"/>
      <c r="I2820" s="2"/>
      <c r="K2820" s="149"/>
      <c r="L2820" s="149"/>
      <c r="M2820" s="149"/>
      <c r="N2820" s="149"/>
    </row>
    <row r="2821" spans="8:14">
      <c r="H2821" s="2"/>
      <c r="I2821" s="2"/>
      <c r="K2821" s="149"/>
      <c r="L2821" s="149"/>
      <c r="M2821" s="149"/>
      <c r="N2821" s="149"/>
    </row>
    <row r="2822" spans="8:14">
      <c r="H2822" s="2"/>
      <c r="K2822" s="149"/>
      <c r="L2822" s="149"/>
      <c r="M2822" s="149"/>
      <c r="N2822" s="149"/>
    </row>
    <row r="2823" spans="8:14">
      <c r="H2823" s="2"/>
      <c r="K2823" s="149"/>
      <c r="L2823" s="149"/>
      <c r="M2823" s="149"/>
      <c r="N2823" s="149"/>
    </row>
    <row r="2824" spans="8:14">
      <c r="H2824" s="2"/>
      <c r="J2824" s="2"/>
      <c r="K2824" s="149"/>
      <c r="L2824" s="149"/>
      <c r="M2824" s="149"/>
      <c r="N2824" s="149"/>
    </row>
    <row r="2825" spans="8:14">
      <c r="H2825" s="2"/>
      <c r="K2825" s="149"/>
      <c r="L2825" s="149"/>
      <c r="M2825" s="149"/>
      <c r="N2825" s="149"/>
    </row>
    <row r="2826" spans="8:14">
      <c r="H2826" s="2"/>
      <c r="K2826" s="149"/>
      <c r="L2826" s="149"/>
      <c r="M2826" s="149"/>
      <c r="N2826" s="149"/>
    </row>
    <row r="2827" spans="8:14">
      <c r="H2827" s="2"/>
      <c r="K2827" s="149"/>
      <c r="L2827" s="149"/>
      <c r="M2827" s="149"/>
      <c r="N2827" s="149"/>
    </row>
    <row r="2828" spans="8:14">
      <c r="H2828" s="2"/>
      <c r="I2828" s="2"/>
      <c r="K2828" s="149"/>
      <c r="L2828" s="149"/>
      <c r="M2828" s="149"/>
      <c r="N2828" s="149"/>
    </row>
    <row r="2829" spans="8:14">
      <c r="H2829" s="2"/>
      <c r="K2829" s="149"/>
      <c r="L2829" s="149"/>
      <c r="M2829" s="149"/>
      <c r="N2829" s="149"/>
    </row>
    <row r="2830" spans="8:14">
      <c r="H2830" s="2"/>
      <c r="K2830" s="149"/>
      <c r="L2830" s="149"/>
      <c r="M2830" s="149"/>
      <c r="N2830" s="149"/>
    </row>
    <row r="2831" spans="8:14">
      <c r="H2831" s="2"/>
      <c r="K2831" s="149"/>
      <c r="L2831" s="149"/>
      <c r="M2831" s="149"/>
      <c r="N2831" s="149"/>
    </row>
    <row r="2832" spans="8:14">
      <c r="H2832" s="2"/>
      <c r="K2832" s="149"/>
      <c r="L2832" s="149"/>
      <c r="M2832" s="149"/>
      <c r="N2832" s="149"/>
    </row>
    <row r="2833" spans="8:14">
      <c r="H2833" s="2"/>
      <c r="K2833" s="149"/>
      <c r="L2833" s="149"/>
      <c r="M2833" s="149"/>
      <c r="N2833" s="149"/>
    </row>
    <row r="2834" spans="8:14">
      <c r="H2834" s="2"/>
      <c r="K2834" s="149"/>
      <c r="L2834" s="149"/>
      <c r="M2834" s="149"/>
      <c r="N2834" s="149"/>
    </row>
    <row r="2835" spans="8:14">
      <c r="H2835" s="2"/>
      <c r="K2835" s="149"/>
      <c r="L2835" s="149"/>
      <c r="M2835" s="149"/>
      <c r="N2835" s="149"/>
    </row>
    <row r="2836" spans="8:14">
      <c r="H2836" s="2"/>
      <c r="I2836" s="2"/>
      <c r="K2836" s="149"/>
      <c r="L2836" s="149"/>
      <c r="M2836" s="149"/>
      <c r="N2836" s="149"/>
    </row>
    <row r="2837" spans="8:14">
      <c r="H2837" s="2"/>
      <c r="I2837" s="2"/>
      <c r="K2837" s="149"/>
      <c r="L2837" s="149"/>
      <c r="M2837" s="149"/>
      <c r="N2837" s="149"/>
    </row>
    <row r="2838" spans="8:14">
      <c r="H2838" s="2"/>
      <c r="K2838" s="149"/>
      <c r="L2838" s="149"/>
      <c r="M2838" s="149"/>
      <c r="N2838" s="149"/>
    </row>
    <row r="2839" spans="8:14">
      <c r="H2839" s="2"/>
      <c r="K2839" s="149"/>
      <c r="L2839" s="149"/>
      <c r="M2839" s="149"/>
      <c r="N2839" s="149"/>
    </row>
    <row r="2840" spans="8:14">
      <c r="H2840" s="2"/>
      <c r="I2840" s="2"/>
      <c r="K2840" s="149"/>
      <c r="L2840" s="149"/>
      <c r="M2840" s="149"/>
      <c r="N2840" s="149"/>
    </row>
    <row r="2841" spans="8:14">
      <c r="H2841" s="2"/>
      <c r="I2841" s="2"/>
      <c r="K2841" s="149"/>
      <c r="L2841" s="149"/>
      <c r="M2841" s="149"/>
      <c r="N2841" s="149"/>
    </row>
    <row r="2842" spans="8:14">
      <c r="H2842" s="2"/>
      <c r="K2842" s="149"/>
      <c r="L2842" s="149"/>
      <c r="M2842" s="149"/>
      <c r="N2842" s="149"/>
    </row>
    <row r="2843" spans="8:14">
      <c r="H2843" s="2"/>
      <c r="K2843" s="149"/>
      <c r="L2843" s="149"/>
      <c r="M2843" s="149"/>
      <c r="N2843" s="149"/>
    </row>
    <row r="2844" spans="8:14">
      <c r="H2844" s="2"/>
      <c r="K2844" s="149"/>
      <c r="L2844" s="149"/>
      <c r="M2844" s="149"/>
      <c r="N2844" s="149"/>
    </row>
    <row r="2845" spans="8:14">
      <c r="H2845" s="2"/>
      <c r="I2845" s="2"/>
      <c r="K2845" s="149"/>
      <c r="L2845" s="149"/>
      <c r="M2845" s="149"/>
      <c r="N2845" s="149"/>
    </row>
    <row r="2846" spans="8:14">
      <c r="H2846" s="2"/>
      <c r="I2846" s="2"/>
      <c r="K2846" s="149"/>
      <c r="L2846" s="149"/>
      <c r="M2846" s="149"/>
      <c r="N2846" s="149"/>
    </row>
    <row r="2847" spans="8:14">
      <c r="H2847" s="2"/>
      <c r="K2847" s="149"/>
      <c r="L2847" s="149"/>
      <c r="M2847" s="149"/>
      <c r="N2847" s="149"/>
    </row>
    <row r="2848" spans="8:14">
      <c r="H2848" s="2"/>
      <c r="I2848" s="2"/>
      <c r="K2848" s="149"/>
      <c r="L2848" s="149"/>
      <c r="M2848" s="149"/>
      <c r="N2848" s="149"/>
    </row>
    <row r="2849" spans="8:14">
      <c r="H2849" s="2"/>
      <c r="I2849" s="2"/>
      <c r="K2849" s="149"/>
      <c r="L2849" s="149"/>
      <c r="M2849" s="149"/>
      <c r="N2849" s="149"/>
    </row>
    <row r="2850" spans="8:14">
      <c r="H2850" s="2"/>
      <c r="K2850" s="149"/>
      <c r="L2850" s="149"/>
      <c r="M2850" s="149"/>
      <c r="N2850" s="149"/>
    </row>
    <row r="2851" spans="8:14">
      <c r="H2851" s="2"/>
      <c r="K2851" s="149"/>
      <c r="L2851" s="149"/>
      <c r="M2851" s="149"/>
      <c r="N2851" s="149"/>
    </row>
    <row r="2852" spans="8:14">
      <c r="H2852" s="2"/>
      <c r="I2852" s="2"/>
      <c r="K2852" s="149"/>
      <c r="L2852" s="149"/>
      <c r="M2852" s="149"/>
      <c r="N2852" s="149"/>
    </row>
    <row r="2853" spans="8:14">
      <c r="H2853" s="2"/>
      <c r="K2853" s="149"/>
      <c r="L2853" s="149"/>
      <c r="M2853" s="149"/>
      <c r="N2853" s="149"/>
    </row>
    <row r="2854" spans="8:14">
      <c r="H2854" s="2"/>
      <c r="K2854" s="149"/>
      <c r="L2854" s="149"/>
      <c r="M2854" s="149"/>
      <c r="N2854" s="149"/>
    </row>
    <row r="2855" spans="8:14">
      <c r="H2855" s="2"/>
      <c r="I2855" s="2"/>
      <c r="K2855" s="149"/>
      <c r="L2855" s="149"/>
      <c r="M2855" s="149"/>
      <c r="N2855" s="149"/>
    </row>
    <row r="2856" spans="8:14">
      <c r="H2856" s="2"/>
      <c r="K2856" s="149"/>
      <c r="L2856" s="149"/>
      <c r="M2856" s="149"/>
      <c r="N2856" s="149"/>
    </row>
    <row r="2857" spans="8:14">
      <c r="H2857" s="2"/>
      <c r="J2857" s="2"/>
      <c r="K2857" s="149"/>
      <c r="L2857" s="149"/>
      <c r="M2857" s="149"/>
      <c r="N2857" s="149"/>
    </row>
    <row r="2858" spans="8:14">
      <c r="H2858" s="2"/>
      <c r="I2858" s="2"/>
      <c r="K2858" s="149"/>
      <c r="L2858" s="149"/>
      <c r="M2858" s="149"/>
      <c r="N2858" s="149"/>
    </row>
    <row r="2859" spans="8:14">
      <c r="H2859" s="2"/>
      <c r="K2859" s="149"/>
      <c r="L2859" s="149"/>
      <c r="M2859" s="149"/>
      <c r="N2859" s="149"/>
    </row>
    <row r="2860" spans="8:14">
      <c r="H2860" s="2"/>
      <c r="J2860" s="2"/>
      <c r="K2860" s="149"/>
      <c r="L2860" s="149"/>
      <c r="M2860" s="149"/>
      <c r="N2860" s="149"/>
    </row>
    <row r="2861" spans="8:14">
      <c r="H2861" s="2"/>
      <c r="I2861" s="2"/>
      <c r="K2861" s="149"/>
      <c r="L2861" s="149"/>
      <c r="M2861" s="149"/>
      <c r="N2861" s="149"/>
    </row>
    <row r="2862" spans="8:14">
      <c r="H2862" s="2"/>
      <c r="K2862" s="149"/>
      <c r="L2862" s="149"/>
      <c r="M2862" s="149"/>
      <c r="N2862" s="149"/>
    </row>
    <row r="2863" spans="8:14">
      <c r="H2863" s="2"/>
      <c r="K2863" s="149"/>
      <c r="L2863" s="149"/>
      <c r="M2863" s="149"/>
      <c r="N2863" s="149"/>
    </row>
    <row r="2864" spans="8:14">
      <c r="H2864" s="2"/>
      <c r="K2864" s="149"/>
      <c r="L2864" s="149"/>
      <c r="M2864" s="149"/>
      <c r="N2864" s="149"/>
    </row>
    <row r="2865" spans="8:14">
      <c r="H2865" s="2"/>
      <c r="K2865" s="149"/>
      <c r="L2865" s="149"/>
      <c r="M2865" s="149"/>
      <c r="N2865" s="149"/>
    </row>
    <row r="2866" spans="8:14">
      <c r="H2866" s="2"/>
      <c r="I2866" s="2"/>
      <c r="K2866" s="149"/>
      <c r="L2866" s="149"/>
      <c r="M2866" s="149"/>
      <c r="N2866" s="149"/>
    </row>
    <row r="2867" spans="8:14">
      <c r="H2867" s="2"/>
      <c r="K2867" s="149"/>
      <c r="L2867" s="149"/>
      <c r="M2867" s="149"/>
      <c r="N2867" s="149"/>
    </row>
    <row r="2868" spans="8:14">
      <c r="H2868" s="2"/>
      <c r="K2868" s="149"/>
      <c r="L2868" s="149"/>
      <c r="M2868" s="149"/>
      <c r="N2868" s="149"/>
    </row>
    <row r="2869" spans="8:14">
      <c r="H2869" s="2"/>
      <c r="K2869" s="149"/>
      <c r="L2869" s="149"/>
      <c r="M2869" s="149"/>
      <c r="N2869" s="149"/>
    </row>
    <row r="2870" spans="8:14">
      <c r="H2870" s="2"/>
      <c r="K2870" s="149"/>
      <c r="L2870" s="149"/>
      <c r="M2870" s="149"/>
      <c r="N2870" s="149"/>
    </row>
    <row r="2871" spans="8:14">
      <c r="H2871" s="2"/>
      <c r="K2871" s="149"/>
      <c r="L2871" s="149"/>
      <c r="M2871" s="149"/>
      <c r="N2871" s="149"/>
    </row>
    <row r="2872" spans="8:14">
      <c r="H2872" s="2"/>
      <c r="K2872" s="149"/>
      <c r="L2872" s="149"/>
      <c r="M2872" s="149"/>
      <c r="N2872" s="149"/>
    </row>
    <row r="2873" spans="8:14">
      <c r="H2873" s="2"/>
      <c r="K2873" s="149"/>
      <c r="L2873" s="149"/>
      <c r="M2873" s="149"/>
      <c r="N2873" s="149"/>
    </row>
    <row r="2874" spans="8:14">
      <c r="H2874" s="2"/>
      <c r="I2874" s="2"/>
      <c r="K2874" s="149"/>
      <c r="L2874" s="149"/>
      <c r="M2874" s="149"/>
      <c r="N2874" s="149"/>
    </row>
    <row r="2875" spans="8:14">
      <c r="H2875" s="2"/>
      <c r="I2875" s="2"/>
      <c r="K2875" s="149"/>
      <c r="L2875" s="149"/>
      <c r="M2875" s="149"/>
      <c r="N2875" s="149"/>
    </row>
    <row r="2876" spans="8:14">
      <c r="H2876" s="2"/>
      <c r="K2876" s="149"/>
      <c r="L2876" s="149"/>
      <c r="M2876" s="149"/>
      <c r="N2876" s="149"/>
    </row>
    <row r="2877" spans="8:14">
      <c r="H2877" s="2"/>
      <c r="K2877" s="149"/>
      <c r="L2877" s="149"/>
      <c r="M2877" s="149"/>
      <c r="N2877" s="149"/>
    </row>
    <row r="2878" spans="8:14">
      <c r="H2878" s="2"/>
      <c r="K2878" s="149"/>
      <c r="L2878" s="149"/>
      <c r="M2878" s="149"/>
      <c r="N2878" s="149"/>
    </row>
    <row r="2879" spans="8:14">
      <c r="H2879" s="2"/>
      <c r="K2879" s="149"/>
      <c r="L2879" s="149"/>
      <c r="M2879" s="149"/>
      <c r="N2879" s="149"/>
    </row>
    <row r="2880" spans="8:14">
      <c r="H2880" s="2"/>
      <c r="K2880" s="149"/>
      <c r="L2880" s="149"/>
      <c r="M2880" s="149"/>
      <c r="N2880" s="149"/>
    </row>
    <row r="2881" spans="8:14">
      <c r="H2881" s="2"/>
      <c r="K2881" s="149"/>
      <c r="L2881" s="149"/>
      <c r="M2881" s="149"/>
      <c r="N2881" s="149"/>
    </row>
    <row r="2882" spans="8:14">
      <c r="H2882" s="2"/>
      <c r="K2882" s="149"/>
      <c r="L2882" s="149"/>
      <c r="M2882" s="149"/>
      <c r="N2882" s="149"/>
    </row>
    <row r="2883" spans="8:14">
      <c r="H2883" s="2"/>
      <c r="K2883" s="149"/>
      <c r="L2883" s="149"/>
      <c r="M2883" s="149"/>
      <c r="N2883" s="149"/>
    </row>
    <row r="2884" spans="8:14">
      <c r="H2884" s="2"/>
      <c r="K2884" s="149"/>
      <c r="L2884" s="149"/>
      <c r="M2884" s="149"/>
      <c r="N2884" s="149"/>
    </row>
    <row r="2885" spans="8:14">
      <c r="H2885" s="2"/>
      <c r="K2885" s="149"/>
      <c r="L2885" s="149"/>
      <c r="M2885" s="149"/>
      <c r="N2885" s="149"/>
    </row>
    <row r="2886" spans="8:14">
      <c r="H2886" s="2"/>
      <c r="K2886" s="149"/>
      <c r="L2886" s="149"/>
      <c r="M2886" s="149"/>
      <c r="N2886" s="149"/>
    </row>
    <row r="2887" spans="8:14">
      <c r="K2887" s="149"/>
      <c r="L2887" s="149"/>
      <c r="M2887" s="149"/>
      <c r="N2887" s="149"/>
    </row>
    <row r="2888" spans="8:14">
      <c r="K2888" s="149"/>
      <c r="L2888" s="149"/>
      <c r="M2888" s="149"/>
      <c r="N2888" s="149"/>
    </row>
    <row r="2889" spans="8:14">
      <c r="K2889" s="149"/>
      <c r="L2889" s="149"/>
      <c r="M2889" s="149"/>
      <c r="N2889" s="149"/>
    </row>
    <row r="2890" spans="8:14">
      <c r="K2890" s="149"/>
      <c r="L2890" s="149"/>
      <c r="M2890" s="149"/>
      <c r="N2890" s="149"/>
    </row>
    <row r="2891" spans="8:14">
      <c r="K2891" s="149"/>
      <c r="L2891" s="149"/>
      <c r="M2891" s="149"/>
      <c r="N2891" s="149"/>
    </row>
    <row r="2892" spans="8:14">
      <c r="K2892" s="149"/>
      <c r="L2892" s="149"/>
      <c r="M2892" s="149"/>
      <c r="N2892" s="149"/>
    </row>
    <row r="2893" spans="8:14">
      <c r="K2893" s="149"/>
      <c r="L2893" s="149"/>
      <c r="M2893" s="149"/>
      <c r="N2893" s="149"/>
    </row>
    <row r="2894" spans="8:14">
      <c r="K2894" s="149"/>
      <c r="L2894" s="149"/>
      <c r="M2894" s="149"/>
      <c r="N2894" s="149"/>
    </row>
    <row r="2895" spans="8:14">
      <c r="K2895" s="149"/>
      <c r="L2895" s="149"/>
      <c r="M2895" s="149"/>
      <c r="N2895" s="149"/>
    </row>
    <row r="2896" spans="8:14">
      <c r="K2896" s="149"/>
      <c r="L2896" s="149"/>
      <c r="M2896" s="149"/>
      <c r="N2896" s="149"/>
    </row>
    <row r="2897" spans="11:14">
      <c r="K2897" s="149"/>
      <c r="L2897" s="149"/>
      <c r="M2897" s="149"/>
      <c r="N2897" s="149"/>
    </row>
    <row r="2898" spans="11:14">
      <c r="K2898" s="149"/>
      <c r="L2898" s="149"/>
      <c r="M2898" s="149"/>
      <c r="N2898" s="149"/>
    </row>
    <row r="2899" spans="11:14">
      <c r="K2899" s="149"/>
      <c r="L2899" s="149"/>
      <c r="M2899" s="149"/>
      <c r="N2899" s="149"/>
    </row>
    <row r="2900" spans="11:14">
      <c r="K2900" s="149"/>
      <c r="L2900" s="149"/>
      <c r="M2900" s="149"/>
      <c r="N2900" s="149"/>
    </row>
    <row r="2901" spans="11:14">
      <c r="K2901" s="149"/>
      <c r="L2901" s="149"/>
      <c r="M2901" s="149"/>
      <c r="N2901" s="149"/>
    </row>
    <row r="2902" spans="11:14">
      <c r="K2902" s="149"/>
      <c r="L2902" s="149"/>
      <c r="M2902" s="149"/>
      <c r="N2902" s="149"/>
    </row>
    <row r="2903" spans="11:14">
      <c r="K2903" s="149"/>
      <c r="L2903" s="149"/>
      <c r="M2903" s="149"/>
      <c r="N2903" s="149"/>
    </row>
    <row r="2904" spans="11:14">
      <c r="K2904" s="149"/>
      <c r="L2904" s="149"/>
      <c r="M2904" s="149"/>
      <c r="N2904" s="149"/>
    </row>
    <row r="2905" spans="11:14">
      <c r="K2905" s="149"/>
      <c r="L2905" s="149"/>
      <c r="M2905" s="149"/>
      <c r="N2905" s="149"/>
    </row>
    <row r="2906" spans="11:14">
      <c r="K2906" s="149"/>
      <c r="L2906" s="149"/>
      <c r="M2906" s="149"/>
      <c r="N2906" s="149"/>
    </row>
    <row r="2907" spans="11:14">
      <c r="K2907" s="149"/>
      <c r="L2907" s="149"/>
      <c r="M2907" s="149"/>
      <c r="N2907" s="149"/>
    </row>
    <row r="2908" spans="11:14">
      <c r="K2908" s="149"/>
      <c r="L2908" s="149"/>
      <c r="M2908" s="149"/>
      <c r="N2908" s="149"/>
    </row>
    <row r="2909" spans="11:14">
      <c r="K2909" s="149"/>
      <c r="L2909" s="149"/>
      <c r="M2909" s="149"/>
      <c r="N2909" s="149"/>
    </row>
    <row r="2910" spans="11:14">
      <c r="K2910" s="149"/>
      <c r="L2910" s="149"/>
      <c r="M2910" s="149"/>
      <c r="N2910" s="149"/>
    </row>
    <row r="2911" spans="11:14">
      <c r="K2911" s="149"/>
      <c r="L2911" s="149"/>
      <c r="M2911" s="149"/>
      <c r="N2911" s="149"/>
    </row>
    <row r="2912" spans="11:14">
      <c r="K2912" s="149"/>
      <c r="L2912" s="149"/>
      <c r="M2912" s="149"/>
      <c r="N2912" s="149"/>
    </row>
    <row r="2913" spans="11:14">
      <c r="K2913" s="149"/>
      <c r="L2913" s="149"/>
      <c r="M2913" s="149"/>
      <c r="N2913" s="149"/>
    </row>
    <row r="2914" spans="11:14">
      <c r="K2914" s="149"/>
      <c r="L2914" s="149"/>
      <c r="M2914" s="149"/>
      <c r="N2914" s="149"/>
    </row>
    <row r="2915" spans="11:14">
      <c r="K2915" s="149"/>
      <c r="L2915" s="149"/>
      <c r="M2915" s="149"/>
      <c r="N2915" s="149"/>
    </row>
    <row r="2916" spans="11:14">
      <c r="K2916" s="149"/>
      <c r="L2916" s="149"/>
      <c r="M2916" s="149"/>
      <c r="N2916" s="149"/>
    </row>
    <row r="2917" spans="11:14">
      <c r="K2917" s="149"/>
      <c r="L2917" s="149"/>
      <c r="M2917" s="149"/>
      <c r="N2917" s="149"/>
    </row>
    <row r="2918" spans="11:14">
      <c r="K2918" s="149"/>
      <c r="L2918" s="149"/>
      <c r="M2918" s="149"/>
      <c r="N2918" s="149"/>
    </row>
    <row r="2919" spans="11:14">
      <c r="K2919" s="149"/>
      <c r="L2919" s="149"/>
      <c r="M2919" s="149"/>
      <c r="N2919" s="149"/>
    </row>
    <row r="2920" spans="11:14">
      <c r="K2920" s="149"/>
      <c r="L2920" s="149"/>
      <c r="M2920" s="149"/>
      <c r="N2920" s="149"/>
    </row>
    <row r="2921" spans="11:14">
      <c r="K2921" s="149"/>
      <c r="L2921" s="149"/>
      <c r="M2921" s="149"/>
      <c r="N2921" s="149"/>
    </row>
    <row r="2922" spans="11:14">
      <c r="K2922" s="149"/>
      <c r="L2922" s="149"/>
      <c r="M2922" s="149"/>
      <c r="N2922" s="149"/>
    </row>
    <row r="2923" spans="11:14">
      <c r="K2923" s="149"/>
      <c r="L2923" s="149"/>
      <c r="M2923" s="149"/>
      <c r="N2923" s="149"/>
    </row>
    <row r="2924" spans="11:14">
      <c r="K2924" s="149"/>
      <c r="L2924" s="149"/>
      <c r="M2924" s="149"/>
      <c r="N2924" s="149"/>
    </row>
    <row r="2925" spans="11:14">
      <c r="K2925" s="149"/>
      <c r="L2925" s="149"/>
      <c r="M2925" s="149"/>
      <c r="N2925" s="149"/>
    </row>
    <row r="2926" spans="11:14">
      <c r="K2926" s="149"/>
      <c r="L2926" s="149"/>
      <c r="M2926" s="149"/>
      <c r="N2926" s="149"/>
    </row>
    <row r="2927" spans="11:14">
      <c r="K2927" s="149"/>
      <c r="L2927" s="149"/>
      <c r="M2927" s="149"/>
      <c r="N2927" s="149"/>
    </row>
    <row r="2928" spans="11:14">
      <c r="K2928" s="149"/>
      <c r="L2928" s="149"/>
      <c r="M2928" s="149"/>
      <c r="N2928" s="149"/>
    </row>
    <row r="2929" spans="11:14">
      <c r="K2929" s="149"/>
      <c r="L2929" s="149"/>
      <c r="M2929" s="149"/>
      <c r="N2929" s="149"/>
    </row>
    <row r="2930" spans="11:14">
      <c r="K2930" s="149"/>
      <c r="L2930" s="149"/>
      <c r="M2930" s="149"/>
      <c r="N2930" s="149"/>
    </row>
    <row r="2931" spans="11:14">
      <c r="K2931" s="149"/>
      <c r="L2931" s="149"/>
      <c r="M2931" s="149"/>
      <c r="N2931" s="149"/>
    </row>
    <row r="2932" spans="11:14">
      <c r="K2932" s="149"/>
      <c r="L2932" s="149"/>
      <c r="M2932" s="149"/>
      <c r="N2932" s="149"/>
    </row>
    <row r="2933" spans="11:14">
      <c r="K2933" s="149"/>
      <c r="L2933" s="149"/>
      <c r="M2933" s="149"/>
      <c r="N2933" s="149"/>
    </row>
    <row r="2934" spans="11:14">
      <c r="K2934" s="149"/>
      <c r="L2934" s="149"/>
      <c r="M2934" s="149"/>
      <c r="N2934" s="149"/>
    </row>
    <row r="2935" spans="11:14">
      <c r="K2935" s="149"/>
      <c r="L2935" s="149"/>
      <c r="M2935" s="149"/>
      <c r="N2935" s="149"/>
    </row>
    <row r="2936" spans="11:14">
      <c r="K2936" s="149"/>
      <c r="L2936" s="149"/>
      <c r="M2936" s="149"/>
      <c r="N2936" s="149"/>
    </row>
    <row r="2937" spans="11:14">
      <c r="K2937" s="149"/>
      <c r="L2937" s="149"/>
      <c r="M2937" s="149"/>
      <c r="N2937" s="149"/>
    </row>
    <row r="2938" spans="11:14">
      <c r="K2938" s="149"/>
      <c r="L2938" s="149"/>
      <c r="M2938" s="149"/>
      <c r="N2938" s="149"/>
    </row>
    <row r="2939" spans="11:14">
      <c r="K2939" s="149"/>
      <c r="L2939" s="149"/>
      <c r="M2939" s="149"/>
      <c r="N2939" s="149"/>
    </row>
    <row r="2940" spans="11:14">
      <c r="K2940" s="149"/>
      <c r="L2940" s="149"/>
      <c r="M2940" s="149"/>
      <c r="N2940" s="149"/>
    </row>
    <row r="2941" spans="11:14">
      <c r="K2941" s="149"/>
      <c r="L2941" s="149"/>
      <c r="M2941" s="149"/>
      <c r="N2941" s="149"/>
    </row>
    <row r="2942" spans="11:14">
      <c r="K2942" s="149"/>
      <c r="L2942" s="149"/>
      <c r="M2942" s="149"/>
      <c r="N2942" s="149"/>
    </row>
    <row r="2943" spans="11:14">
      <c r="K2943" s="149"/>
      <c r="L2943" s="149"/>
      <c r="M2943" s="149"/>
      <c r="N2943" s="149"/>
    </row>
    <row r="2944" spans="11:14">
      <c r="K2944" s="149"/>
      <c r="L2944" s="149"/>
      <c r="M2944" s="149"/>
      <c r="N2944" s="149"/>
    </row>
    <row r="2945" spans="11:14">
      <c r="K2945" s="149"/>
      <c r="L2945" s="149"/>
      <c r="M2945" s="149"/>
      <c r="N2945" s="149"/>
    </row>
    <row r="2946" spans="11:14">
      <c r="K2946" s="149"/>
      <c r="L2946" s="149"/>
      <c r="M2946" s="149"/>
      <c r="N2946" s="149"/>
    </row>
    <row r="2947" spans="11:14">
      <c r="K2947" s="149"/>
      <c r="L2947" s="149"/>
      <c r="M2947" s="149"/>
      <c r="N2947" s="149"/>
    </row>
    <row r="2948" spans="11:14">
      <c r="K2948" s="149"/>
      <c r="L2948" s="149"/>
      <c r="M2948" s="149"/>
      <c r="N2948" s="149"/>
    </row>
    <row r="2949" spans="11:14">
      <c r="K2949" s="149"/>
      <c r="L2949" s="149"/>
      <c r="M2949" s="149"/>
      <c r="N2949" s="149"/>
    </row>
    <row r="2950" spans="11:14">
      <c r="K2950" s="149"/>
      <c r="L2950" s="149"/>
      <c r="M2950" s="149"/>
      <c r="N2950" s="149"/>
    </row>
    <row r="2951" spans="11:14">
      <c r="K2951" s="149"/>
      <c r="L2951" s="149"/>
      <c r="M2951" s="149"/>
      <c r="N2951" s="149"/>
    </row>
    <row r="2952" spans="11:14">
      <c r="K2952" s="149"/>
      <c r="L2952" s="149"/>
      <c r="M2952" s="149"/>
      <c r="N2952" s="149"/>
    </row>
    <row r="2953" spans="11:14">
      <c r="K2953" s="149"/>
      <c r="L2953" s="149"/>
      <c r="M2953" s="149"/>
      <c r="N2953" s="149"/>
    </row>
    <row r="2954" spans="11:14">
      <c r="K2954" s="149"/>
      <c r="L2954" s="149"/>
      <c r="M2954" s="149"/>
      <c r="N2954" s="149"/>
    </row>
    <row r="2955" spans="11:14">
      <c r="K2955" s="149"/>
      <c r="L2955" s="149"/>
      <c r="M2955" s="149"/>
      <c r="N2955" s="149"/>
    </row>
    <row r="2956" spans="11:14">
      <c r="K2956" s="149"/>
      <c r="L2956" s="149"/>
      <c r="M2956" s="149"/>
      <c r="N2956" s="149"/>
    </row>
    <row r="2957" spans="11:14">
      <c r="K2957" s="149"/>
      <c r="L2957" s="149"/>
      <c r="M2957" s="149"/>
      <c r="N2957" s="149"/>
    </row>
    <row r="2958" spans="11:14">
      <c r="K2958" s="149"/>
      <c r="L2958" s="149"/>
      <c r="M2958" s="149"/>
      <c r="N2958" s="149"/>
    </row>
    <row r="2959" spans="11:14">
      <c r="K2959" s="149"/>
      <c r="L2959" s="149"/>
      <c r="M2959" s="149"/>
      <c r="N2959" s="149"/>
    </row>
    <row r="2960" spans="11:14">
      <c r="K2960" s="149"/>
      <c r="L2960" s="149"/>
      <c r="M2960" s="149"/>
      <c r="N2960" s="149"/>
    </row>
    <row r="2961" spans="11:14">
      <c r="K2961" s="149"/>
      <c r="L2961" s="149"/>
      <c r="M2961" s="149"/>
      <c r="N2961" s="149"/>
    </row>
    <row r="2962" spans="11:14">
      <c r="K2962" s="149"/>
      <c r="L2962" s="149"/>
      <c r="M2962" s="149"/>
      <c r="N2962" s="149"/>
    </row>
    <row r="2963" spans="11:14">
      <c r="K2963" s="149"/>
      <c r="L2963" s="149"/>
      <c r="M2963" s="149"/>
      <c r="N2963" s="149"/>
    </row>
    <row r="2964" spans="11:14">
      <c r="K2964" s="149"/>
      <c r="L2964" s="149"/>
      <c r="M2964" s="149"/>
      <c r="N2964" s="149"/>
    </row>
    <row r="2965" spans="11:14">
      <c r="K2965" s="149"/>
      <c r="L2965" s="149"/>
      <c r="M2965" s="149"/>
      <c r="N2965" s="149"/>
    </row>
    <row r="2966" spans="11:14">
      <c r="K2966" s="149"/>
      <c r="L2966" s="149"/>
      <c r="M2966" s="149"/>
      <c r="N2966" s="149"/>
    </row>
    <row r="2967" spans="11:14">
      <c r="K2967" s="149"/>
      <c r="L2967" s="149"/>
      <c r="M2967" s="149"/>
      <c r="N2967" s="149"/>
    </row>
    <row r="2968" spans="11:14">
      <c r="K2968" s="149"/>
      <c r="L2968" s="149"/>
      <c r="M2968" s="149"/>
      <c r="N2968" s="149"/>
    </row>
    <row r="2969" spans="11:14">
      <c r="K2969" s="149"/>
      <c r="L2969" s="149"/>
      <c r="M2969" s="149"/>
      <c r="N2969" s="149"/>
    </row>
    <row r="2970" spans="11:14">
      <c r="K2970" s="149"/>
      <c r="L2970" s="149"/>
      <c r="M2970" s="149"/>
      <c r="N2970" s="149"/>
    </row>
    <row r="2971" spans="11:14">
      <c r="K2971" s="149"/>
      <c r="L2971" s="149"/>
      <c r="M2971" s="149"/>
      <c r="N2971" s="149"/>
    </row>
    <row r="2972" spans="11:14">
      <c r="K2972" s="149"/>
      <c r="L2972" s="149"/>
      <c r="M2972" s="149"/>
      <c r="N2972" s="149"/>
    </row>
    <row r="2973" spans="11:14">
      <c r="K2973" s="149"/>
      <c r="L2973" s="149"/>
      <c r="M2973" s="149"/>
      <c r="N2973" s="149"/>
    </row>
    <row r="2974" spans="11:14">
      <c r="K2974" s="149"/>
      <c r="L2974" s="149"/>
      <c r="M2974" s="149"/>
      <c r="N2974" s="149"/>
    </row>
    <row r="2975" spans="11:14">
      <c r="K2975" s="149"/>
      <c r="L2975" s="149"/>
      <c r="M2975" s="149"/>
      <c r="N2975" s="149"/>
    </row>
    <row r="2976" spans="11:14">
      <c r="K2976" s="149"/>
      <c r="L2976" s="149"/>
      <c r="M2976" s="149"/>
      <c r="N2976" s="149"/>
    </row>
    <row r="2977" spans="9:14">
      <c r="K2977" s="149"/>
      <c r="L2977" s="149"/>
      <c r="M2977" s="149"/>
      <c r="N2977" s="149"/>
    </row>
    <row r="2978" spans="9:14">
      <c r="K2978" s="149"/>
      <c r="L2978" s="149"/>
      <c r="M2978" s="149"/>
      <c r="N2978" s="149"/>
    </row>
    <row r="2979" spans="9:14">
      <c r="K2979" s="149"/>
      <c r="L2979" s="149"/>
      <c r="M2979" s="149"/>
      <c r="N2979" s="149"/>
    </row>
    <row r="2980" spans="9:14">
      <c r="K2980" s="149"/>
      <c r="L2980" s="149"/>
      <c r="M2980" s="149"/>
      <c r="N2980" s="149"/>
    </row>
    <row r="2981" spans="9:14">
      <c r="K2981" s="149"/>
      <c r="L2981" s="149"/>
      <c r="M2981" s="149"/>
      <c r="N2981" s="149"/>
    </row>
    <row r="2982" spans="9:14">
      <c r="K2982" s="149"/>
      <c r="L2982" s="149"/>
      <c r="M2982" s="149"/>
      <c r="N2982" s="149"/>
    </row>
    <row r="2983" spans="9:14">
      <c r="K2983" s="149"/>
      <c r="L2983" s="149"/>
      <c r="M2983" s="149"/>
      <c r="N2983" s="149"/>
    </row>
    <row r="2984" spans="9:14">
      <c r="K2984" s="149"/>
      <c r="L2984" s="149"/>
      <c r="M2984" s="149"/>
      <c r="N2984" s="149"/>
    </row>
    <row r="2985" spans="9:14">
      <c r="K2985" s="149"/>
      <c r="L2985" s="149"/>
      <c r="M2985" s="149"/>
      <c r="N2985" s="149"/>
    </row>
    <row r="2986" spans="9:14">
      <c r="I2986" s="2"/>
      <c r="K2986" s="149"/>
      <c r="L2986" s="149"/>
      <c r="M2986" s="149"/>
      <c r="N2986" s="149"/>
    </row>
    <row r="2987" spans="9:14">
      <c r="K2987" s="149"/>
      <c r="L2987" s="149"/>
      <c r="M2987" s="149"/>
      <c r="N2987" s="149"/>
    </row>
    <row r="2988" spans="9:14">
      <c r="K2988" s="149"/>
      <c r="L2988" s="149"/>
      <c r="M2988" s="149"/>
      <c r="N2988" s="149"/>
    </row>
    <row r="2989" spans="9:14">
      <c r="K2989" s="149"/>
      <c r="L2989" s="149"/>
      <c r="M2989" s="149"/>
      <c r="N2989" s="149"/>
    </row>
    <row r="2990" spans="9:14">
      <c r="K2990" s="149"/>
      <c r="L2990" s="149"/>
      <c r="M2990" s="149"/>
      <c r="N2990" s="149"/>
    </row>
    <row r="2991" spans="9:14">
      <c r="K2991" s="149"/>
      <c r="L2991" s="149"/>
      <c r="M2991" s="149"/>
      <c r="N2991" s="149"/>
    </row>
    <row r="2992" spans="9:14">
      <c r="K2992" s="149"/>
      <c r="L2992" s="149"/>
      <c r="M2992" s="149"/>
      <c r="N2992" s="149"/>
    </row>
    <row r="2993" spans="11:14">
      <c r="K2993" s="149"/>
      <c r="L2993" s="149"/>
      <c r="M2993" s="149"/>
      <c r="N2993" s="149"/>
    </row>
    <row r="2994" spans="11:14">
      <c r="K2994" s="149"/>
      <c r="L2994" s="149"/>
      <c r="M2994" s="149"/>
      <c r="N2994" s="149"/>
    </row>
    <row r="2995" spans="11:14">
      <c r="K2995" s="149"/>
      <c r="L2995" s="149"/>
      <c r="M2995" s="149"/>
      <c r="N2995" s="149"/>
    </row>
    <row r="2996" spans="11:14">
      <c r="K2996" s="149"/>
      <c r="L2996" s="149"/>
      <c r="M2996" s="149"/>
      <c r="N2996" s="149"/>
    </row>
    <row r="2997" spans="11:14">
      <c r="K2997" s="149"/>
      <c r="L2997" s="149"/>
      <c r="M2997" s="149"/>
      <c r="N2997" s="149"/>
    </row>
    <row r="2998" spans="11:14">
      <c r="K2998" s="149"/>
      <c r="L2998" s="149"/>
      <c r="M2998" s="149"/>
      <c r="N2998" s="149"/>
    </row>
    <row r="2999" spans="11:14">
      <c r="K2999" s="149"/>
      <c r="L2999" s="149"/>
      <c r="M2999" s="149"/>
      <c r="N2999" s="149"/>
    </row>
    <row r="3000" spans="11:14">
      <c r="K3000" s="149"/>
      <c r="L3000" s="149"/>
      <c r="M3000" s="149"/>
      <c r="N3000" s="149"/>
    </row>
    <row r="3001" spans="11:14">
      <c r="K3001" s="149"/>
      <c r="L3001" s="149"/>
      <c r="M3001" s="149"/>
      <c r="N3001" s="149"/>
    </row>
    <row r="3002" spans="11:14">
      <c r="K3002" s="149"/>
      <c r="L3002" s="149"/>
      <c r="M3002" s="149"/>
      <c r="N3002" s="149"/>
    </row>
    <row r="3003" spans="11:14">
      <c r="K3003" s="149"/>
      <c r="L3003" s="149"/>
      <c r="M3003" s="149"/>
      <c r="N3003" s="149"/>
    </row>
    <row r="3004" spans="11:14">
      <c r="K3004" s="149"/>
      <c r="L3004" s="149"/>
      <c r="M3004" s="149"/>
      <c r="N3004" s="149"/>
    </row>
    <row r="3005" spans="11:14">
      <c r="K3005" s="149"/>
      <c r="L3005" s="149"/>
      <c r="M3005" s="149"/>
      <c r="N3005" s="149"/>
    </row>
    <row r="3006" spans="11:14">
      <c r="K3006" s="149"/>
      <c r="L3006" s="149"/>
      <c r="M3006" s="149"/>
      <c r="N3006" s="149"/>
    </row>
    <row r="3007" spans="11:14">
      <c r="K3007" s="149"/>
      <c r="L3007" s="149"/>
      <c r="M3007" s="149"/>
      <c r="N3007" s="149"/>
    </row>
    <row r="3008" spans="11:14">
      <c r="K3008" s="149"/>
      <c r="L3008" s="149"/>
      <c r="M3008" s="149"/>
      <c r="N3008" s="149"/>
    </row>
    <row r="3009" spans="11:14">
      <c r="K3009" s="149"/>
      <c r="L3009" s="149"/>
      <c r="M3009" s="149"/>
      <c r="N3009" s="149"/>
    </row>
    <row r="3010" spans="11:14">
      <c r="K3010" s="149"/>
      <c r="L3010" s="149"/>
      <c r="M3010" s="149"/>
      <c r="N3010" s="149"/>
    </row>
    <row r="3011" spans="11:14">
      <c r="K3011" s="149"/>
      <c r="L3011" s="149"/>
      <c r="M3011" s="149"/>
      <c r="N3011" s="149"/>
    </row>
    <row r="3012" spans="11:14">
      <c r="K3012" s="149"/>
      <c r="L3012" s="149"/>
      <c r="M3012" s="149"/>
      <c r="N3012" s="149"/>
    </row>
    <row r="3013" spans="11:14">
      <c r="K3013" s="149"/>
      <c r="L3013" s="149"/>
      <c r="M3013" s="149"/>
      <c r="N3013" s="149"/>
    </row>
    <row r="3014" spans="11:14">
      <c r="K3014" s="149"/>
      <c r="L3014" s="149"/>
      <c r="M3014" s="149"/>
      <c r="N3014" s="149"/>
    </row>
    <row r="3015" spans="11:14">
      <c r="K3015" s="149"/>
      <c r="L3015" s="149"/>
      <c r="M3015" s="149"/>
      <c r="N3015" s="149"/>
    </row>
    <row r="3016" spans="11:14">
      <c r="K3016" s="149"/>
      <c r="L3016" s="149"/>
      <c r="M3016" s="149"/>
      <c r="N3016" s="149"/>
    </row>
    <row r="3017" spans="11:14">
      <c r="K3017" s="149"/>
      <c r="L3017" s="149"/>
      <c r="M3017" s="149"/>
      <c r="N3017" s="149"/>
    </row>
    <row r="3018" spans="11:14">
      <c r="K3018" s="149"/>
      <c r="L3018" s="149"/>
      <c r="M3018" s="149"/>
      <c r="N3018" s="149"/>
    </row>
    <row r="3019" spans="11:14">
      <c r="K3019" s="149"/>
      <c r="L3019" s="149"/>
      <c r="M3019" s="149"/>
      <c r="N3019" s="149"/>
    </row>
    <row r="3020" spans="11:14">
      <c r="K3020" s="149"/>
      <c r="L3020" s="149"/>
      <c r="M3020" s="149"/>
      <c r="N3020" s="149"/>
    </row>
    <row r="3021" spans="11:14">
      <c r="K3021" s="149"/>
      <c r="L3021" s="149"/>
      <c r="M3021" s="149"/>
      <c r="N3021" s="149"/>
    </row>
    <row r="3022" spans="11:14">
      <c r="K3022" s="149"/>
      <c r="L3022" s="149"/>
      <c r="M3022" s="149"/>
      <c r="N3022" s="149"/>
    </row>
    <row r="3023" spans="11:14">
      <c r="K3023" s="149"/>
      <c r="L3023" s="149"/>
      <c r="M3023" s="149"/>
      <c r="N3023" s="149"/>
    </row>
    <row r="3024" spans="11:14">
      <c r="K3024" s="149"/>
      <c r="L3024" s="149"/>
      <c r="M3024" s="149"/>
      <c r="N3024" s="149"/>
    </row>
    <row r="3025" spans="11:14">
      <c r="K3025" s="149"/>
      <c r="L3025" s="149"/>
      <c r="M3025" s="149"/>
      <c r="N3025" s="149"/>
    </row>
    <row r="3026" spans="11:14">
      <c r="K3026" s="149"/>
      <c r="L3026" s="149"/>
      <c r="M3026" s="149"/>
      <c r="N3026" s="149"/>
    </row>
    <row r="3027" spans="11:14">
      <c r="K3027" s="149"/>
      <c r="L3027" s="149"/>
      <c r="M3027" s="149"/>
      <c r="N3027" s="149"/>
    </row>
    <row r="3028" spans="11:14">
      <c r="K3028" s="149"/>
      <c r="L3028" s="149"/>
      <c r="M3028" s="149"/>
      <c r="N3028" s="149"/>
    </row>
    <row r="3029" spans="11:14">
      <c r="K3029" s="149"/>
      <c r="L3029" s="149"/>
      <c r="M3029" s="149"/>
      <c r="N3029" s="149"/>
    </row>
    <row r="3030" spans="11:14">
      <c r="K3030" s="149"/>
      <c r="L3030" s="149"/>
      <c r="M3030" s="149"/>
      <c r="N3030" s="149"/>
    </row>
    <row r="3031" spans="11:14">
      <c r="K3031" s="149"/>
      <c r="L3031" s="149"/>
      <c r="M3031" s="149"/>
      <c r="N3031" s="149"/>
    </row>
    <row r="3032" spans="11:14">
      <c r="K3032" s="149"/>
      <c r="L3032" s="149"/>
      <c r="M3032" s="149"/>
      <c r="N3032" s="149"/>
    </row>
    <row r="3033" spans="11:14">
      <c r="K3033" s="149"/>
      <c r="L3033" s="149"/>
      <c r="M3033" s="149"/>
      <c r="N3033" s="149"/>
    </row>
    <row r="3034" spans="11:14">
      <c r="K3034" s="149"/>
      <c r="L3034" s="149"/>
      <c r="M3034" s="149"/>
      <c r="N3034" s="149"/>
    </row>
    <row r="3035" spans="11:14">
      <c r="K3035" s="149"/>
      <c r="L3035" s="149"/>
      <c r="M3035" s="149"/>
      <c r="N3035" s="149"/>
    </row>
    <row r="3036" spans="11:14">
      <c r="K3036" s="149"/>
      <c r="L3036" s="149"/>
      <c r="M3036" s="149"/>
      <c r="N3036" s="149"/>
    </row>
    <row r="3037" spans="11:14">
      <c r="K3037" s="149"/>
      <c r="L3037" s="149"/>
      <c r="M3037" s="149"/>
      <c r="N3037" s="149"/>
    </row>
    <row r="3038" spans="11:14">
      <c r="K3038" s="149"/>
      <c r="L3038" s="149"/>
      <c r="M3038" s="149"/>
      <c r="N3038" s="149"/>
    </row>
    <row r="3039" spans="11:14">
      <c r="K3039" s="149"/>
      <c r="L3039" s="149"/>
      <c r="M3039" s="149"/>
      <c r="N3039" s="149"/>
    </row>
    <row r="3040" spans="11:14">
      <c r="K3040" s="149"/>
      <c r="L3040" s="149"/>
      <c r="M3040" s="149"/>
      <c r="N3040" s="149"/>
    </row>
    <row r="3041" spans="9:14">
      <c r="K3041" s="149"/>
      <c r="L3041" s="149"/>
      <c r="M3041" s="149"/>
      <c r="N3041" s="149"/>
    </row>
    <row r="3042" spans="9:14">
      <c r="K3042" s="149"/>
      <c r="L3042" s="149"/>
      <c r="M3042" s="149"/>
      <c r="N3042" s="149"/>
    </row>
    <row r="3043" spans="9:14">
      <c r="K3043" s="149"/>
      <c r="L3043" s="149"/>
      <c r="M3043" s="149"/>
      <c r="N3043" s="149"/>
    </row>
    <row r="3044" spans="9:14">
      <c r="K3044" s="149"/>
      <c r="L3044" s="149"/>
      <c r="M3044" s="149"/>
      <c r="N3044" s="149"/>
    </row>
    <row r="3045" spans="9:14">
      <c r="I3045" s="2"/>
      <c r="K3045" s="149"/>
      <c r="L3045" s="149"/>
      <c r="M3045" s="149"/>
      <c r="N3045" s="149"/>
    </row>
    <row r="3046" spans="9:14">
      <c r="K3046" s="149"/>
      <c r="L3046" s="149"/>
      <c r="M3046" s="149"/>
      <c r="N3046" s="149"/>
    </row>
    <row r="3047" spans="9:14">
      <c r="K3047" s="149"/>
      <c r="L3047" s="149"/>
      <c r="M3047" s="149"/>
      <c r="N3047" s="149"/>
    </row>
    <row r="3048" spans="9:14">
      <c r="K3048" s="149"/>
      <c r="L3048" s="149"/>
      <c r="M3048" s="149"/>
      <c r="N3048" s="149"/>
    </row>
    <row r="3049" spans="9:14">
      <c r="K3049" s="149"/>
      <c r="L3049" s="149"/>
      <c r="M3049" s="149"/>
      <c r="N3049" s="149"/>
    </row>
    <row r="3050" spans="9:14">
      <c r="K3050" s="149"/>
      <c r="L3050" s="149"/>
      <c r="M3050" s="149"/>
      <c r="N3050" s="149"/>
    </row>
    <row r="3051" spans="9:14">
      <c r="K3051" s="149"/>
      <c r="L3051" s="149"/>
      <c r="M3051" s="149"/>
      <c r="N3051" s="149"/>
    </row>
    <row r="3052" spans="9:14">
      <c r="K3052" s="149"/>
      <c r="L3052" s="149"/>
      <c r="M3052" s="149"/>
      <c r="N3052" s="149"/>
    </row>
    <row r="3053" spans="9:14">
      <c r="K3053" s="149"/>
      <c r="L3053" s="149"/>
      <c r="M3053" s="149"/>
      <c r="N3053" s="149"/>
    </row>
    <row r="3054" spans="9:14">
      <c r="K3054" s="149"/>
      <c r="L3054" s="149"/>
      <c r="M3054" s="149"/>
      <c r="N3054" s="149"/>
    </row>
    <row r="3055" spans="9:14">
      <c r="K3055" s="149"/>
      <c r="L3055" s="149"/>
      <c r="M3055" s="149"/>
      <c r="N3055" s="149"/>
    </row>
    <row r="3056" spans="9:14">
      <c r="K3056" s="149"/>
      <c r="L3056" s="149"/>
      <c r="M3056" s="149"/>
      <c r="N3056" s="149"/>
    </row>
    <row r="3057" spans="10:14">
      <c r="K3057" s="149"/>
      <c r="L3057" s="149"/>
      <c r="M3057" s="149"/>
      <c r="N3057" s="149"/>
    </row>
    <row r="3058" spans="10:14">
      <c r="K3058" s="149"/>
      <c r="L3058" s="149"/>
      <c r="M3058" s="149"/>
      <c r="N3058" s="149"/>
    </row>
    <row r="3059" spans="10:14">
      <c r="K3059" s="149"/>
      <c r="L3059" s="149"/>
      <c r="M3059" s="149"/>
      <c r="N3059" s="149"/>
    </row>
    <row r="3060" spans="10:14">
      <c r="K3060" s="149"/>
      <c r="L3060" s="149"/>
      <c r="M3060" s="149"/>
      <c r="N3060" s="149"/>
    </row>
    <row r="3061" spans="10:14">
      <c r="K3061" s="149"/>
      <c r="L3061" s="149"/>
      <c r="M3061" s="149"/>
      <c r="N3061" s="149"/>
    </row>
    <row r="3062" spans="10:14">
      <c r="K3062" s="149"/>
      <c r="L3062" s="149"/>
      <c r="M3062" s="149"/>
      <c r="N3062" s="149"/>
    </row>
    <row r="3063" spans="10:14">
      <c r="K3063" s="149"/>
      <c r="L3063" s="149"/>
      <c r="M3063" s="149"/>
      <c r="N3063" s="149"/>
    </row>
    <row r="3064" spans="10:14">
      <c r="K3064" s="149"/>
      <c r="L3064" s="149"/>
      <c r="M3064" s="149"/>
      <c r="N3064" s="149"/>
    </row>
    <row r="3065" spans="10:14">
      <c r="K3065" s="149"/>
      <c r="L3065" s="149"/>
      <c r="M3065" s="149"/>
      <c r="N3065" s="149"/>
    </row>
    <row r="3066" spans="10:14">
      <c r="K3066" s="149"/>
      <c r="L3066" s="149"/>
      <c r="M3066" s="149"/>
      <c r="N3066" s="149"/>
    </row>
    <row r="3067" spans="10:14">
      <c r="K3067" s="149"/>
      <c r="L3067" s="149"/>
      <c r="M3067" s="149"/>
      <c r="N3067" s="149"/>
    </row>
    <row r="3068" spans="10:14">
      <c r="K3068" s="149"/>
      <c r="L3068" s="149"/>
      <c r="M3068" s="149"/>
      <c r="N3068" s="149"/>
    </row>
    <row r="3069" spans="10:14">
      <c r="K3069" s="149"/>
      <c r="L3069" s="149"/>
      <c r="M3069" s="149"/>
      <c r="N3069" s="149"/>
    </row>
    <row r="3070" spans="10:14">
      <c r="J3070" s="2"/>
      <c r="K3070" s="149"/>
      <c r="L3070" s="149"/>
      <c r="M3070" s="149"/>
      <c r="N3070" s="149"/>
    </row>
    <row r="3071" spans="10:14">
      <c r="K3071" s="149"/>
      <c r="L3071" s="149"/>
      <c r="M3071" s="149"/>
      <c r="N3071" s="149"/>
    </row>
    <row r="3072" spans="10:14">
      <c r="K3072" s="149"/>
      <c r="L3072" s="149"/>
      <c r="M3072" s="149"/>
      <c r="N3072" s="149"/>
    </row>
    <row r="3073" spans="9:14">
      <c r="I3073" s="2"/>
      <c r="K3073" s="149"/>
      <c r="L3073" s="149"/>
      <c r="M3073" s="149"/>
      <c r="N3073" s="149"/>
    </row>
    <row r="3074" spans="9:14">
      <c r="K3074" s="149"/>
      <c r="L3074" s="149"/>
      <c r="M3074" s="149"/>
      <c r="N3074" s="149"/>
    </row>
    <row r="3075" spans="9:14">
      <c r="K3075" s="149"/>
      <c r="L3075" s="149"/>
      <c r="M3075" s="149"/>
      <c r="N3075" s="149"/>
    </row>
    <row r="3076" spans="9:14">
      <c r="K3076" s="149"/>
      <c r="L3076" s="149"/>
      <c r="M3076" s="149"/>
      <c r="N3076" s="149"/>
    </row>
    <row r="3077" spans="9:14">
      <c r="K3077" s="149"/>
      <c r="L3077" s="149"/>
      <c r="M3077" s="149"/>
      <c r="N3077" s="149"/>
    </row>
    <row r="3078" spans="9:14">
      <c r="K3078" s="149"/>
      <c r="L3078" s="149"/>
      <c r="M3078" s="149"/>
      <c r="N3078" s="149"/>
    </row>
    <row r="3079" spans="9:14">
      <c r="K3079" s="149"/>
      <c r="L3079" s="149"/>
      <c r="M3079" s="149"/>
      <c r="N3079" s="149"/>
    </row>
    <row r="3080" spans="9:14">
      <c r="K3080" s="149"/>
      <c r="L3080" s="149"/>
      <c r="M3080" s="149"/>
      <c r="N3080" s="149"/>
    </row>
    <row r="3081" spans="9:14">
      <c r="K3081" s="149"/>
      <c r="L3081" s="149"/>
      <c r="M3081" s="149"/>
      <c r="N3081" s="149"/>
    </row>
    <row r="3082" spans="9:14">
      <c r="K3082" s="149"/>
      <c r="L3082" s="149"/>
      <c r="M3082" s="149"/>
      <c r="N3082" s="149"/>
    </row>
    <row r="3083" spans="9:14">
      <c r="K3083" s="149"/>
      <c r="L3083" s="149"/>
      <c r="M3083" s="149"/>
      <c r="N3083" s="149"/>
    </row>
    <row r="3084" spans="9:14">
      <c r="K3084" s="149"/>
      <c r="L3084" s="149"/>
      <c r="M3084" s="149"/>
      <c r="N3084" s="149"/>
    </row>
    <row r="3085" spans="9:14">
      <c r="K3085" s="149"/>
      <c r="L3085" s="149"/>
      <c r="M3085" s="149"/>
      <c r="N3085" s="149"/>
    </row>
    <row r="3086" spans="9:14">
      <c r="K3086" s="149"/>
      <c r="L3086" s="149"/>
      <c r="M3086" s="149"/>
      <c r="N3086" s="149"/>
    </row>
    <row r="3087" spans="9:14">
      <c r="K3087" s="149"/>
      <c r="L3087" s="149"/>
      <c r="M3087" s="149"/>
      <c r="N3087" s="149"/>
    </row>
    <row r="3088" spans="9:14">
      <c r="K3088" s="149"/>
      <c r="L3088" s="149"/>
      <c r="M3088" s="149"/>
      <c r="N3088" s="149"/>
    </row>
    <row r="3089" spans="8:14">
      <c r="K3089" s="149"/>
      <c r="L3089" s="149"/>
      <c r="M3089" s="149"/>
      <c r="N3089" s="149"/>
    </row>
    <row r="3090" spans="8:14">
      <c r="I3090" s="2"/>
      <c r="K3090" s="149"/>
      <c r="L3090" s="149"/>
      <c r="M3090" s="149"/>
      <c r="N3090" s="149"/>
    </row>
    <row r="3091" spans="8:14">
      <c r="K3091" s="149"/>
      <c r="L3091" s="149"/>
      <c r="M3091" s="149"/>
      <c r="N3091" s="149"/>
    </row>
    <row r="3092" spans="8:14">
      <c r="K3092" s="149"/>
      <c r="L3092" s="149"/>
      <c r="M3092" s="149"/>
      <c r="N3092" s="149"/>
    </row>
    <row r="3093" spans="8:14">
      <c r="H3093" s="2"/>
      <c r="K3093" s="149"/>
      <c r="L3093" s="149"/>
      <c r="M3093" s="149"/>
      <c r="N3093" s="149"/>
    </row>
    <row r="3094" spans="8:14">
      <c r="H3094" s="2"/>
      <c r="I3094" s="2"/>
      <c r="K3094" s="149"/>
      <c r="L3094" s="149"/>
      <c r="M3094" s="149"/>
      <c r="N3094" s="149"/>
    </row>
    <row r="3095" spans="8:14">
      <c r="H3095" s="2"/>
      <c r="K3095" s="149"/>
      <c r="L3095" s="149"/>
      <c r="M3095" s="149"/>
      <c r="N3095" s="149"/>
    </row>
    <row r="3096" spans="8:14">
      <c r="H3096" s="2"/>
      <c r="K3096" s="149"/>
      <c r="L3096" s="149"/>
      <c r="M3096" s="149"/>
      <c r="N3096" s="149"/>
    </row>
    <row r="3097" spans="8:14">
      <c r="K3097" s="149"/>
      <c r="L3097" s="149"/>
      <c r="M3097" s="149"/>
      <c r="N3097" s="149"/>
    </row>
    <row r="3098" spans="8:14">
      <c r="K3098" s="149"/>
      <c r="L3098" s="149"/>
      <c r="M3098" s="149"/>
      <c r="N3098" s="149"/>
    </row>
    <row r="3099" spans="8:14">
      <c r="K3099" s="149"/>
      <c r="L3099" s="149"/>
      <c r="M3099" s="149"/>
      <c r="N3099" s="149"/>
    </row>
    <row r="3100" spans="8:14">
      <c r="K3100" s="149"/>
      <c r="L3100" s="149"/>
      <c r="M3100" s="149"/>
      <c r="N3100" s="149"/>
    </row>
    <row r="3101" spans="8:14">
      <c r="K3101" s="149"/>
      <c r="L3101" s="149"/>
      <c r="M3101" s="149"/>
      <c r="N3101" s="149"/>
    </row>
    <row r="3102" spans="8:14">
      <c r="K3102" s="149"/>
      <c r="L3102" s="149"/>
      <c r="M3102" s="149"/>
      <c r="N3102" s="149"/>
    </row>
    <row r="3103" spans="8:14">
      <c r="K3103" s="149"/>
      <c r="L3103" s="149"/>
      <c r="M3103" s="149"/>
      <c r="N3103" s="149"/>
    </row>
    <row r="3104" spans="8:14">
      <c r="K3104" s="149"/>
      <c r="L3104" s="149"/>
      <c r="M3104" s="149"/>
      <c r="N3104" s="149"/>
    </row>
    <row r="3105" spans="8:14">
      <c r="H3105" s="2"/>
      <c r="K3105" s="149"/>
      <c r="L3105" s="149"/>
      <c r="M3105" s="149"/>
      <c r="N3105" s="149"/>
    </row>
    <row r="3106" spans="8:14">
      <c r="H3106" s="2"/>
      <c r="K3106" s="149"/>
      <c r="L3106" s="149"/>
      <c r="M3106" s="149"/>
      <c r="N3106" s="149"/>
    </row>
    <row r="3107" spans="8:14">
      <c r="H3107" s="2"/>
      <c r="K3107" s="149"/>
      <c r="L3107" s="149"/>
      <c r="M3107" s="149"/>
      <c r="N3107" s="149"/>
    </row>
    <row r="3108" spans="8:14">
      <c r="H3108" s="2"/>
      <c r="K3108" s="149"/>
      <c r="L3108" s="149"/>
      <c r="M3108" s="149"/>
      <c r="N3108" s="149"/>
    </row>
    <row r="3109" spans="8:14">
      <c r="K3109" s="149"/>
      <c r="L3109" s="149"/>
      <c r="M3109" s="149"/>
      <c r="N3109" s="149"/>
    </row>
    <row r="3110" spans="8:14">
      <c r="K3110" s="149"/>
      <c r="L3110" s="149"/>
      <c r="M3110" s="149"/>
      <c r="N3110" s="149"/>
    </row>
    <row r="3111" spans="8:14">
      <c r="K3111" s="149"/>
      <c r="L3111" s="149"/>
      <c r="M3111" s="149"/>
      <c r="N3111" s="149"/>
    </row>
    <row r="3112" spans="8:14">
      <c r="K3112" s="149"/>
      <c r="L3112" s="149"/>
      <c r="M3112" s="149"/>
      <c r="N3112" s="149"/>
    </row>
    <row r="3113" spans="8:14">
      <c r="K3113" s="149"/>
      <c r="L3113" s="149"/>
      <c r="M3113" s="149"/>
      <c r="N3113" s="149"/>
    </row>
    <row r="3114" spans="8:14">
      <c r="H3114" s="2"/>
      <c r="I3114" s="2"/>
      <c r="K3114" s="149"/>
      <c r="L3114" s="149"/>
      <c r="M3114" s="149"/>
      <c r="N3114" s="149"/>
    </row>
    <row r="3115" spans="8:14">
      <c r="H3115" s="2"/>
      <c r="I3115" s="2"/>
      <c r="K3115" s="149"/>
      <c r="L3115" s="149"/>
      <c r="M3115" s="149"/>
      <c r="N3115" s="149"/>
    </row>
    <row r="3116" spans="8:14">
      <c r="H3116" s="2"/>
      <c r="K3116" s="149"/>
      <c r="L3116" s="149"/>
      <c r="M3116" s="149"/>
      <c r="N3116" s="149"/>
    </row>
    <row r="3117" spans="8:14">
      <c r="H3117" s="2"/>
      <c r="I3117" s="2"/>
      <c r="K3117" s="149"/>
      <c r="L3117" s="149"/>
      <c r="M3117" s="149"/>
      <c r="N3117" s="149"/>
    </row>
    <row r="3118" spans="8:14">
      <c r="H3118" s="2"/>
      <c r="I3118" s="2"/>
      <c r="K3118" s="149"/>
      <c r="L3118" s="149"/>
      <c r="M3118" s="149"/>
      <c r="N3118" s="149"/>
    </row>
    <row r="3119" spans="8:14">
      <c r="H3119" s="2"/>
      <c r="I3119" s="2"/>
      <c r="K3119" s="149"/>
      <c r="L3119" s="149"/>
      <c r="M3119" s="149"/>
      <c r="N3119" s="149"/>
    </row>
    <row r="3120" spans="8:14">
      <c r="H3120" s="2"/>
      <c r="K3120" s="149"/>
      <c r="L3120" s="149"/>
      <c r="M3120" s="149"/>
      <c r="N3120" s="149"/>
    </row>
    <row r="3121" spans="8:14">
      <c r="H3121" s="2"/>
      <c r="I3121" s="2"/>
      <c r="K3121" s="149"/>
      <c r="L3121" s="149"/>
      <c r="M3121" s="149"/>
      <c r="N3121" s="149"/>
    </row>
    <row r="3122" spans="8:14">
      <c r="H3122" s="2"/>
      <c r="I3122" s="2"/>
      <c r="K3122" s="149"/>
      <c r="L3122" s="149"/>
      <c r="M3122" s="149"/>
      <c r="N3122" s="149"/>
    </row>
    <row r="3123" spans="8:14">
      <c r="H3123" s="2"/>
      <c r="I3123" s="2"/>
      <c r="K3123" s="149"/>
      <c r="L3123" s="149"/>
      <c r="M3123" s="149"/>
      <c r="N3123" s="149"/>
    </row>
    <row r="3124" spans="8:14">
      <c r="H3124" s="2"/>
      <c r="K3124" s="149"/>
      <c r="L3124" s="149"/>
      <c r="M3124" s="149"/>
      <c r="N3124" s="149"/>
    </row>
    <row r="3125" spans="8:14">
      <c r="H3125" s="2"/>
      <c r="K3125" s="149"/>
      <c r="L3125" s="149"/>
      <c r="M3125" s="149"/>
      <c r="N3125" s="149"/>
    </row>
    <row r="3126" spans="8:14">
      <c r="H3126" s="2"/>
      <c r="J3126" s="2"/>
      <c r="K3126" s="149"/>
      <c r="L3126" s="149"/>
      <c r="M3126" s="149"/>
      <c r="N3126" s="149"/>
    </row>
    <row r="3127" spans="8:14">
      <c r="H3127" s="2"/>
      <c r="K3127" s="149"/>
      <c r="L3127" s="149"/>
      <c r="M3127" s="149"/>
      <c r="N3127" s="149"/>
    </row>
    <row r="3128" spans="8:14">
      <c r="H3128" s="2"/>
      <c r="I3128" s="2"/>
      <c r="K3128" s="149"/>
      <c r="L3128" s="149"/>
      <c r="M3128" s="149"/>
      <c r="N3128" s="149"/>
    </row>
    <row r="3129" spans="8:14">
      <c r="H3129" s="2"/>
      <c r="K3129" s="149"/>
      <c r="L3129" s="149"/>
      <c r="M3129" s="149"/>
      <c r="N3129" s="149"/>
    </row>
    <row r="3130" spans="8:14">
      <c r="H3130" s="2"/>
      <c r="K3130" s="149"/>
      <c r="L3130" s="149"/>
      <c r="M3130" s="149"/>
      <c r="N3130" s="149"/>
    </row>
    <row r="3131" spans="8:14">
      <c r="H3131" s="2"/>
      <c r="I3131" s="2"/>
      <c r="K3131" s="149"/>
      <c r="L3131" s="149"/>
      <c r="M3131" s="149"/>
      <c r="N3131" s="149"/>
    </row>
    <row r="3132" spans="8:14">
      <c r="H3132" s="2"/>
      <c r="K3132" s="149"/>
      <c r="L3132" s="149"/>
      <c r="M3132" s="149"/>
      <c r="N3132" s="149"/>
    </row>
    <row r="3133" spans="8:14">
      <c r="H3133" s="2"/>
      <c r="K3133" s="149"/>
      <c r="L3133" s="149"/>
      <c r="M3133" s="149"/>
      <c r="N3133" s="149"/>
    </row>
    <row r="3134" spans="8:14">
      <c r="H3134" s="2"/>
      <c r="K3134" s="149"/>
      <c r="L3134" s="149"/>
      <c r="M3134" s="149"/>
      <c r="N3134" s="149"/>
    </row>
    <row r="3135" spans="8:14">
      <c r="H3135" s="2"/>
      <c r="K3135" s="149"/>
      <c r="L3135" s="149"/>
      <c r="M3135" s="149"/>
      <c r="N3135" s="149"/>
    </row>
    <row r="3136" spans="8:14">
      <c r="H3136" s="2"/>
      <c r="K3136" s="149"/>
      <c r="L3136" s="149"/>
      <c r="M3136" s="149"/>
      <c r="N3136" s="149"/>
    </row>
    <row r="3137" spans="8:14">
      <c r="H3137" s="2"/>
      <c r="K3137" s="149"/>
      <c r="L3137" s="149"/>
      <c r="M3137" s="149"/>
      <c r="N3137" s="149"/>
    </row>
    <row r="3138" spans="8:14">
      <c r="H3138" s="2"/>
      <c r="I3138" s="2"/>
      <c r="K3138" s="149"/>
      <c r="L3138" s="149"/>
      <c r="M3138" s="149"/>
      <c r="N3138" s="149"/>
    </row>
    <row r="3139" spans="8:14">
      <c r="H3139" s="2"/>
      <c r="K3139" s="149"/>
      <c r="L3139" s="149"/>
      <c r="M3139" s="149"/>
      <c r="N3139" s="149"/>
    </row>
    <row r="3140" spans="8:14">
      <c r="H3140" s="2"/>
      <c r="I3140" s="2"/>
      <c r="K3140" s="149"/>
      <c r="L3140" s="149"/>
      <c r="M3140" s="149"/>
      <c r="N3140" s="149"/>
    </row>
    <row r="3141" spans="8:14">
      <c r="H3141" s="2"/>
      <c r="K3141" s="149"/>
      <c r="L3141" s="149"/>
      <c r="M3141" s="149"/>
      <c r="N3141" s="149"/>
    </row>
    <row r="3142" spans="8:14">
      <c r="H3142" s="2"/>
      <c r="K3142" s="149"/>
      <c r="L3142" s="149"/>
      <c r="M3142" s="149"/>
      <c r="N3142" s="149"/>
    </row>
    <row r="3143" spans="8:14">
      <c r="H3143" s="2"/>
      <c r="I3143" s="2"/>
      <c r="K3143" s="149"/>
      <c r="L3143" s="149"/>
      <c r="M3143" s="149"/>
      <c r="N3143" s="149"/>
    </row>
    <row r="3144" spans="8:14">
      <c r="H3144" s="2"/>
      <c r="K3144" s="149"/>
      <c r="L3144" s="149"/>
      <c r="M3144" s="149"/>
      <c r="N3144" s="149"/>
    </row>
    <row r="3145" spans="8:14">
      <c r="H3145" s="2"/>
      <c r="I3145" s="2"/>
      <c r="K3145" s="149"/>
      <c r="L3145" s="149"/>
      <c r="M3145" s="149"/>
      <c r="N3145" s="149"/>
    </row>
    <row r="3146" spans="8:14">
      <c r="H3146" s="2"/>
      <c r="K3146" s="149"/>
      <c r="L3146" s="149"/>
      <c r="M3146" s="149"/>
      <c r="N3146" s="149"/>
    </row>
    <row r="3147" spans="8:14">
      <c r="H3147" s="2"/>
      <c r="I3147" s="2"/>
      <c r="K3147" s="149"/>
      <c r="L3147" s="149"/>
      <c r="M3147" s="149"/>
      <c r="N3147" s="149"/>
    </row>
    <row r="3148" spans="8:14">
      <c r="H3148" s="2"/>
      <c r="K3148" s="149"/>
      <c r="L3148" s="149"/>
      <c r="M3148" s="149"/>
      <c r="N3148" s="149"/>
    </row>
    <row r="3149" spans="8:14">
      <c r="H3149" s="2"/>
      <c r="K3149" s="149"/>
      <c r="L3149" s="149"/>
      <c r="M3149" s="149"/>
      <c r="N3149" s="149"/>
    </row>
    <row r="3150" spans="8:14">
      <c r="H3150" s="2"/>
      <c r="K3150" s="149"/>
      <c r="L3150" s="149"/>
      <c r="M3150" s="149"/>
      <c r="N3150" s="149"/>
    </row>
    <row r="3151" spans="8:14">
      <c r="H3151" s="2"/>
      <c r="K3151" s="149"/>
      <c r="L3151" s="149"/>
      <c r="M3151" s="149"/>
      <c r="N3151" s="149"/>
    </row>
    <row r="3152" spans="8:14">
      <c r="H3152" s="2"/>
      <c r="K3152" s="149"/>
      <c r="L3152" s="149"/>
      <c r="M3152" s="149"/>
      <c r="N3152" s="149"/>
    </row>
    <row r="3153" spans="8:14">
      <c r="H3153" s="2"/>
      <c r="I3153" s="2"/>
      <c r="K3153" s="149"/>
      <c r="L3153" s="149"/>
      <c r="M3153" s="149"/>
      <c r="N3153" s="149"/>
    </row>
    <row r="3154" spans="8:14">
      <c r="H3154" s="2"/>
      <c r="I3154" s="2"/>
      <c r="K3154" s="149"/>
      <c r="L3154" s="149"/>
      <c r="M3154" s="149"/>
      <c r="N3154" s="149"/>
    </row>
    <row r="3155" spans="8:14">
      <c r="H3155" s="2"/>
      <c r="I3155" s="2"/>
      <c r="K3155" s="149"/>
      <c r="L3155" s="149"/>
      <c r="M3155" s="149"/>
      <c r="N3155" s="149"/>
    </row>
    <row r="3156" spans="8:14">
      <c r="H3156" s="2"/>
      <c r="K3156" s="149"/>
      <c r="L3156" s="149"/>
      <c r="M3156" s="149"/>
      <c r="N3156" s="149"/>
    </row>
    <row r="3157" spans="8:14">
      <c r="H3157" s="2"/>
      <c r="K3157" s="149"/>
      <c r="L3157" s="149"/>
      <c r="M3157" s="149"/>
      <c r="N3157" s="149"/>
    </row>
    <row r="3158" spans="8:14">
      <c r="H3158" s="2"/>
      <c r="K3158" s="149"/>
      <c r="L3158" s="149"/>
      <c r="M3158" s="149"/>
      <c r="N3158" s="149"/>
    </row>
    <row r="3159" spans="8:14">
      <c r="H3159" s="2"/>
      <c r="K3159" s="149"/>
      <c r="L3159" s="149"/>
      <c r="M3159" s="149"/>
      <c r="N3159" s="149"/>
    </row>
    <row r="3160" spans="8:14">
      <c r="H3160" s="2"/>
      <c r="K3160" s="149"/>
      <c r="L3160" s="149"/>
      <c r="M3160" s="149"/>
      <c r="N3160" s="149"/>
    </row>
    <row r="3161" spans="8:14">
      <c r="H3161" s="2"/>
      <c r="I3161" s="2"/>
      <c r="K3161" s="149"/>
      <c r="L3161" s="149"/>
      <c r="M3161" s="149"/>
      <c r="N3161" s="149"/>
    </row>
    <row r="3162" spans="8:14">
      <c r="H3162" s="2"/>
      <c r="I3162" s="2"/>
      <c r="K3162" s="149"/>
      <c r="L3162" s="149"/>
      <c r="M3162" s="149"/>
      <c r="N3162" s="149"/>
    </row>
    <row r="3163" spans="8:14">
      <c r="H3163" s="2"/>
      <c r="I3163" s="2"/>
      <c r="K3163" s="149"/>
      <c r="L3163" s="149"/>
      <c r="M3163" s="149"/>
      <c r="N3163" s="149"/>
    </row>
    <row r="3164" spans="8:14">
      <c r="H3164" s="2"/>
      <c r="K3164" s="149"/>
      <c r="L3164" s="149"/>
      <c r="M3164" s="149"/>
      <c r="N3164" s="149"/>
    </row>
    <row r="3165" spans="8:14">
      <c r="H3165" s="2"/>
      <c r="K3165" s="149"/>
      <c r="L3165" s="149"/>
      <c r="M3165" s="149"/>
      <c r="N3165" s="149"/>
    </row>
    <row r="3166" spans="8:14">
      <c r="H3166" s="2"/>
      <c r="K3166" s="149"/>
      <c r="L3166" s="149"/>
      <c r="M3166" s="149"/>
      <c r="N3166" s="149"/>
    </row>
    <row r="3167" spans="8:14">
      <c r="H3167" s="2"/>
      <c r="I3167" s="2"/>
      <c r="K3167" s="149"/>
      <c r="L3167" s="149"/>
      <c r="M3167" s="149"/>
      <c r="N3167" s="149"/>
    </row>
    <row r="3168" spans="8:14">
      <c r="H3168" s="2"/>
      <c r="K3168" s="149"/>
      <c r="L3168" s="149"/>
      <c r="M3168" s="149"/>
      <c r="N3168" s="149"/>
    </row>
    <row r="3169" spans="8:14">
      <c r="H3169" s="2"/>
      <c r="K3169" s="149"/>
      <c r="L3169" s="149"/>
      <c r="M3169" s="149"/>
      <c r="N3169" s="149"/>
    </row>
    <row r="3170" spans="8:14">
      <c r="H3170" s="2"/>
      <c r="K3170" s="149"/>
      <c r="L3170" s="149"/>
      <c r="M3170" s="149"/>
      <c r="N3170" s="149"/>
    </row>
    <row r="3171" spans="8:14">
      <c r="H3171" s="2"/>
      <c r="K3171" s="149"/>
      <c r="L3171" s="149"/>
      <c r="M3171" s="149"/>
      <c r="N3171" s="149"/>
    </row>
    <row r="3172" spans="8:14">
      <c r="H3172" s="2"/>
      <c r="K3172" s="149"/>
      <c r="L3172" s="149"/>
      <c r="M3172" s="149"/>
      <c r="N3172" s="149"/>
    </row>
    <row r="3173" spans="8:14">
      <c r="K3173" s="149"/>
      <c r="L3173" s="149"/>
      <c r="M3173" s="149"/>
      <c r="N3173" s="149"/>
    </row>
    <row r="3174" spans="8:14">
      <c r="K3174" s="149"/>
      <c r="L3174" s="149"/>
      <c r="M3174" s="149"/>
      <c r="N3174" s="149"/>
    </row>
    <row r="3175" spans="8:14">
      <c r="K3175" s="149"/>
      <c r="L3175" s="149"/>
      <c r="M3175" s="149"/>
      <c r="N3175" s="149"/>
    </row>
    <row r="3176" spans="8:14">
      <c r="K3176" s="149"/>
      <c r="L3176" s="149"/>
      <c r="M3176" s="149"/>
      <c r="N3176" s="149"/>
    </row>
    <row r="3177" spans="8:14">
      <c r="K3177" s="149"/>
      <c r="L3177" s="149"/>
      <c r="M3177" s="149"/>
      <c r="N3177" s="149"/>
    </row>
    <row r="3178" spans="8:14">
      <c r="K3178" s="149"/>
      <c r="L3178" s="149"/>
      <c r="M3178" s="149"/>
      <c r="N3178" s="149"/>
    </row>
    <row r="3179" spans="8:14">
      <c r="K3179" s="149"/>
      <c r="L3179" s="149"/>
      <c r="M3179" s="149"/>
      <c r="N3179" s="149"/>
    </row>
    <row r="3180" spans="8:14">
      <c r="K3180" s="149"/>
      <c r="L3180" s="149"/>
      <c r="M3180" s="149"/>
      <c r="N3180" s="149"/>
    </row>
    <row r="3181" spans="8:14">
      <c r="K3181" s="149"/>
      <c r="L3181" s="149"/>
      <c r="M3181" s="149"/>
      <c r="N3181" s="149"/>
    </row>
    <row r="3182" spans="8:14">
      <c r="K3182" s="149"/>
      <c r="L3182" s="149"/>
      <c r="M3182" s="149"/>
      <c r="N3182" s="149"/>
    </row>
    <row r="3183" spans="8:14">
      <c r="K3183" s="149"/>
      <c r="L3183" s="149"/>
      <c r="M3183" s="149"/>
      <c r="N3183" s="149"/>
    </row>
    <row r="3184" spans="8:14">
      <c r="K3184" s="149"/>
      <c r="L3184" s="149"/>
      <c r="M3184" s="149"/>
      <c r="N3184" s="149"/>
    </row>
    <row r="3185" spans="10:14">
      <c r="K3185" s="149"/>
      <c r="L3185" s="149"/>
      <c r="M3185" s="149"/>
      <c r="N3185" s="149"/>
    </row>
    <row r="3186" spans="10:14">
      <c r="J3186" s="2"/>
      <c r="K3186" s="149"/>
      <c r="L3186" s="149"/>
      <c r="M3186" s="149"/>
      <c r="N3186" s="149"/>
    </row>
    <row r="3187" spans="10:14">
      <c r="K3187" s="149"/>
      <c r="L3187" s="149"/>
      <c r="M3187" s="149"/>
      <c r="N3187" s="149"/>
    </row>
    <row r="3188" spans="10:14">
      <c r="K3188" s="149"/>
      <c r="L3188" s="149"/>
      <c r="M3188" s="149"/>
      <c r="N3188" s="149"/>
    </row>
    <row r="3189" spans="10:14">
      <c r="K3189" s="149"/>
      <c r="L3189" s="149"/>
      <c r="M3189" s="149"/>
      <c r="N3189" s="149"/>
    </row>
    <row r="3190" spans="10:14">
      <c r="K3190" s="149"/>
      <c r="L3190" s="149"/>
      <c r="M3190" s="149"/>
      <c r="N3190" s="149"/>
    </row>
    <row r="3191" spans="10:14">
      <c r="K3191" s="149"/>
      <c r="L3191" s="149"/>
      <c r="M3191" s="149"/>
      <c r="N3191" s="149"/>
    </row>
    <row r="3192" spans="10:14">
      <c r="K3192" s="149"/>
      <c r="L3192" s="149"/>
      <c r="M3192" s="149"/>
      <c r="N3192" s="149"/>
    </row>
    <row r="3193" spans="10:14">
      <c r="K3193" s="149"/>
      <c r="L3193" s="149"/>
      <c r="M3193" s="149"/>
      <c r="N3193" s="149"/>
    </row>
    <row r="3194" spans="10:14">
      <c r="K3194" s="149"/>
      <c r="L3194" s="149"/>
      <c r="M3194" s="149"/>
      <c r="N3194" s="149"/>
    </row>
    <row r="3195" spans="10:14">
      <c r="K3195" s="149"/>
      <c r="L3195" s="149"/>
      <c r="M3195" s="149"/>
      <c r="N3195" s="149"/>
    </row>
    <row r="3196" spans="10:14">
      <c r="K3196" s="149"/>
      <c r="L3196" s="149"/>
      <c r="M3196" s="149"/>
      <c r="N3196" s="149"/>
    </row>
    <row r="3197" spans="10:14">
      <c r="K3197" s="149"/>
      <c r="L3197" s="149"/>
      <c r="M3197" s="149"/>
      <c r="N3197" s="149"/>
    </row>
    <row r="3198" spans="10:14">
      <c r="K3198" s="149"/>
      <c r="L3198" s="149"/>
      <c r="M3198" s="149"/>
      <c r="N3198" s="149"/>
    </row>
    <row r="3199" spans="10:14">
      <c r="K3199" s="149"/>
      <c r="L3199" s="149"/>
      <c r="M3199" s="149"/>
      <c r="N3199" s="149"/>
    </row>
    <row r="3200" spans="10:14">
      <c r="J3200" s="2"/>
      <c r="K3200" s="149"/>
      <c r="L3200" s="149"/>
      <c r="M3200" s="149"/>
      <c r="N3200" s="149"/>
    </row>
    <row r="3201" spans="11:14">
      <c r="K3201" s="149"/>
      <c r="L3201" s="149"/>
      <c r="M3201" s="149"/>
      <c r="N3201" s="149"/>
    </row>
    <row r="3202" spans="11:14">
      <c r="K3202" s="149"/>
      <c r="L3202" s="149"/>
      <c r="M3202" s="149"/>
      <c r="N3202" s="149"/>
    </row>
    <row r="3203" spans="11:14">
      <c r="K3203" s="149"/>
      <c r="L3203" s="149"/>
      <c r="M3203" s="149"/>
      <c r="N3203" s="149"/>
    </row>
    <row r="3204" spans="11:14">
      <c r="K3204" s="149"/>
      <c r="L3204" s="149"/>
      <c r="M3204" s="149"/>
      <c r="N3204" s="149"/>
    </row>
    <row r="3205" spans="11:14">
      <c r="K3205" s="149"/>
      <c r="L3205" s="149"/>
      <c r="M3205" s="149"/>
      <c r="N3205" s="149"/>
    </row>
    <row r="3206" spans="11:14">
      <c r="K3206" s="149"/>
      <c r="L3206" s="149"/>
      <c r="M3206" s="149"/>
      <c r="N3206" s="149"/>
    </row>
    <row r="3207" spans="11:14">
      <c r="K3207" s="149"/>
      <c r="L3207" s="149"/>
      <c r="M3207" s="149"/>
      <c r="N3207" s="149"/>
    </row>
    <row r="3208" spans="11:14">
      <c r="K3208" s="149"/>
      <c r="L3208" s="149"/>
      <c r="M3208" s="149"/>
      <c r="N3208" s="149"/>
    </row>
    <row r="3209" spans="11:14">
      <c r="K3209" s="149"/>
      <c r="L3209" s="149"/>
      <c r="M3209" s="149"/>
      <c r="N3209" s="149"/>
    </row>
    <row r="3210" spans="11:14">
      <c r="K3210" s="149"/>
      <c r="L3210" s="149"/>
      <c r="M3210" s="149"/>
      <c r="N3210" s="149"/>
    </row>
    <row r="3211" spans="11:14">
      <c r="K3211" s="149"/>
      <c r="L3211" s="149"/>
      <c r="M3211" s="149"/>
      <c r="N3211" s="149"/>
    </row>
    <row r="3212" spans="11:14">
      <c r="K3212" s="149"/>
      <c r="L3212" s="149"/>
      <c r="M3212" s="149"/>
      <c r="N3212" s="149"/>
    </row>
    <row r="3213" spans="11:14">
      <c r="K3213" s="149"/>
      <c r="L3213" s="149"/>
      <c r="M3213" s="149"/>
      <c r="N3213" s="149"/>
    </row>
    <row r="3214" spans="11:14">
      <c r="K3214" s="149"/>
      <c r="L3214" s="149"/>
      <c r="M3214" s="149"/>
      <c r="N3214" s="149"/>
    </row>
    <row r="3215" spans="11:14">
      <c r="K3215" s="149"/>
      <c r="L3215" s="149"/>
      <c r="M3215" s="149"/>
      <c r="N3215" s="149"/>
    </row>
    <row r="3216" spans="11:14">
      <c r="K3216" s="149"/>
      <c r="L3216" s="149"/>
      <c r="M3216" s="149"/>
      <c r="N3216" s="149"/>
    </row>
    <row r="3217" spans="11:14">
      <c r="K3217" s="149"/>
      <c r="L3217" s="149"/>
      <c r="M3217" s="149"/>
      <c r="N3217" s="149"/>
    </row>
    <row r="3218" spans="11:14">
      <c r="K3218" s="149"/>
      <c r="L3218" s="149"/>
      <c r="M3218" s="149"/>
      <c r="N3218" s="149"/>
    </row>
    <row r="3219" spans="11:14">
      <c r="K3219" s="149"/>
      <c r="L3219" s="149"/>
      <c r="M3219" s="149"/>
      <c r="N3219" s="149"/>
    </row>
    <row r="3220" spans="11:14">
      <c r="K3220" s="149"/>
      <c r="L3220" s="149"/>
      <c r="M3220" s="149"/>
      <c r="N3220" s="149"/>
    </row>
    <row r="3221" spans="11:14">
      <c r="K3221" s="149"/>
      <c r="L3221" s="149"/>
      <c r="M3221" s="149"/>
      <c r="N3221" s="149"/>
    </row>
    <row r="3222" spans="11:14">
      <c r="K3222" s="149"/>
      <c r="L3222" s="149"/>
      <c r="M3222" s="149"/>
      <c r="N3222" s="149"/>
    </row>
    <row r="3223" spans="11:14">
      <c r="K3223" s="149"/>
      <c r="L3223" s="149"/>
      <c r="M3223" s="149"/>
      <c r="N3223" s="149"/>
    </row>
    <row r="3224" spans="11:14">
      <c r="K3224" s="149"/>
      <c r="L3224" s="149"/>
      <c r="M3224" s="149"/>
      <c r="N3224" s="149"/>
    </row>
    <row r="3225" spans="11:14">
      <c r="K3225" s="149"/>
      <c r="L3225" s="149"/>
      <c r="M3225" s="149"/>
      <c r="N3225" s="149"/>
    </row>
    <row r="3226" spans="11:14">
      <c r="K3226" s="149"/>
      <c r="L3226" s="149"/>
      <c r="M3226" s="149"/>
      <c r="N3226" s="149"/>
    </row>
    <row r="3227" spans="11:14">
      <c r="K3227" s="149"/>
      <c r="L3227" s="149"/>
      <c r="M3227" s="149"/>
      <c r="N3227" s="149"/>
    </row>
    <row r="3228" spans="11:14">
      <c r="K3228" s="149"/>
      <c r="L3228" s="149"/>
      <c r="M3228" s="149"/>
      <c r="N3228" s="149"/>
    </row>
    <row r="3229" spans="11:14">
      <c r="K3229" s="149"/>
      <c r="L3229" s="149"/>
      <c r="M3229" s="149"/>
      <c r="N3229" s="149"/>
    </row>
    <row r="3230" spans="11:14">
      <c r="K3230" s="149"/>
      <c r="L3230" s="149"/>
      <c r="M3230" s="149"/>
      <c r="N3230" s="149"/>
    </row>
    <row r="3231" spans="11:14">
      <c r="K3231" s="149"/>
      <c r="L3231" s="149"/>
      <c r="M3231" s="149"/>
      <c r="N3231" s="149"/>
    </row>
    <row r="3232" spans="11:14">
      <c r="K3232" s="149"/>
      <c r="L3232" s="149"/>
      <c r="M3232" s="149"/>
      <c r="N3232" s="149"/>
    </row>
    <row r="3233" spans="11:14">
      <c r="K3233" s="149"/>
      <c r="L3233" s="149"/>
      <c r="M3233" s="149"/>
      <c r="N3233" s="149"/>
    </row>
    <row r="3234" spans="11:14">
      <c r="K3234" s="149"/>
      <c r="L3234" s="149"/>
      <c r="M3234" s="149"/>
      <c r="N3234" s="149"/>
    </row>
    <row r="3235" spans="11:14">
      <c r="K3235" s="149"/>
      <c r="L3235" s="149"/>
      <c r="M3235" s="149"/>
      <c r="N3235" s="149"/>
    </row>
    <row r="3236" spans="11:14">
      <c r="K3236" s="149"/>
      <c r="L3236" s="149"/>
      <c r="M3236" s="149"/>
      <c r="N3236" s="149"/>
    </row>
    <row r="3237" spans="11:14">
      <c r="K3237" s="149"/>
      <c r="L3237" s="149"/>
      <c r="M3237" s="149"/>
      <c r="N3237" s="149"/>
    </row>
    <row r="3238" spans="11:14">
      <c r="K3238" s="149"/>
      <c r="L3238" s="149"/>
      <c r="M3238" s="149"/>
      <c r="N3238" s="149"/>
    </row>
    <row r="3239" spans="11:14">
      <c r="K3239" s="149"/>
      <c r="L3239" s="149"/>
      <c r="M3239" s="149"/>
      <c r="N3239" s="149"/>
    </row>
    <row r="3240" spans="11:14">
      <c r="K3240" s="149"/>
      <c r="L3240" s="149"/>
      <c r="M3240" s="149"/>
      <c r="N3240" s="149"/>
    </row>
    <row r="3241" spans="11:14">
      <c r="K3241" s="149"/>
      <c r="L3241" s="149"/>
      <c r="M3241" s="149"/>
      <c r="N3241" s="149"/>
    </row>
    <row r="3242" spans="11:14">
      <c r="K3242" s="149"/>
      <c r="L3242" s="149"/>
      <c r="M3242" s="149"/>
      <c r="N3242" s="149"/>
    </row>
    <row r="3243" spans="11:14">
      <c r="K3243" s="149"/>
      <c r="L3243" s="149"/>
      <c r="M3243" s="149"/>
      <c r="N3243" s="149"/>
    </row>
    <row r="3244" spans="11:14">
      <c r="K3244" s="149"/>
      <c r="L3244" s="149"/>
      <c r="M3244" s="149"/>
      <c r="N3244" s="149"/>
    </row>
    <row r="3245" spans="11:14">
      <c r="K3245" s="149"/>
      <c r="L3245" s="149"/>
      <c r="M3245" s="149"/>
      <c r="N3245" s="149"/>
    </row>
    <row r="3246" spans="11:14">
      <c r="K3246" s="149"/>
      <c r="L3246" s="149"/>
      <c r="M3246" s="149"/>
      <c r="N3246" s="149"/>
    </row>
    <row r="3247" spans="11:14">
      <c r="K3247" s="149"/>
      <c r="L3247" s="149"/>
      <c r="M3247" s="149"/>
      <c r="N3247" s="149"/>
    </row>
    <row r="3248" spans="11:14">
      <c r="K3248" s="149"/>
      <c r="L3248" s="149"/>
      <c r="M3248" s="149"/>
      <c r="N3248" s="149"/>
    </row>
    <row r="3249" spans="9:14">
      <c r="I3249" s="2"/>
      <c r="K3249" s="149"/>
      <c r="L3249" s="149"/>
      <c r="M3249" s="149"/>
      <c r="N3249" s="149"/>
    </row>
    <row r="3250" spans="9:14">
      <c r="I3250" s="2"/>
      <c r="K3250" s="149"/>
      <c r="L3250" s="149"/>
      <c r="M3250" s="149"/>
      <c r="N3250" s="149"/>
    </row>
    <row r="3251" spans="9:14">
      <c r="I3251" s="2"/>
      <c r="K3251" s="149"/>
      <c r="L3251" s="149"/>
      <c r="M3251" s="149"/>
      <c r="N3251" s="149"/>
    </row>
    <row r="3252" spans="9:14">
      <c r="I3252" s="2"/>
      <c r="K3252" s="149"/>
      <c r="L3252" s="149"/>
      <c r="M3252" s="149"/>
      <c r="N3252" s="149"/>
    </row>
    <row r="3253" spans="9:14">
      <c r="K3253" s="149"/>
      <c r="L3253" s="149"/>
      <c r="M3253" s="149"/>
      <c r="N3253" s="149"/>
    </row>
    <row r="3254" spans="9:14">
      <c r="K3254" s="149"/>
      <c r="L3254" s="149"/>
      <c r="M3254" s="149"/>
      <c r="N3254" s="149"/>
    </row>
    <row r="3255" spans="9:14">
      <c r="K3255" s="149"/>
      <c r="L3255" s="149"/>
      <c r="M3255" s="149"/>
      <c r="N3255" s="149"/>
    </row>
    <row r="3256" spans="9:14">
      <c r="I3256" s="2"/>
      <c r="K3256" s="149"/>
      <c r="L3256" s="149"/>
      <c r="M3256" s="149"/>
      <c r="N3256" s="149"/>
    </row>
    <row r="3257" spans="9:14">
      <c r="I3257" s="2"/>
      <c r="K3257" s="149"/>
      <c r="L3257" s="149"/>
      <c r="M3257" s="149"/>
      <c r="N3257" s="149"/>
    </row>
    <row r="3258" spans="9:14">
      <c r="K3258" s="149"/>
      <c r="L3258" s="149"/>
      <c r="M3258" s="149"/>
      <c r="N3258" s="149"/>
    </row>
    <row r="3259" spans="9:14">
      <c r="K3259" s="149"/>
      <c r="L3259" s="149"/>
      <c r="M3259" s="149"/>
      <c r="N3259" s="149"/>
    </row>
    <row r="3260" spans="9:14">
      <c r="K3260" s="149"/>
      <c r="L3260" s="149"/>
      <c r="M3260" s="149"/>
      <c r="N3260" s="149"/>
    </row>
    <row r="3261" spans="9:14">
      <c r="K3261" s="149"/>
      <c r="L3261" s="149"/>
      <c r="M3261" s="149"/>
      <c r="N3261" s="149"/>
    </row>
    <row r="3262" spans="9:14">
      <c r="K3262" s="149"/>
      <c r="L3262" s="149"/>
      <c r="M3262" s="149"/>
      <c r="N3262" s="149"/>
    </row>
    <row r="3263" spans="9:14">
      <c r="K3263" s="149"/>
      <c r="L3263" s="149"/>
      <c r="M3263" s="149"/>
      <c r="N3263" s="149"/>
    </row>
    <row r="3264" spans="9:14">
      <c r="K3264" s="149"/>
      <c r="L3264" s="149"/>
      <c r="M3264" s="149"/>
      <c r="N3264" s="149"/>
    </row>
    <row r="3265" spans="9:14">
      <c r="K3265" s="149"/>
      <c r="L3265" s="149"/>
      <c r="M3265" s="149"/>
      <c r="N3265" s="149"/>
    </row>
    <row r="3266" spans="9:14">
      <c r="I3266" s="2"/>
      <c r="K3266" s="149"/>
      <c r="L3266" s="149"/>
      <c r="M3266" s="149"/>
      <c r="N3266" s="149"/>
    </row>
    <row r="3267" spans="9:14">
      <c r="K3267" s="149"/>
      <c r="L3267" s="149"/>
      <c r="M3267" s="149"/>
      <c r="N3267" s="149"/>
    </row>
    <row r="3268" spans="9:14">
      <c r="K3268" s="149"/>
      <c r="L3268" s="149"/>
      <c r="M3268" s="149"/>
      <c r="N3268" s="149"/>
    </row>
    <row r="3269" spans="9:14">
      <c r="K3269" s="149"/>
      <c r="L3269" s="149"/>
      <c r="M3269" s="149"/>
      <c r="N3269" s="149"/>
    </row>
    <row r="3270" spans="9:14">
      <c r="K3270" s="149"/>
      <c r="L3270" s="149"/>
      <c r="M3270" s="149"/>
      <c r="N3270" s="149"/>
    </row>
    <row r="3271" spans="9:14">
      <c r="K3271" s="149"/>
      <c r="L3271" s="149"/>
      <c r="M3271" s="149"/>
      <c r="N3271" s="149"/>
    </row>
    <row r="3272" spans="9:14">
      <c r="K3272" s="149"/>
      <c r="L3272" s="149"/>
      <c r="M3272" s="149"/>
      <c r="N3272" s="149"/>
    </row>
    <row r="3273" spans="9:14">
      <c r="K3273" s="149"/>
      <c r="L3273" s="149"/>
      <c r="M3273" s="149"/>
      <c r="N3273" s="149"/>
    </row>
    <row r="3274" spans="9:14">
      <c r="K3274" s="149"/>
      <c r="L3274" s="149"/>
      <c r="M3274" s="149"/>
      <c r="N3274" s="149"/>
    </row>
    <row r="3275" spans="9:14">
      <c r="K3275" s="149"/>
      <c r="L3275" s="149"/>
      <c r="M3275" s="149"/>
      <c r="N3275" s="149"/>
    </row>
    <row r="3276" spans="9:14">
      <c r="K3276" s="149"/>
      <c r="L3276" s="149"/>
      <c r="M3276" s="149"/>
      <c r="N3276" s="149"/>
    </row>
    <row r="3277" spans="9:14">
      <c r="K3277" s="149"/>
      <c r="L3277" s="149"/>
      <c r="M3277" s="149"/>
      <c r="N3277" s="149"/>
    </row>
    <row r="3278" spans="9:14">
      <c r="I3278" s="2"/>
      <c r="K3278" s="149"/>
      <c r="L3278" s="149"/>
      <c r="M3278" s="149"/>
      <c r="N3278" s="149"/>
    </row>
    <row r="3279" spans="9:14">
      <c r="K3279" s="149"/>
      <c r="L3279" s="149"/>
      <c r="M3279" s="149"/>
      <c r="N3279" s="149"/>
    </row>
    <row r="3280" spans="9:14">
      <c r="K3280" s="149"/>
      <c r="L3280" s="149"/>
      <c r="M3280" s="149"/>
      <c r="N3280" s="149"/>
    </row>
    <row r="3281" spans="9:14">
      <c r="K3281" s="149"/>
      <c r="L3281" s="149"/>
      <c r="M3281" s="149"/>
      <c r="N3281" s="149"/>
    </row>
    <row r="3282" spans="9:14">
      <c r="K3282" s="149"/>
      <c r="L3282" s="149"/>
      <c r="M3282" s="149"/>
      <c r="N3282" s="149"/>
    </row>
    <row r="3283" spans="9:14">
      <c r="K3283" s="149"/>
      <c r="L3283" s="149"/>
      <c r="M3283" s="149"/>
      <c r="N3283" s="149"/>
    </row>
    <row r="3284" spans="9:14">
      <c r="K3284" s="149"/>
      <c r="L3284" s="149"/>
      <c r="M3284" s="149"/>
      <c r="N3284" s="149"/>
    </row>
    <row r="3285" spans="9:14">
      <c r="K3285" s="149"/>
      <c r="L3285" s="149"/>
      <c r="M3285" s="149"/>
      <c r="N3285" s="149"/>
    </row>
    <row r="3286" spans="9:14">
      <c r="K3286" s="149"/>
      <c r="L3286" s="149"/>
      <c r="M3286" s="149"/>
      <c r="N3286" s="149"/>
    </row>
    <row r="3287" spans="9:14">
      <c r="K3287" s="149"/>
      <c r="L3287" s="149"/>
      <c r="M3287" s="149"/>
      <c r="N3287" s="149"/>
    </row>
    <row r="3288" spans="9:14">
      <c r="K3288" s="149"/>
      <c r="L3288" s="149"/>
      <c r="M3288" s="149"/>
      <c r="N3288" s="149"/>
    </row>
    <row r="3289" spans="9:14">
      <c r="K3289" s="149"/>
      <c r="L3289" s="149"/>
      <c r="M3289" s="149"/>
      <c r="N3289" s="149"/>
    </row>
    <row r="3290" spans="9:14">
      <c r="K3290" s="149"/>
      <c r="L3290" s="149"/>
      <c r="M3290" s="149"/>
      <c r="N3290" s="149"/>
    </row>
    <row r="3291" spans="9:14">
      <c r="K3291" s="149"/>
      <c r="L3291" s="149"/>
      <c r="M3291" s="149"/>
      <c r="N3291" s="149"/>
    </row>
    <row r="3292" spans="9:14">
      <c r="K3292" s="149"/>
      <c r="L3292" s="149"/>
      <c r="M3292" s="149"/>
      <c r="N3292" s="149"/>
    </row>
    <row r="3293" spans="9:14">
      <c r="K3293" s="149"/>
      <c r="L3293" s="149"/>
      <c r="M3293" s="149"/>
      <c r="N3293" s="149"/>
    </row>
    <row r="3294" spans="9:14">
      <c r="K3294" s="149"/>
      <c r="L3294" s="149"/>
      <c r="M3294" s="149"/>
      <c r="N3294" s="149"/>
    </row>
    <row r="3295" spans="9:14">
      <c r="K3295" s="149"/>
      <c r="L3295" s="149"/>
      <c r="M3295" s="149"/>
      <c r="N3295" s="149"/>
    </row>
    <row r="3296" spans="9:14">
      <c r="I3296" s="2"/>
      <c r="K3296" s="149"/>
      <c r="L3296" s="149"/>
      <c r="M3296" s="149"/>
      <c r="N3296" s="149"/>
    </row>
    <row r="3297" spans="9:14">
      <c r="K3297" s="149"/>
      <c r="L3297" s="149"/>
      <c r="M3297" s="149"/>
      <c r="N3297" s="149"/>
    </row>
    <row r="3298" spans="9:14">
      <c r="K3298" s="149"/>
      <c r="L3298" s="149"/>
      <c r="M3298" s="149"/>
      <c r="N3298" s="149"/>
    </row>
    <row r="3299" spans="9:14">
      <c r="K3299" s="149"/>
      <c r="L3299" s="149"/>
      <c r="M3299" s="149"/>
      <c r="N3299" s="149"/>
    </row>
    <row r="3300" spans="9:14">
      <c r="I3300" s="2"/>
      <c r="K3300" s="149"/>
      <c r="L3300" s="149"/>
      <c r="M3300" s="149"/>
      <c r="N3300" s="149"/>
    </row>
    <row r="3301" spans="9:14">
      <c r="K3301" s="149"/>
      <c r="L3301" s="149"/>
      <c r="M3301" s="149"/>
      <c r="N3301" s="149"/>
    </row>
    <row r="3302" spans="9:14">
      <c r="K3302" s="149"/>
      <c r="L3302" s="149"/>
      <c r="M3302" s="149"/>
      <c r="N3302" s="149"/>
    </row>
    <row r="3303" spans="9:14">
      <c r="K3303" s="149"/>
      <c r="L3303" s="149"/>
      <c r="M3303" s="149"/>
      <c r="N3303" s="149"/>
    </row>
    <row r="3304" spans="9:14">
      <c r="J3304" s="2"/>
      <c r="K3304" s="149"/>
      <c r="L3304" s="149"/>
      <c r="M3304" s="149"/>
      <c r="N3304" s="149"/>
    </row>
    <row r="3305" spans="9:14">
      <c r="K3305" s="149"/>
      <c r="L3305" s="149"/>
      <c r="M3305" s="149"/>
      <c r="N3305" s="149"/>
    </row>
    <row r="3306" spans="9:14">
      <c r="K3306" s="149"/>
      <c r="L3306" s="149"/>
      <c r="M3306" s="149"/>
      <c r="N3306" s="149"/>
    </row>
    <row r="3307" spans="9:14">
      <c r="K3307" s="149"/>
      <c r="L3307" s="149"/>
      <c r="M3307" s="149"/>
      <c r="N3307" s="149"/>
    </row>
    <row r="3308" spans="9:14">
      <c r="I3308" s="2"/>
      <c r="K3308" s="149"/>
      <c r="L3308" s="149"/>
      <c r="M3308" s="149"/>
      <c r="N3308" s="149"/>
    </row>
    <row r="3309" spans="9:14">
      <c r="K3309" s="149"/>
      <c r="L3309" s="149"/>
      <c r="M3309" s="149"/>
      <c r="N3309" s="149"/>
    </row>
    <row r="3310" spans="9:14">
      <c r="I3310" s="2"/>
      <c r="K3310" s="149"/>
      <c r="L3310" s="149"/>
      <c r="M3310" s="149"/>
      <c r="N3310" s="149"/>
    </row>
    <row r="3311" spans="9:14">
      <c r="I3311" s="2"/>
      <c r="K3311" s="149"/>
      <c r="L3311" s="149"/>
      <c r="M3311" s="149"/>
      <c r="N3311" s="149"/>
    </row>
    <row r="3312" spans="9:14">
      <c r="K3312" s="149"/>
      <c r="L3312" s="149"/>
      <c r="M3312" s="149"/>
      <c r="N3312" s="149"/>
    </row>
    <row r="3313" spans="9:14">
      <c r="K3313" s="149"/>
      <c r="L3313" s="149"/>
      <c r="M3313" s="149"/>
      <c r="N3313" s="149"/>
    </row>
    <row r="3314" spans="9:14">
      <c r="K3314" s="149"/>
      <c r="L3314" s="149"/>
      <c r="M3314" s="149"/>
      <c r="N3314" s="149"/>
    </row>
    <row r="3315" spans="9:14">
      <c r="K3315" s="149"/>
      <c r="L3315" s="149"/>
      <c r="M3315" s="149"/>
      <c r="N3315" s="149"/>
    </row>
    <row r="3316" spans="9:14">
      <c r="K3316" s="149"/>
      <c r="L3316" s="149"/>
      <c r="M3316" s="149"/>
      <c r="N3316" s="149"/>
    </row>
    <row r="3317" spans="9:14">
      <c r="K3317" s="149"/>
      <c r="L3317" s="149"/>
      <c r="M3317" s="149"/>
      <c r="N3317" s="149"/>
    </row>
    <row r="3318" spans="9:14">
      <c r="K3318" s="149"/>
      <c r="L3318" s="149"/>
      <c r="M3318" s="149"/>
      <c r="N3318" s="149"/>
    </row>
    <row r="3319" spans="9:14">
      <c r="I3319" s="2"/>
      <c r="K3319" s="149"/>
      <c r="L3319" s="149"/>
      <c r="M3319" s="149"/>
      <c r="N3319" s="149"/>
    </row>
    <row r="3320" spans="9:14">
      <c r="J3320" s="2"/>
      <c r="K3320" s="149"/>
      <c r="L3320" s="149"/>
      <c r="M3320" s="149"/>
      <c r="N3320" s="149"/>
    </row>
    <row r="3321" spans="9:14">
      <c r="K3321" s="149"/>
      <c r="L3321" s="149"/>
      <c r="M3321" s="149"/>
      <c r="N3321" s="149"/>
    </row>
    <row r="3322" spans="9:14">
      <c r="I3322" s="2"/>
      <c r="K3322" s="149"/>
      <c r="L3322" s="149"/>
      <c r="M3322" s="149"/>
      <c r="N3322" s="149"/>
    </row>
    <row r="3323" spans="9:14">
      <c r="K3323" s="149"/>
      <c r="L3323" s="149"/>
      <c r="M3323" s="149"/>
      <c r="N3323" s="149"/>
    </row>
    <row r="3324" spans="9:14">
      <c r="K3324" s="149"/>
      <c r="L3324" s="149"/>
      <c r="M3324" s="149"/>
      <c r="N3324" s="149"/>
    </row>
    <row r="3325" spans="9:14">
      <c r="K3325" s="149"/>
      <c r="L3325" s="149"/>
      <c r="M3325" s="149"/>
      <c r="N3325" s="149"/>
    </row>
    <row r="3326" spans="9:14">
      <c r="K3326" s="149"/>
      <c r="L3326" s="149"/>
      <c r="M3326" s="149"/>
      <c r="N3326" s="149"/>
    </row>
    <row r="3327" spans="9:14">
      <c r="K3327" s="149"/>
      <c r="L3327" s="149"/>
      <c r="M3327" s="149"/>
      <c r="N3327" s="149"/>
    </row>
    <row r="3328" spans="9:14">
      <c r="K3328" s="149"/>
      <c r="L3328" s="149"/>
      <c r="M3328" s="149"/>
      <c r="N3328" s="149"/>
    </row>
    <row r="3329" spans="9:14">
      <c r="K3329" s="149"/>
      <c r="L3329" s="149"/>
      <c r="M3329" s="149"/>
      <c r="N3329" s="149"/>
    </row>
    <row r="3330" spans="9:14">
      <c r="K3330" s="149"/>
      <c r="L3330" s="149"/>
      <c r="M3330" s="149"/>
      <c r="N3330" s="149"/>
    </row>
    <row r="3331" spans="9:14">
      <c r="K3331" s="149"/>
      <c r="L3331" s="149"/>
      <c r="M3331" s="149"/>
      <c r="N3331" s="149"/>
    </row>
    <row r="3332" spans="9:14">
      <c r="K3332" s="149"/>
      <c r="L3332" s="149"/>
      <c r="M3332" s="149"/>
      <c r="N3332" s="149"/>
    </row>
    <row r="3333" spans="9:14">
      <c r="K3333" s="149"/>
      <c r="L3333" s="149"/>
      <c r="M3333" s="149"/>
      <c r="N3333" s="149"/>
    </row>
    <row r="3334" spans="9:14">
      <c r="K3334" s="149"/>
      <c r="L3334" s="149"/>
      <c r="M3334" s="149"/>
      <c r="N3334" s="149"/>
    </row>
    <row r="3335" spans="9:14">
      <c r="I3335" s="2"/>
      <c r="K3335" s="149"/>
      <c r="L3335" s="149"/>
      <c r="M3335" s="149"/>
      <c r="N3335" s="149"/>
    </row>
    <row r="3336" spans="9:14">
      <c r="K3336" s="149"/>
      <c r="L3336" s="149"/>
      <c r="M3336" s="149"/>
      <c r="N3336" s="149"/>
    </row>
    <row r="3337" spans="9:14">
      <c r="K3337" s="149"/>
      <c r="L3337" s="149"/>
      <c r="M3337" s="149"/>
      <c r="N3337" s="149"/>
    </row>
    <row r="3338" spans="9:14">
      <c r="K3338" s="149"/>
      <c r="L3338" s="149"/>
      <c r="M3338" s="149"/>
      <c r="N3338" s="149"/>
    </row>
    <row r="3339" spans="9:14">
      <c r="I3339" s="2"/>
      <c r="K3339" s="149"/>
      <c r="L3339" s="149"/>
      <c r="M3339" s="149"/>
      <c r="N3339" s="149"/>
    </row>
    <row r="3340" spans="9:14">
      <c r="I3340" s="2"/>
      <c r="K3340" s="149"/>
      <c r="L3340" s="149"/>
      <c r="M3340" s="149"/>
      <c r="N3340" s="149"/>
    </row>
    <row r="3341" spans="9:14">
      <c r="K3341" s="149"/>
      <c r="L3341" s="149"/>
      <c r="M3341" s="149"/>
      <c r="N3341" s="149"/>
    </row>
    <row r="3342" spans="9:14">
      <c r="K3342" s="149"/>
      <c r="L3342" s="149"/>
      <c r="M3342" s="149"/>
      <c r="N3342" s="149"/>
    </row>
    <row r="3343" spans="9:14">
      <c r="K3343" s="149"/>
      <c r="L3343" s="149"/>
      <c r="M3343" s="149"/>
      <c r="N3343" s="149"/>
    </row>
    <row r="3344" spans="9:14">
      <c r="K3344" s="149"/>
      <c r="L3344" s="149"/>
      <c r="M3344" s="149"/>
      <c r="N3344" s="149"/>
    </row>
    <row r="3345" spans="9:14">
      <c r="I3345" s="2"/>
      <c r="K3345" s="149"/>
      <c r="L3345" s="149"/>
      <c r="M3345" s="149"/>
      <c r="N3345" s="149"/>
    </row>
    <row r="3346" spans="9:14">
      <c r="K3346" s="149"/>
      <c r="L3346" s="149"/>
      <c r="M3346" s="149"/>
      <c r="N3346" s="149"/>
    </row>
    <row r="3347" spans="9:14">
      <c r="K3347" s="149"/>
      <c r="L3347" s="149"/>
      <c r="M3347" s="149"/>
      <c r="N3347" s="149"/>
    </row>
    <row r="3348" spans="9:14">
      <c r="K3348" s="149"/>
      <c r="L3348" s="149"/>
      <c r="M3348" s="149"/>
      <c r="N3348" s="149"/>
    </row>
    <row r="3349" spans="9:14">
      <c r="K3349" s="149"/>
      <c r="L3349" s="149"/>
      <c r="M3349" s="149"/>
      <c r="N3349" s="149"/>
    </row>
    <row r="3350" spans="9:14">
      <c r="K3350" s="149"/>
      <c r="L3350" s="149"/>
      <c r="M3350" s="149"/>
      <c r="N3350" s="149"/>
    </row>
    <row r="3351" spans="9:14">
      <c r="K3351" s="149"/>
      <c r="L3351" s="149"/>
      <c r="M3351" s="149"/>
      <c r="N3351" s="149"/>
    </row>
    <row r="3352" spans="9:14">
      <c r="I3352" s="2"/>
      <c r="K3352" s="149"/>
      <c r="L3352" s="149"/>
      <c r="M3352" s="149"/>
      <c r="N3352" s="149"/>
    </row>
    <row r="3353" spans="9:14">
      <c r="K3353" s="149"/>
      <c r="L3353" s="149"/>
      <c r="M3353" s="149"/>
      <c r="N3353" s="149"/>
    </row>
    <row r="3354" spans="9:14">
      <c r="K3354" s="149"/>
      <c r="L3354" s="149"/>
      <c r="M3354" s="149"/>
      <c r="N3354" s="149"/>
    </row>
    <row r="3355" spans="9:14">
      <c r="K3355" s="149"/>
      <c r="L3355" s="149"/>
      <c r="M3355" s="149"/>
      <c r="N3355" s="149"/>
    </row>
    <row r="3356" spans="9:14">
      <c r="K3356" s="149"/>
      <c r="L3356" s="149"/>
      <c r="M3356" s="149"/>
      <c r="N3356" s="149"/>
    </row>
    <row r="3357" spans="9:14">
      <c r="I3357" s="2"/>
      <c r="K3357" s="149"/>
      <c r="L3357" s="149"/>
      <c r="M3357" s="149"/>
      <c r="N3357" s="149"/>
    </row>
    <row r="3358" spans="9:14">
      <c r="K3358" s="149"/>
      <c r="L3358" s="149"/>
      <c r="M3358" s="149"/>
      <c r="N3358" s="149"/>
    </row>
    <row r="3359" spans="9:14">
      <c r="I3359" s="2"/>
      <c r="J3359" s="2"/>
      <c r="K3359" s="149"/>
      <c r="L3359" s="149"/>
      <c r="M3359" s="149"/>
      <c r="N3359" s="149"/>
    </row>
    <row r="3360" spans="9:14">
      <c r="J3360" s="2"/>
      <c r="K3360" s="149"/>
      <c r="L3360" s="149"/>
      <c r="M3360" s="149"/>
      <c r="N3360" s="149"/>
    </row>
    <row r="3361" spans="8:14">
      <c r="I3361" s="2"/>
      <c r="K3361" s="149"/>
      <c r="L3361" s="149"/>
      <c r="M3361" s="149"/>
      <c r="N3361" s="149"/>
    </row>
    <row r="3362" spans="8:14">
      <c r="I3362" s="2"/>
      <c r="K3362" s="149"/>
      <c r="L3362" s="149"/>
      <c r="M3362" s="149"/>
      <c r="N3362" s="149"/>
    </row>
    <row r="3363" spans="8:14">
      <c r="K3363" s="149"/>
      <c r="L3363" s="149"/>
      <c r="M3363" s="149"/>
      <c r="N3363" s="149"/>
    </row>
    <row r="3364" spans="8:14">
      <c r="I3364" s="2"/>
      <c r="K3364" s="149"/>
      <c r="L3364" s="149"/>
      <c r="M3364" s="149"/>
      <c r="N3364" s="149"/>
    </row>
    <row r="3365" spans="8:14">
      <c r="H3365" s="2"/>
      <c r="I3365" s="2"/>
      <c r="K3365" s="149"/>
      <c r="L3365" s="149"/>
      <c r="M3365" s="149"/>
      <c r="N3365" s="149"/>
    </row>
    <row r="3366" spans="8:14">
      <c r="H3366" s="2"/>
      <c r="J3366" s="2"/>
      <c r="K3366" s="149"/>
      <c r="L3366" s="149"/>
      <c r="M3366" s="149"/>
      <c r="N3366" s="149"/>
    </row>
    <row r="3367" spans="8:14">
      <c r="H3367" s="2"/>
      <c r="J3367" s="2"/>
      <c r="K3367" s="149"/>
      <c r="L3367" s="149"/>
      <c r="M3367" s="149"/>
      <c r="N3367" s="149"/>
    </row>
    <row r="3368" spans="8:14">
      <c r="H3368" s="2"/>
      <c r="K3368" s="149"/>
      <c r="L3368" s="149"/>
      <c r="M3368" s="149"/>
      <c r="N3368" s="149"/>
    </row>
    <row r="3369" spans="8:14">
      <c r="H3369" s="2"/>
      <c r="K3369" s="149"/>
      <c r="L3369" s="149"/>
      <c r="M3369" s="149"/>
      <c r="N3369" s="149"/>
    </row>
    <row r="3370" spans="8:14">
      <c r="K3370" s="149"/>
      <c r="L3370" s="149"/>
      <c r="M3370" s="149"/>
      <c r="N3370" s="149"/>
    </row>
    <row r="3371" spans="8:14">
      <c r="K3371" s="149"/>
      <c r="L3371" s="149"/>
      <c r="M3371" s="149"/>
      <c r="N3371" s="149"/>
    </row>
    <row r="3372" spans="8:14">
      <c r="K3372" s="149"/>
      <c r="L3372" s="149"/>
      <c r="M3372" s="149"/>
      <c r="N3372" s="149"/>
    </row>
    <row r="3373" spans="8:14">
      <c r="J3373" s="2"/>
      <c r="K3373" s="149"/>
      <c r="L3373" s="149"/>
      <c r="M3373" s="149"/>
      <c r="N3373" s="149"/>
    </row>
    <row r="3374" spans="8:14">
      <c r="J3374" s="2"/>
      <c r="K3374" s="149"/>
      <c r="L3374" s="149"/>
      <c r="M3374" s="149"/>
      <c r="N3374" s="149"/>
    </row>
    <row r="3375" spans="8:14">
      <c r="J3375" s="2"/>
      <c r="K3375" s="149"/>
      <c r="L3375" s="149"/>
      <c r="M3375" s="149"/>
      <c r="N3375" s="149"/>
    </row>
    <row r="3376" spans="8:14">
      <c r="K3376" s="149"/>
      <c r="L3376" s="149"/>
      <c r="M3376" s="149"/>
      <c r="N3376" s="149"/>
    </row>
    <row r="3377" spans="8:14">
      <c r="J3377" s="2"/>
      <c r="K3377" s="149"/>
      <c r="L3377" s="149"/>
      <c r="M3377" s="149"/>
      <c r="N3377" s="149"/>
    </row>
    <row r="3378" spans="8:14">
      <c r="J3378" s="2"/>
      <c r="K3378" s="149"/>
      <c r="L3378" s="149"/>
      <c r="M3378" s="149"/>
      <c r="N3378" s="149"/>
    </row>
    <row r="3379" spans="8:14">
      <c r="K3379" s="149"/>
      <c r="L3379" s="149"/>
      <c r="M3379" s="149"/>
      <c r="N3379" s="149"/>
    </row>
    <row r="3380" spans="8:14">
      <c r="K3380" s="149"/>
      <c r="L3380" s="149"/>
      <c r="M3380" s="149"/>
      <c r="N3380" s="149"/>
    </row>
    <row r="3381" spans="8:14">
      <c r="K3381" s="149"/>
      <c r="L3381" s="149"/>
      <c r="M3381" s="149"/>
      <c r="N3381" s="149"/>
    </row>
    <row r="3382" spans="8:14">
      <c r="K3382" s="149"/>
      <c r="L3382" s="149"/>
      <c r="M3382" s="149"/>
      <c r="N3382" s="149"/>
    </row>
    <row r="3383" spans="8:14">
      <c r="K3383" s="149"/>
      <c r="L3383" s="149"/>
      <c r="M3383" s="149"/>
      <c r="N3383" s="149"/>
    </row>
    <row r="3384" spans="8:14">
      <c r="H3384" s="2"/>
      <c r="J3384" s="2"/>
      <c r="K3384" s="149"/>
      <c r="L3384" s="149"/>
      <c r="M3384" s="149"/>
      <c r="N3384" s="149"/>
    </row>
    <row r="3385" spans="8:14">
      <c r="K3385" s="149"/>
      <c r="L3385" s="149"/>
      <c r="M3385" s="149"/>
      <c r="N3385" s="149"/>
    </row>
    <row r="3386" spans="8:14">
      <c r="K3386" s="149"/>
      <c r="L3386" s="149"/>
      <c r="M3386" s="149"/>
      <c r="N3386" s="149"/>
    </row>
    <row r="3387" spans="8:14">
      <c r="K3387" s="149"/>
      <c r="L3387" s="149"/>
      <c r="M3387" s="149"/>
      <c r="N3387" s="149"/>
    </row>
    <row r="3388" spans="8:14">
      <c r="K3388" s="149"/>
      <c r="L3388" s="149"/>
      <c r="M3388" s="149"/>
      <c r="N3388" s="149"/>
    </row>
    <row r="3389" spans="8:14">
      <c r="H3389" s="2"/>
      <c r="I3389" s="2"/>
      <c r="K3389" s="149"/>
      <c r="L3389" s="149"/>
      <c r="M3389" s="149"/>
      <c r="N3389" s="149"/>
    </row>
    <row r="3390" spans="8:14">
      <c r="H3390" s="2"/>
      <c r="I3390" s="2"/>
      <c r="K3390" s="149"/>
      <c r="L3390" s="149"/>
      <c r="M3390" s="149"/>
      <c r="N3390" s="149"/>
    </row>
    <row r="3391" spans="8:14">
      <c r="H3391" s="2"/>
      <c r="I3391" s="2"/>
      <c r="K3391" s="149"/>
      <c r="L3391" s="149"/>
      <c r="M3391" s="149"/>
      <c r="N3391" s="149"/>
    </row>
    <row r="3392" spans="8:14">
      <c r="H3392" s="2"/>
      <c r="I3392" s="2"/>
      <c r="K3392" s="149"/>
      <c r="L3392" s="149"/>
      <c r="M3392" s="149"/>
      <c r="N3392" s="149"/>
    </row>
    <row r="3393" spans="8:14">
      <c r="H3393" s="2"/>
      <c r="I3393" s="2"/>
      <c r="K3393" s="149"/>
      <c r="L3393" s="149"/>
      <c r="M3393" s="149"/>
      <c r="N3393" s="149"/>
    </row>
    <row r="3394" spans="8:14">
      <c r="H3394" s="2"/>
      <c r="I3394" s="2"/>
      <c r="K3394" s="149"/>
      <c r="L3394" s="149"/>
      <c r="M3394" s="149"/>
      <c r="N3394" s="149"/>
    </row>
    <row r="3395" spans="8:14">
      <c r="H3395" s="2"/>
      <c r="I3395" s="2"/>
      <c r="K3395" s="149"/>
      <c r="L3395" s="149"/>
      <c r="M3395" s="149"/>
      <c r="N3395" s="149"/>
    </row>
    <row r="3396" spans="8:14">
      <c r="H3396" s="2"/>
      <c r="K3396" s="149"/>
      <c r="L3396" s="149"/>
      <c r="M3396" s="149"/>
      <c r="N3396" s="149"/>
    </row>
    <row r="3397" spans="8:14">
      <c r="H3397" s="2"/>
      <c r="K3397" s="149"/>
      <c r="L3397" s="149"/>
      <c r="M3397" s="149"/>
      <c r="N3397" s="149"/>
    </row>
    <row r="3398" spans="8:14">
      <c r="H3398" s="2"/>
      <c r="I3398" s="2"/>
      <c r="K3398" s="149"/>
      <c r="L3398" s="149"/>
      <c r="M3398" s="149"/>
      <c r="N3398" s="149"/>
    </row>
    <row r="3399" spans="8:14">
      <c r="H3399" s="2"/>
      <c r="I3399" s="2"/>
      <c r="K3399" s="149"/>
      <c r="L3399" s="149"/>
      <c r="M3399" s="149"/>
      <c r="N3399" s="149"/>
    </row>
    <row r="3400" spans="8:14">
      <c r="H3400" s="2"/>
      <c r="I3400" s="2"/>
      <c r="K3400" s="149"/>
      <c r="L3400" s="149"/>
      <c r="M3400" s="149"/>
      <c r="N3400" s="149"/>
    </row>
    <row r="3401" spans="8:14">
      <c r="H3401" s="2"/>
      <c r="I3401" s="2"/>
      <c r="K3401" s="149"/>
      <c r="L3401" s="149"/>
      <c r="M3401" s="149"/>
      <c r="N3401" s="149"/>
    </row>
    <row r="3402" spans="8:14">
      <c r="H3402" s="2"/>
      <c r="I3402" s="2"/>
      <c r="K3402" s="149"/>
      <c r="L3402" s="149"/>
      <c r="M3402" s="149"/>
      <c r="N3402" s="149"/>
    </row>
    <row r="3403" spans="8:14">
      <c r="H3403" s="2"/>
      <c r="K3403" s="149"/>
      <c r="L3403" s="149"/>
      <c r="M3403" s="149"/>
      <c r="N3403" s="149"/>
    </row>
    <row r="3404" spans="8:14">
      <c r="H3404" s="2"/>
      <c r="K3404" s="149"/>
      <c r="L3404" s="149"/>
      <c r="M3404" s="149"/>
      <c r="N3404" s="149"/>
    </row>
    <row r="3405" spans="8:14">
      <c r="H3405" s="2"/>
      <c r="K3405" s="149"/>
      <c r="L3405" s="149"/>
      <c r="M3405" s="149"/>
      <c r="N3405" s="149"/>
    </row>
    <row r="3406" spans="8:14">
      <c r="H3406" s="2"/>
      <c r="I3406" s="2"/>
      <c r="K3406" s="149"/>
      <c r="L3406" s="149"/>
      <c r="M3406" s="149"/>
      <c r="N3406" s="149"/>
    </row>
    <row r="3407" spans="8:14">
      <c r="H3407" s="2"/>
      <c r="K3407" s="149"/>
      <c r="L3407" s="149"/>
      <c r="M3407" s="149"/>
      <c r="N3407" s="149"/>
    </row>
    <row r="3408" spans="8:14">
      <c r="H3408" s="2"/>
      <c r="K3408" s="149"/>
      <c r="L3408" s="149"/>
      <c r="M3408" s="149"/>
      <c r="N3408" s="149"/>
    </row>
    <row r="3409" spans="8:14">
      <c r="H3409" s="2"/>
      <c r="I3409" s="2"/>
      <c r="K3409" s="149"/>
      <c r="L3409" s="149"/>
      <c r="M3409" s="149"/>
      <c r="N3409" s="149"/>
    </row>
    <row r="3410" spans="8:14">
      <c r="H3410" s="2"/>
      <c r="I3410" s="2"/>
      <c r="K3410" s="149"/>
      <c r="L3410" s="149"/>
      <c r="M3410" s="149"/>
      <c r="N3410" s="149"/>
    </row>
    <row r="3411" spans="8:14">
      <c r="H3411" s="2"/>
      <c r="I3411" s="2"/>
      <c r="K3411" s="149"/>
      <c r="L3411" s="149"/>
      <c r="M3411" s="149"/>
      <c r="N3411" s="149"/>
    </row>
    <row r="3412" spans="8:14">
      <c r="H3412" s="2"/>
      <c r="K3412" s="149"/>
      <c r="L3412" s="149"/>
      <c r="M3412" s="149"/>
      <c r="N3412" s="149"/>
    </row>
    <row r="3413" spans="8:14">
      <c r="H3413" s="2"/>
      <c r="K3413" s="149"/>
      <c r="L3413" s="149"/>
      <c r="M3413" s="149"/>
      <c r="N3413" s="149"/>
    </row>
    <row r="3414" spans="8:14">
      <c r="H3414" s="2"/>
      <c r="K3414" s="149"/>
      <c r="L3414" s="149"/>
      <c r="M3414" s="149"/>
      <c r="N3414" s="149"/>
    </row>
    <row r="3415" spans="8:14">
      <c r="H3415" s="2"/>
      <c r="I3415" s="2"/>
      <c r="K3415" s="149"/>
      <c r="L3415" s="149"/>
      <c r="M3415" s="149"/>
      <c r="N3415" s="149"/>
    </row>
    <row r="3416" spans="8:14">
      <c r="H3416" s="2"/>
      <c r="K3416" s="149"/>
      <c r="L3416" s="149"/>
      <c r="M3416" s="149"/>
      <c r="N3416" s="149"/>
    </row>
    <row r="3417" spans="8:14">
      <c r="H3417" s="2"/>
      <c r="I3417" s="2"/>
      <c r="K3417" s="149"/>
      <c r="L3417" s="149"/>
      <c r="M3417" s="149"/>
      <c r="N3417" s="149"/>
    </row>
    <row r="3418" spans="8:14">
      <c r="H3418" s="2"/>
      <c r="K3418" s="149"/>
      <c r="L3418" s="149"/>
      <c r="M3418" s="149"/>
      <c r="N3418" s="149"/>
    </row>
    <row r="3419" spans="8:14">
      <c r="H3419" s="2"/>
      <c r="K3419" s="149"/>
      <c r="L3419" s="149"/>
      <c r="M3419" s="149"/>
      <c r="N3419" s="149"/>
    </row>
    <row r="3420" spans="8:14">
      <c r="H3420" s="2"/>
      <c r="K3420" s="149"/>
      <c r="L3420" s="149"/>
      <c r="M3420" s="149"/>
      <c r="N3420" s="149"/>
    </row>
    <row r="3421" spans="8:14">
      <c r="H3421" s="2"/>
      <c r="K3421" s="149"/>
      <c r="L3421" s="149"/>
      <c r="M3421" s="149"/>
      <c r="N3421" s="149"/>
    </row>
    <row r="3422" spans="8:14">
      <c r="H3422" s="2"/>
      <c r="K3422" s="149"/>
      <c r="L3422" s="149"/>
      <c r="M3422" s="149"/>
      <c r="N3422" s="149"/>
    </row>
    <row r="3423" spans="8:14">
      <c r="H3423" s="2"/>
      <c r="I3423" s="2"/>
      <c r="K3423" s="149"/>
      <c r="L3423" s="149"/>
      <c r="M3423" s="149"/>
      <c r="N3423" s="149"/>
    </row>
    <row r="3424" spans="8:14">
      <c r="H3424" s="2"/>
      <c r="I3424" s="2"/>
      <c r="K3424" s="149"/>
      <c r="L3424" s="149"/>
      <c r="M3424" s="149"/>
      <c r="N3424" s="149"/>
    </row>
    <row r="3425" spans="8:14">
      <c r="H3425" s="2"/>
      <c r="K3425" s="149"/>
      <c r="L3425" s="149"/>
      <c r="M3425" s="149"/>
      <c r="N3425" s="149"/>
    </row>
    <row r="3426" spans="8:14">
      <c r="H3426" s="2"/>
      <c r="I3426" s="2"/>
      <c r="K3426" s="149"/>
      <c r="L3426" s="149"/>
      <c r="M3426" s="149"/>
      <c r="N3426" s="149"/>
    </row>
    <row r="3427" spans="8:14">
      <c r="H3427" s="2"/>
      <c r="K3427" s="149"/>
      <c r="L3427" s="149"/>
      <c r="M3427" s="149"/>
      <c r="N3427" s="149"/>
    </row>
    <row r="3428" spans="8:14">
      <c r="H3428" s="2"/>
      <c r="K3428" s="149"/>
      <c r="L3428" s="149"/>
      <c r="M3428" s="149"/>
      <c r="N3428" s="149"/>
    </row>
    <row r="3429" spans="8:14">
      <c r="H3429" s="2"/>
      <c r="I3429" s="2"/>
      <c r="K3429" s="149"/>
      <c r="L3429" s="149"/>
      <c r="M3429" s="149"/>
      <c r="N3429" s="149"/>
    </row>
    <row r="3430" spans="8:14">
      <c r="H3430" s="2"/>
      <c r="K3430" s="149"/>
      <c r="L3430" s="149"/>
      <c r="M3430" s="149"/>
      <c r="N3430" s="149"/>
    </row>
    <row r="3431" spans="8:14">
      <c r="H3431" s="2"/>
      <c r="K3431" s="149"/>
      <c r="L3431" s="149"/>
      <c r="M3431" s="149"/>
      <c r="N3431" s="149"/>
    </row>
    <row r="3432" spans="8:14">
      <c r="H3432" s="2"/>
      <c r="K3432" s="149"/>
      <c r="L3432" s="149"/>
      <c r="M3432" s="149"/>
      <c r="N3432" s="149"/>
    </row>
    <row r="3433" spans="8:14">
      <c r="H3433" s="2"/>
      <c r="K3433" s="149"/>
      <c r="L3433" s="149"/>
      <c r="M3433" s="149"/>
      <c r="N3433" s="149"/>
    </row>
    <row r="3434" spans="8:14">
      <c r="H3434" s="2"/>
      <c r="K3434" s="149"/>
      <c r="L3434" s="149"/>
      <c r="M3434" s="149"/>
      <c r="N3434" s="149"/>
    </row>
    <row r="3435" spans="8:14">
      <c r="H3435" s="2"/>
      <c r="I3435" s="2"/>
      <c r="K3435" s="149"/>
      <c r="L3435" s="149"/>
      <c r="M3435" s="149"/>
      <c r="N3435" s="149"/>
    </row>
    <row r="3436" spans="8:14">
      <c r="H3436" s="2"/>
      <c r="I3436" s="2"/>
      <c r="K3436" s="149"/>
      <c r="L3436" s="149"/>
      <c r="M3436" s="149"/>
      <c r="N3436" s="149"/>
    </row>
    <row r="3437" spans="8:14">
      <c r="H3437" s="2"/>
      <c r="K3437" s="149"/>
      <c r="L3437" s="149"/>
      <c r="M3437" s="149"/>
      <c r="N3437" s="149"/>
    </row>
    <row r="3438" spans="8:14">
      <c r="H3438" s="2"/>
      <c r="I3438" s="2"/>
      <c r="K3438" s="149"/>
      <c r="L3438" s="149"/>
      <c r="M3438" s="149"/>
      <c r="N3438" s="149"/>
    </row>
    <row r="3439" spans="8:14">
      <c r="H3439" s="2"/>
      <c r="K3439" s="149"/>
      <c r="L3439" s="149"/>
      <c r="M3439" s="149"/>
      <c r="N3439" s="149"/>
    </row>
    <row r="3440" spans="8:14">
      <c r="H3440" s="2"/>
      <c r="I3440" s="2"/>
      <c r="K3440" s="149"/>
      <c r="L3440" s="149"/>
      <c r="M3440" s="149"/>
      <c r="N3440" s="149"/>
    </row>
    <row r="3441" spans="8:14">
      <c r="H3441" s="2"/>
      <c r="I3441" s="2"/>
      <c r="K3441" s="149"/>
      <c r="L3441" s="149"/>
      <c r="M3441" s="149"/>
      <c r="N3441" s="149"/>
    </row>
    <row r="3442" spans="8:14">
      <c r="H3442" s="2"/>
      <c r="I3442" s="2"/>
      <c r="K3442" s="149"/>
      <c r="L3442" s="149"/>
      <c r="M3442" s="149"/>
      <c r="N3442" s="149"/>
    </row>
    <row r="3443" spans="8:14">
      <c r="H3443" s="2"/>
      <c r="I3443" s="2"/>
      <c r="K3443" s="149"/>
      <c r="L3443" s="149"/>
      <c r="M3443" s="149"/>
      <c r="N3443" s="149"/>
    </row>
    <row r="3444" spans="8:14">
      <c r="H3444" s="2"/>
      <c r="I3444" s="2"/>
      <c r="K3444" s="149"/>
      <c r="L3444" s="149"/>
      <c r="M3444" s="149"/>
      <c r="N3444" s="149"/>
    </row>
    <row r="3445" spans="8:14">
      <c r="H3445" s="2"/>
      <c r="I3445" s="2"/>
      <c r="K3445" s="149"/>
      <c r="L3445" s="149"/>
      <c r="M3445" s="149"/>
      <c r="N3445" s="149"/>
    </row>
    <row r="3446" spans="8:14">
      <c r="H3446" s="2"/>
      <c r="I3446" s="2"/>
      <c r="K3446" s="149"/>
      <c r="L3446" s="149"/>
      <c r="M3446" s="149"/>
      <c r="N3446" s="149"/>
    </row>
    <row r="3447" spans="8:14">
      <c r="H3447" s="2"/>
      <c r="I3447" s="2"/>
      <c r="K3447" s="149"/>
      <c r="L3447" s="149"/>
      <c r="M3447" s="149"/>
      <c r="N3447" s="149"/>
    </row>
    <row r="3448" spans="8:14">
      <c r="H3448" s="2"/>
      <c r="I3448" s="2"/>
      <c r="K3448" s="149"/>
      <c r="L3448" s="149"/>
      <c r="M3448" s="149"/>
      <c r="N3448" s="149"/>
    </row>
    <row r="3449" spans="8:14">
      <c r="H3449" s="2"/>
      <c r="I3449" s="2"/>
      <c r="K3449" s="149"/>
      <c r="L3449" s="149"/>
      <c r="M3449" s="149"/>
      <c r="N3449" s="149"/>
    </row>
    <row r="3450" spans="8:14">
      <c r="H3450" s="2"/>
      <c r="I3450" s="2"/>
      <c r="K3450" s="149"/>
      <c r="L3450" s="149"/>
      <c r="M3450" s="149"/>
      <c r="N3450" s="149"/>
    </row>
    <row r="3451" spans="8:14">
      <c r="H3451" s="2"/>
      <c r="I3451" s="2"/>
      <c r="K3451" s="149"/>
      <c r="L3451" s="149"/>
      <c r="M3451" s="149"/>
      <c r="N3451" s="149"/>
    </row>
    <row r="3452" spans="8:14">
      <c r="H3452" s="2"/>
      <c r="I3452" s="2"/>
      <c r="K3452" s="149"/>
      <c r="L3452" s="149"/>
      <c r="M3452" s="149"/>
      <c r="N3452" s="149"/>
    </row>
    <row r="3453" spans="8:14">
      <c r="H3453" s="2"/>
      <c r="I3453" s="2"/>
      <c r="K3453" s="149"/>
      <c r="L3453" s="149"/>
      <c r="M3453" s="149"/>
      <c r="N3453" s="149"/>
    </row>
    <row r="3454" spans="8:14">
      <c r="H3454" s="2"/>
      <c r="K3454" s="149"/>
      <c r="L3454" s="149"/>
      <c r="M3454" s="149"/>
      <c r="N3454" s="149"/>
    </row>
    <row r="3455" spans="8:14">
      <c r="H3455" s="2"/>
      <c r="K3455" s="149"/>
      <c r="L3455" s="149"/>
      <c r="M3455" s="149"/>
      <c r="N3455" s="149"/>
    </row>
    <row r="3456" spans="8:14">
      <c r="H3456" s="2"/>
      <c r="K3456" s="149"/>
      <c r="L3456" s="149"/>
      <c r="M3456" s="149"/>
      <c r="N3456" s="149"/>
    </row>
    <row r="3457" spans="8:14">
      <c r="H3457" s="2"/>
      <c r="I3457" s="2"/>
      <c r="K3457" s="149"/>
      <c r="L3457" s="149"/>
      <c r="M3457" s="149"/>
      <c r="N3457" s="149"/>
    </row>
    <row r="3458" spans="8:14">
      <c r="H3458" s="2"/>
      <c r="J3458" s="2"/>
      <c r="K3458" s="149"/>
      <c r="L3458" s="149"/>
      <c r="M3458" s="149"/>
      <c r="N3458" s="149"/>
    </row>
    <row r="3459" spans="8:14">
      <c r="H3459" s="2"/>
      <c r="J3459" s="2"/>
      <c r="K3459" s="149"/>
      <c r="L3459" s="149"/>
      <c r="M3459" s="149"/>
      <c r="N3459" s="149"/>
    </row>
    <row r="3460" spans="8:14">
      <c r="H3460" s="2"/>
      <c r="K3460" s="149"/>
      <c r="L3460" s="149"/>
      <c r="M3460" s="149"/>
      <c r="N3460" s="149"/>
    </row>
    <row r="3461" spans="8:14">
      <c r="H3461" s="2"/>
      <c r="J3461" s="2"/>
      <c r="K3461" s="149"/>
      <c r="L3461" s="149"/>
      <c r="M3461" s="149"/>
      <c r="N3461" s="149"/>
    </row>
    <row r="3462" spans="8:14">
      <c r="H3462" s="2"/>
      <c r="I3462" s="2"/>
      <c r="K3462" s="149"/>
      <c r="L3462" s="149"/>
      <c r="M3462" s="149"/>
      <c r="N3462" s="149"/>
    </row>
    <row r="3463" spans="8:14">
      <c r="H3463" s="2"/>
      <c r="J3463" s="2"/>
      <c r="K3463" s="149"/>
      <c r="L3463" s="149"/>
      <c r="M3463" s="149"/>
      <c r="N3463" s="149"/>
    </row>
    <row r="3464" spans="8:14">
      <c r="H3464" s="2"/>
      <c r="J3464" s="2"/>
      <c r="K3464" s="149"/>
      <c r="L3464" s="149"/>
      <c r="M3464" s="149"/>
      <c r="N3464" s="149"/>
    </row>
    <row r="3465" spans="8:14">
      <c r="H3465" s="2"/>
      <c r="J3465" s="2"/>
      <c r="K3465" s="149"/>
      <c r="L3465" s="149"/>
      <c r="M3465" s="149"/>
      <c r="N3465" s="149"/>
    </row>
    <row r="3466" spans="8:14">
      <c r="H3466" s="2"/>
      <c r="I3466" s="2"/>
      <c r="K3466" s="149"/>
      <c r="L3466" s="149"/>
      <c r="M3466" s="149"/>
      <c r="N3466" s="149"/>
    </row>
    <row r="3467" spans="8:14">
      <c r="H3467" s="2"/>
      <c r="I3467" s="2"/>
      <c r="J3467" s="2"/>
      <c r="K3467" s="149"/>
      <c r="L3467" s="149"/>
      <c r="M3467" s="149"/>
      <c r="N3467" s="149"/>
    </row>
    <row r="3468" spans="8:14">
      <c r="H3468" s="2"/>
      <c r="I3468" s="2"/>
      <c r="J3468" s="2"/>
      <c r="K3468" s="149"/>
      <c r="L3468" s="149"/>
      <c r="M3468" s="149"/>
      <c r="N3468" s="149"/>
    </row>
    <row r="3469" spans="8:14">
      <c r="H3469" s="2"/>
      <c r="J3469" s="2"/>
      <c r="K3469" s="149"/>
      <c r="L3469" s="149"/>
      <c r="M3469" s="149"/>
      <c r="N3469" s="149"/>
    </row>
    <row r="3470" spans="8:14">
      <c r="H3470" s="2"/>
      <c r="J3470" s="2"/>
      <c r="K3470" s="149"/>
      <c r="L3470" s="149"/>
      <c r="M3470" s="149"/>
      <c r="N3470" s="149"/>
    </row>
    <row r="3471" spans="8:14">
      <c r="H3471" s="2"/>
      <c r="J3471" s="2"/>
      <c r="K3471" s="149"/>
      <c r="L3471" s="149"/>
      <c r="M3471" s="149"/>
      <c r="N3471" s="149"/>
    </row>
    <row r="3472" spans="8:14">
      <c r="H3472" s="2"/>
      <c r="J3472" s="2"/>
      <c r="K3472" s="149"/>
      <c r="L3472" s="149"/>
      <c r="M3472" s="149"/>
      <c r="N3472" s="149"/>
    </row>
    <row r="3473" spans="8:14">
      <c r="H3473" s="2"/>
      <c r="I3473" s="2"/>
      <c r="K3473" s="149"/>
      <c r="L3473" s="149"/>
      <c r="M3473" s="149"/>
      <c r="N3473" s="149"/>
    </row>
    <row r="3474" spans="8:14">
      <c r="H3474" s="2"/>
      <c r="K3474" s="149"/>
      <c r="L3474" s="149"/>
      <c r="M3474" s="149"/>
      <c r="N3474" s="149"/>
    </row>
    <row r="3475" spans="8:14">
      <c r="H3475" s="2"/>
      <c r="K3475" s="149"/>
      <c r="L3475" s="149"/>
      <c r="M3475" s="149"/>
      <c r="N3475" s="149"/>
    </row>
    <row r="3476" spans="8:14">
      <c r="H3476" s="2"/>
      <c r="J3476" s="2"/>
      <c r="K3476" s="149"/>
      <c r="L3476" s="149"/>
      <c r="M3476" s="149"/>
      <c r="N3476" s="149"/>
    </row>
    <row r="3477" spans="8:14">
      <c r="H3477" s="2"/>
      <c r="I3477" s="2"/>
      <c r="K3477" s="149"/>
      <c r="L3477" s="149"/>
      <c r="M3477" s="149"/>
      <c r="N3477" s="149"/>
    </row>
    <row r="3478" spans="8:14">
      <c r="H3478" s="2"/>
      <c r="K3478" s="149"/>
      <c r="L3478" s="149"/>
      <c r="M3478" s="149"/>
      <c r="N3478" s="149"/>
    </row>
    <row r="3479" spans="8:14">
      <c r="I3479" s="2"/>
      <c r="K3479" s="149"/>
      <c r="L3479" s="149"/>
      <c r="M3479" s="149"/>
      <c r="N3479" s="149"/>
    </row>
    <row r="3480" spans="8:14">
      <c r="K3480" s="149"/>
      <c r="L3480" s="149"/>
      <c r="M3480" s="149"/>
      <c r="N3480" s="149"/>
    </row>
    <row r="3481" spans="8:14">
      <c r="I3481" s="2"/>
      <c r="K3481" s="149"/>
      <c r="L3481" s="149"/>
      <c r="M3481" s="149"/>
      <c r="N3481" s="149"/>
    </row>
    <row r="3482" spans="8:14">
      <c r="I3482" s="2"/>
      <c r="K3482" s="149"/>
      <c r="L3482" s="149"/>
      <c r="M3482" s="149"/>
      <c r="N3482" s="149"/>
    </row>
    <row r="3483" spans="8:14">
      <c r="I3483" s="2"/>
      <c r="K3483" s="149"/>
      <c r="L3483" s="149"/>
      <c r="M3483" s="149"/>
      <c r="N3483" s="149"/>
    </row>
    <row r="3484" spans="8:14">
      <c r="K3484" s="149"/>
      <c r="L3484" s="149"/>
      <c r="M3484" s="149"/>
      <c r="N3484" s="149"/>
    </row>
    <row r="3485" spans="8:14">
      <c r="I3485" s="2"/>
      <c r="K3485" s="149"/>
      <c r="L3485" s="149"/>
      <c r="M3485" s="149"/>
      <c r="N3485" s="149"/>
    </row>
    <row r="3486" spans="8:14">
      <c r="K3486" s="149"/>
      <c r="L3486" s="149"/>
      <c r="M3486" s="149"/>
      <c r="N3486" s="149"/>
    </row>
    <row r="3487" spans="8:14">
      <c r="K3487" s="149"/>
      <c r="L3487" s="149"/>
      <c r="M3487" s="149"/>
      <c r="N3487" s="149"/>
    </row>
    <row r="3488" spans="8:14">
      <c r="J3488" s="2"/>
      <c r="K3488" s="149"/>
      <c r="L3488" s="149"/>
      <c r="M3488" s="149"/>
      <c r="N3488" s="149"/>
    </row>
    <row r="3489" spans="9:14">
      <c r="K3489" s="149"/>
      <c r="L3489" s="149"/>
      <c r="M3489" s="149"/>
      <c r="N3489" s="149"/>
    </row>
    <row r="3490" spans="9:14">
      <c r="I3490" s="2"/>
      <c r="K3490" s="149"/>
      <c r="L3490" s="149"/>
      <c r="M3490" s="149"/>
      <c r="N3490" s="149"/>
    </row>
    <row r="3491" spans="9:14">
      <c r="I3491" s="2"/>
      <c r="K3491" s="149"/>
      <c r="L3491" s="149"/>
      <c r="M3491" s="149"/>
      <c r="N3491" s="149"/>
    </row>
    <row r="3492" spans="9:14">
      <c r="I3492" s="2"/>
      <c r="K3492" s="149"/>
      <c r="L3492" s="149"/>
      <c r="M3492" s="149"/>
      <c r="N3492" s="149"/>
    </row>
    <row r="3493" spans="9:14">
      <c r="I3493" s="2"/>
      <c r="K3493" s="149"/>
      <c r="L3493" s="149"/>
      <c r="M3493" s="149"/>
      <c r="N3493" s="149"/>
    </row>
    <row r="3494" spans="9:14">
      <c r="I3494" s="2"/>
      <c r="K3494" s="149"/>
      <c r="L3494" s="149"/>
      <c r="M3494" s="149"/>
      <c r="N3494" s="149"/>
    </row>
    <row r="3495" spans="9:14">
      <c r="I3495" s="2"/>
      <c r="K3495" s="149"/>
      <c r="L3495" s="149"/>
      <c r="M3495" s="149"/>
      <c r="N3495" s="149"/>
    </row>
    <row r="3496" spans="9:14">
      <c r="I3496" s="2"/>
      <c r="K3496" s="149"/>
      <c r="L3496" s="149"/>
      <c r="M3496" s="149"/>
      <c r="N3496" s="149"/>
    </row>
    <row r="3497" spans="9:14">
      <c r="I3497" s="2"/>
      <c r="K3497" s="149"/>
      <c r="L3497" s="149"/>
      <c r="M3497" s="149"/>
      <c r="N3497" s="149"/>
    </row>
    <row r="3498" spans="9:14">
      <c r="I3498" s="2"/>
      <c r="K3498" s="149"/>
      <c r="L3498" s="149"/>
      <c r="M3498" s="149"/>
      <c r="N3498" s="149"/>
    </row>
    <row r="3499" spans="9:14">
      <c r="I3499" s="2"/>
      <c r="K3499" s="149"/>
      <c r="L3499" s="149"/>
      <c r="M3499" s="149"/>
      <c r="N3499" s="149"/>
    </row>
    <row r="3500" spans="9:14">
      <c r="I3500" s="2"/>
      <c r="K3500" s="149"/>
      <c r="L3500" s="149"/>
      <c r="M3500" s="149"/>
      <c r="N3500" s="149"/>
    </row>
    <row r="3501" spans="9:14">
      <c r="I3501" s="2"/>
      <c r="K3501" s="149"/>
      <c r="L3501" s="149"/>
      <c r="M3501" s="149"/>
      <c r="N3501" s="149"/>
    </row>
    <row r="3502" spans="9:14">
      <c r="I3502" s="2"/>
      <c r="K3502" s="149"/>
      <c r="L3502" s="149"/>
      <c r="M3502" s="149"/>
      <c r="N3502" s="149"/>
    </row>
    <row r="3503" spans="9:14">
      <c r="I3503" s="2"/>
      <c r="K3503" s="149"/>
      <c r="L3503" s="149"/>
      <c r="M3503" s="149"/>
      <c r="N3503" s="149"/>
    </row>
    <row r="3504" spans="9:14">
      <c r="K3504" s="149"/>
      <c r="L3504" s="149"/>
      <c r="M3504" s="149"/>
      <c r="N3504" s="149"/>
    </row>
    <row r="3505" spans="9:14">
      <c r="K3505" s="149"/>
      <c r="L3505" s="149"/>
      <c r="M3505" s="149"/>
      <c r="N3505" s="149"/>
    </row>
    <row r="3506" spans="9:14">
      <c r="K3506" s="149"/>
      <c r="L3506" s="149"/>
      <c r="M3506" s="149"/>
      <c r="N3506" s="149"/>
    </row>
    <row r="3507" spans="9:14">
      <c r="I3507" s="2"/>
      <c r="K3507" s="149"/>
      <c r="L3507" s="149"/>
      <c r="M3507" s="149"/>
      <c r="N3507" s="149"/>
    </row>
    <row r="3508" spans="9:14">
      <c r="K3508" s="149"/>
      <c r="L3508" s="149"/>
      <c r="M3508" s="149"/>
      <c r="N3508" s="149"/>
    </row>
    <row r="3509" spans="9:14">
      <c r="I3509" s="2"/>
      <c r="K3509" s="149"/>
      <c r="L3509" s="149"/>
      <c r="M3509" s="149"/>
      <c r="N3509" s="149"/>
    </row>
    <row r="3510" spans="9:14">
      <c r="I3510" s="2"/>
      <c r="K3510" s="149"/>
      <c r="L3510" s="149"/>
      <c r="M3510" s="149"/>
      <c r="N3510" s="149"/>
    </row>
    <row r="3511" spans="9:14">
      <c r="I3511" s="2"/>
      <c r="K3511" s="149"/>
      <c r="L3511" s="149"/>
      <c r="M3511" s="149"/>
      <c r="N3511" s="149"/>
    </row>
    <row r="3512" spans="9:14">
      <c r="I3512" s="2"/>
      <c r="K3512" s="149"/>
      <c r="L3512" s="149"/>
      <c r="M3512" s="149"/>
      <c r="N3512" s="149"/>
    </row>
    <row r="3513" spans="9:14">
      <c r="I3513" s="2"/>
      <c r="K3513" s="149"/>
      <c r="L3513" s="149"/>
      <c r="M3513" s="149"/>
      <c r="N3513" s="149"/>
    </row>
    <row r="3514" spans="9:14">
      <c r="K3514" s="149"/>
      <c r="L3514" s="149"/>
      <c r="M3514" s="149"/>
      <c r="N3514" s="149"/>
    </row>
    <row r="3515" spans="9:14">
      <c r="I3515" s="2"/>
      <c r="K3515" s="149"/>
      <c r="L3515" s="149"/>
      <c r="M3515" s="149"/>
      <c r="N3515" s="149"/>
    </row>
    <row r="3516" spans="9:14">
      <c r="K3516" s="149"/>
      <c r="L3516" s="149"/>
      <c r="M3516" s="149"/>
      <c r="N3516" s="149"/>
    </row>
    <row r="3517" spans="9:14">
      <c r="I3517" s="2"/>
      <c r="K3517" s="149"/>
      <c r="L3517" s="149"/>
      <c r="M3517" s="149"/>
      <c r="N3517" s="149"/>
    </row>
    <row r="3518" spans="9:14">
      <c r="K3518" s="149"/>
      <c r="L3518" s="149"/>
      <c r="M3518" s="149"/>
      <c r="N3518" s="149"/>
    </row>
    <row r="3519" spans="9:14">
      <c r="K3519" s="149"/>
      <c r="L3519" s="149"/>
      <c r="M3519" s="149"/>
      <c r="N3519" s="149"/>
    </row>
    <row r="3520" spans="9:14">
      <c r="K3520" s="149"/>
      <c r="L3520" s="149"/>
      <c r="M3520" s="149"/>
      <c r="N3520" s="149"/>
    </row>
    <row r="3521" spans="9:14">
      <c r="I3521" s="2"/>
      <c r="K3521" s="149"/>
      <c r="L3521" s="149"/>
      <c r="M3521" s="149"/>
      <c r="N3521" s="149"/>
    </row>
    <row r="3522" spans="9:14">
      <c r="I3522" s="2"/>
      <c r="K3522" s="149"/>
      <c r="L3522" s="149"/>
      <c r="M3522" s="149"/>
      <c r="N3522" s="149"/>
    </row>
    <row r="3523" spans="9:14">
      <c r="I3523" s="2"/>
      <c r="K3523" s="149"/>
      <c r="L3523" s="149"/>
      <c r="M3523" s="149"/>
      <c r="N3523" s="149"/>
    </row>
    <row r="3524" spans="9:14">
      <c r="I3524" s="2"/>
      <c r="K3524" s="149"/>
      <c r="L3524" s="149"/>
      <c r="M3524" s="149"/>
      <c r="N3524" s="149"/>
    </row>
    <row r="3525" spans="9:14">
      <c r="I3525" s="2"/>
      <c r="K3525" s="149"/>
      <c r="L3525" s="149"/>
      <c r="M3525" s="149"/>
      <c r="N3525" s="149"/>
    </row>
    <row r="3526" spans="9:14">
      <c r="I3526" s="2"/>
      <c r="K3526" s="149"/>
      <c r="L3526" s="149"/>
      <c r="M3526" s="149"/>
      <c r="N3526" s="149"/>
    </row>
    <row r="3527" spans="9:14">
      <c r="I3527" s="2"/>
      <c r="K3527" s="149"/>
      <c r="L3527" s="149"/>
      <c r="M3527" s="149"/>
      <c r="N3527" s="149"/>
    </row>
    <row r="3528" spans="9:14">
      <c r="K3528" s="149"/>
      <c r="L3528" s="149"/>
      <c r="M3528" s="149"/>
      <c r="N3528" s="149"/>
    </row>
    <row r="3529" spans="9:14">
      <c r="I3529" s="2"/>
      <c r="K3529" s="149"/>
      <c r="L3529" s="149"/>
      <c r="M3529" s="149"/>
      <c r="N3529" s="149"/>
    </row>
    <row r="3530" spans="9:14">
      <c r="I3530" s="2"/>
      <c r="K3530" s="149"/>
      <c r="L3530" s="149"/>
      <c r="M3530" s="149"/>
      <c r="N3530" s="149"/>
    </row>
    <row r="3531" spans="9:14">
      <c r="K3531" s="149"/>
      <c r="L3531" s="149"/>
      <c r="M3531" s="149"/>
      <c r="N3531" s="149"/>
    </row>
    <row r="3532" spans="9:14">
      <c r="I3532" s="2"/>
      <c r="K3532" s="149"/>
      <c r="L3532" s="149"/>
      <c r="M3532" s="149"/>
      <c r="N3532" s="149"/>
    </row>
    <row r="3533" spans="9:14">
      <c r="K3533" s="149"/>
      <c r="L3533" s="149"/>
      <c r="M3533" s="149"/>
      <c r="N3533" s="149"/>
    </row>
    <row r="3534" spans="9:14">
      <c r="I3534" s="2"/>
      <c r="K3534" s="149"/>
      <c r="L3534" s="149"/>
      <c r="M3534" s="149"/>
      <c r="N3534" s="149"/>
    </row>
    <row r="3535" spans="9:14">
      <c r="K3535" s="149"/>
      <c r="L3535" s="149"/>
      <c r="M3535" s="149"/>
      <c r="N3535" s="149"/>
    </row>
    <row r="3536" spans="9:14">
      <c r="I3536" s="2"/>
      <c r="K3536" s="149"/>
      <c r="L3536" s="149"/>
      <c r="M3536" s="149"/>
      <c r="N3536" s="149"/>
    </row>
    <row r="3537" spans="8:14">
      <c r="I3537" s="2"/>
      <c r="K3537" s="149"/>
      <c r="L3537" s="149"/>
      <c r="M3537" s="149"/>
      <c r="N3537" s="149"/>
    </row>
    <row r="3538" spans="8:14">
      <c r="K3538" s="149"/>
      <c r="L3538" s="149"/>
      <c r="M3538" s="149"/>
      <c r="N3538" s="149"/>
    </row>
    <row r="3539" spans="8:14">
      <c r="K3539" s="149"/>
      <c r="L3539" s="149"/>
      <c r="M3539" s="149"/>
      <c r="N3539" s="149"/>
    </row>
    <row r="3540" spans="8:14">
      <c r="K3540" s="149"/>
      <c r="L3540" s="149"/>
      <c r="M3540" s="149"/>
      <c r="N3540" s="149"/>
    </row>
    <row r="3541" spans="8:14">
      <c r="K3541" s="149"/>
      <c r="L3541" s="149"/>
      <c r="M3541" s="149"/>
      <c r="N3541" s="149"/>
    </row>
    <row r="3542" spans="8:14">
      <c r="J3542" s="2"/>
      <c r="K3542" s="149"/>
      <c r="L3542" s="149"/>
      <c r="M3542" s="149"/>
      <c r="N3542" s="149"/>
    </row>
    <row r="3543" spans="8:14">
      <c r="J3543" s="2"/>
      <c r="K3543" s="149"/>
      <c r="L3543" s="149"/>
      <c r="M3543" s="149"/>
      <c r="N3543" s="149"/>
    </row>
    <row r="3544" spans="8:14">
      <c r="K3544" s="149"/>
      <c r="L3544" s="149"/>
      <c r="M3544" s="149"/>
      <c r="N3544" s="149"/>
    </row>
    <row r="3545" spans="8:14">
      <c r="H3545" s="2"/>
      <c r="J3545" s="2"/>
      <c r="K3545" s="149"/>
      <c r="L3545" s="149"/>
      <c r="M3545" s="149"/>
      <c r="N3545" s="149"/>
    </row>
    <row r="3546" spans="8:14">
      <c r="H3546" s="2"/>
      <c r="K3546" s="149"/>
      <c r="L3546" s="149"/>
      <c r="M3546" s="149"/>
      <c r="N3546" s="149"/>
    </row>
    <row r="3547" spans="8:14">
      <c r="H3547" s="2"/>
      <c r="K3547" s="149"/>
      <c r="L3547" s="149"/>
      <c r="M3547" s="149"/>
      <c r="N3547" s="149"/>
    </row>
    <row r="3548" spans="8:14">
      <c r="H3548" s="2"/>
      <c r="K3548" s="149"/>
      <c r="L3548" s="149"/>
      <c r="M3548" s="149"/>
      <c r="N3548" s="149"/>
    </row>
    <row r="3549" spans="8:14">
      <c r="H3549" s="2"/>
      <c r="K3549" s="149"/>
      <c r="L3549" s="149"/>
      <c r="M3549" s="149"/>
      <c r="N3549" s="149"/>
    </row>
    <row r="3550" spans="8:14">
      <c r="H3550" s="2"/>
      <c r="K3550" s="149"/>
      <c r="L3550" s="149"/>
      <c r="M3550" s="149"/>
      <c r="N3550" s="149"/>
    </row>
    <row r="3551" spans="8:14">
      <c r="H3551" s="2"/>
      <c r="K3551" s="149"/>
      <c r="L3551" s="149"/>
      <c r="M3551" s="149"/>
      <c r="N3551" s="149"/>
    </row>
    <row r="3552" spans="8:14">
      <c r="H3552" s="2"/>
      <c r="K3552" s="149"/>
      <c r="L3552" s="149"/>
      <c r="M3552" s="149"/>
      <c r="N3552" s="149"/>
    </row>
    <row r="3553" spans="8:14">
      <c r="H3553" s="2"/>
      <c r="K3553" s="149"/>
      <c r="L3553" s="149"/>
      <c r="M3553" s="149"/>
      <c r="N3553" s="149"/>
    </row>
    <row r="3554" spans="8:14">
      <c r="H3554" s="2"/>
      <c r="K3554" s="149"/>
      <c r="L3554" s="149"/>
      <c r="M3554" s="149"/>
      <c r="N3554" s="149"/>
    </row>
    <row r="3555" spans="8:14">
      <c r="H3555" s="2"/>
      <c r="K3555" s="149"/>
      <c r="L3555" s="149"/>
      <c r="M3555" s="149"/>
      <c r="N3555" s="149"/>
    </row>
    <row r="3556" spans="8:14">
      <c r="H3556" s="2"/>
      <c r="K3556" s="149"/>
      <c r="L3556" s="149"/>
      <c r="M3556" s="149"/>
      <c r="N3556" s="149"/>
    </row>
    <row r="3557" spans="8:14">
      <c r="H3557" s="2"/>
      <c r="K3557" s="149"/>
      <c r="L3557" s="149"/>
      <c r="M3557" s="149"/>
      <c r="N3557" s="149"/>
    </row>
    <row r="3558" spans="8:14">
      <c r="H3558" s="2"/>
      <c r="K3558" s="149"/>
      <c r="L3558" s="149"/>
      <c r="M3558" s="149"/>
      <c r="N3558" s="149"/>
    </row>
    <row r="3559" spans="8:14">
      <c r="H3559" s="2"/>
      <c r="K3559" s="149"/>
      <c r="L3559" s="149"/>
      <c r="M3559" s="149"/>
      <c r="N3559" s="149"/>
    </row>
    <row r="3560" spans="8:14">
      <c r="H3560" s="2"/>
      <c r="K3560" s="149"/>
      <c r="L3560" s="149"/>
      <c r="M3560" s="149"/>
      <c r="N3560" s="149"/>
    </row>
    <row r="3561" spans="8:14">
      <c r="H3561" s="2"/>
      <c r="K3561" s="149"/>
      <c r="L3561" s="149"/>
      <c r="M3561" s="149"/>
      <c r="N3561" s="149"/>
    </row>
    <row r="3562" spans="8:14">
      <c r="K3562" s="149"/>
      <c r="L3562" s="149"/>
      <c r="M3562" s="149"/>
      <c r="N3562" s="149"/>
    </row>
    <row r="3563" spans="8:14">
      <c r="K3563" s="149"/>
      <c r="L3563" s="149"/>
      <c r="M3563" s="149"/>
      <c r="N3563" s="149"/>
    </row>
    <row r="3564" spans="8:14">
      <c r="K3564" s="149"/>
      <c r="L3564" s="149"/>
      <c r="M3564" s="149"/>
      <c r="N3564" s="149"/>
    </row>
    <row r="3565" spans="8:14">
      <c r="K3565" s="149"/>
      <c r="L3565" s="149"/>
      <c r="M3565" s="149"/>
      <c r="N3565" s="149"/>
    </row>
    <row r="3566" spans="8:14">
      <c r="K3566" s="149"/>
      <c r="L3566" s="149"/>
      <c r="M3566" s="149"/>
      <c r="N3566" s="149"/>
    </row>
    <row r="3567" spans="8:14">
      <c r="K3567" s="149"/>
      <c r="L3567" s="149"/>
      <c r="M3567" s="149"/>
      <c r="N3567" s="149"/>
    </row>
    <row r="3568" spans="8:14">
      <c r="K3568" s="149"/>
      <c r="L3568" s="149"/>
      <c r="M3568" s="149"/>
      <c r="N3568" s="149"/>
    </row>
    <row r="3569" spans="11:14">
      <c r="K3569" s="149"/>
      <c r="L3569" s="149"/>
      <c r="M3569" s="149"/>
      <c r="N3569" s="149"/>
    </row>
    <row r="3570" spans="11:14">
      <c r="K3570" s="149"/>
      <c r="L3570" s="149"/>
      <c r="M3570" s="149"/>
      <c r="N3570" s="149"/>
    </row>
    <row r="3571" spans="11:14">
      <c r="K3571" s="149"/>
      <c r="L3571" s="149"/>
      <c r="M3571" s="149"/>
      <c r="N3571" s="149"/>
    </row>
    <row r="3572" spans="11:14">
      <c r="K3572" s="149"/>
      <c r="L3572" s="149"/>
      <c r="M3572" s="149"/>
      <c r="N3572" s="149"/>
    </row>
    <row r="3573" spans="11:14">
      <c r="K3573" s="149"/>
      <c r="L3573" s="149"/>
      <c r="M3573" s="149"/>
      <c r="N3573" s="149"/>
    </row>
    <row r="3574" spans="11:14">
      <c r="K3574" s="149"/>
      <c r="L3574" s="149"/>
      <c r="M3574" s="149"/>
      <c r="N3574" s="149"/>
    </row>
    <row r="3575" spans="11:14">
      <c r="K3575" s="149"/>
      <c r="L3575" s="149"/>
      <c r="M3575" s="149"/>
      <c r="N3575" s="149"/>
    </row>
    <row r="3576" spans="11:14">
      <c r="K3576" s="149"/>
      <c r="L3576" s="149"/>
      <c r="M3576" s="149"/>
      <c r="N3576" s="149"/>
    </row>
    <row r="3577" spans="11:14">
      <c r="K3577" s="149"/>
      <c r="L3577" s="149"/>
      <c r="M3577" s="149"/>
      <c r="N3577" s="149"/>
    </row>
    <row r="3578" spans="11:14">
      <c r="K3578" s="149"/>
      <c r="L3578" s="149"/>
      <c r="M3578" s="149"/>
      <c r="N3578" s="149"/>
    </row>
    <row r="3579" spans="11:14">
      <c r="K3579" s="149"/>
      <c r="L3579" s="149"/>
      <c r="M3579" s="149"/>
      <c r="N3579" s="149"/>
    </row>
    <row r="3580" spans="11:14">
      <c r="K3580" s="149"/>
      <c r="L3580" s="149"/>
      <c r="M3580" s="149"/>
      <c r="N3580" s="149"/>
    </row>
    <row r="3581" spans="11:14">
      <c r="K3581" s="149"/>
      <c r="L3581" s="149"/>
      <c r="M3581" s="149"/>
      <c r="N3581" s="149"/>
    </row>
    <row r="3582" spans="11:14">
      <c r="K3582" s="149"/>
      <c r="L3582" s="149"/>
      <c r="M3582" s="149"/>
      <c r="N3582" s="149"/>
    </row>
    <row r="3583" spans="11:14">
      <c r="K3583" s="149"/>
      <c r="L3583" s="149"/>
      <c r="M3583" s="149"/>
      <c r="N3583" s="149"/>
    </row>
    <row r="3584" spans="11:14">
      <c r="K3584" s="149"/>
      <c r="L3584" s="149"/>
      <c r="M3584" s="149"/>
      <c r="N3584" s="149"/>
    </row>
    <row r="3585" spans="11:14">
      <c r="K3585" s="149"/>
      <c r="L3585" s="149"/>
      <c r="M3585" s="149"/>
      <c r="N3585" s="149"/>
    </row>
    <row r="3586" spans="11:14">
      <c r="K3586" s="149"/>
      <c r="L3586" s="149"/>
      <c r="M3586" s="149"/>
      <c r="N3586" s="149"/>
    </row>
    <row r="3587" spans="11:14">
      <c r="K3587" s="149"/>
      <c r="L3587" s="149"/>
      <c r="M3587" s="149"/>
      <c r="N3587" s="149"/>
    </row>
    <row r="3588" spans="11:14">
      <c r="K3588" s="149"/>
      <c r="L3588" s="149"/>
      <c r="M3588" s="149"/>
      <c r="N3588" s="149"/>
    </row>
    <row r="3589" spans="11:14">
      <c r="K3589" s="149"/>
      <c r="L3589" s="149"/>
      <c r="M3589" s="149"/>
      <c r="N3589" s="149"/>
    </row>
    <row r="3590" spans="11:14">
      <c r="K3590" s="149"/>
      <c r="L3590" s="149"/>
      <c r="M3590" s="149"/>
      <c r="N3590" s="149"/>
    </row>
    <row r="3591" spans="11:14">
      <c r="K3591" s="149"/>
      <c r="L3591" s="149"/>
      <c r="M3591" s="149"/>
      <c r="N3591" s="149"/>
    </row>
    <row r="3592" spans="11:14">
      <c r="K3592" s="149"/>
      <c r="L3592" s="149"/>
      <c r="M3592" s="149"/>
      <c r="N3592" s="149"/>
    </row>
    <row r="3593" spans="11:14">
      <c r="K3593" s="149"/>
      <c r="L3593" s="149"/>
      <c r="M3593" s="149"/>
      <c r="N3593" s="149"/>
    </row>
    <row r="3594" spans="11:14">
      <c r="K3594" s="149"/>
      <c r="L3594" s="149"/>
      <c r="M3594" s="149"/>
      <c r="N3594" s="149"/>
    </row>
    <row r="3595" spans="11:14">
      <c r="K3595" s="149"/>
      <c r="L3595" s="149"/>
      <c r="M3595" s="149"/>
      <c r="N3595" s="149"/>
    </row>
    <row r="3596" spans="11:14">
      <c r="K3596" s="149"/>
      <c r="L3596" s="149"/>
      <c r="M3596" s="149"/>
      <c r="N3596" s="149"/>
    </row>
    <row r="3597" spans="11:14">
      <c r="K3597" s="149"/>
      <c r="L3597" s="149"/>
      <c r="M3597" s="149"/>
      <c r="N3597" s="149"/>
    </row>
    <row r="3598" spans="11:14">
      <c r="K3598" s="149"/>
      <c r="L3598" s="149"/>
      <c r="M3598" s="149"/>
      <c r="N3598" s="149"/>
    </row>
    <row r="3599" spans="11:14">
      <c r="K3599" s="149"/>
      <c r="L3599" s="149"/>
      <c r="M3599" s="149"/>
      <c r="N3599" s="149"/>
    </row>
    <row r="3600" spans="11:14">
      <c r="K3600" s="149"/>
      <c r="L3600" s="149"/>
      <c r="M3600" s="149"/>
      <c r="N3600" s="149"/>
    </row>
    <row r="3601" spans="11:14">
      <c r="K3601" s="149"/>
      <c r="L3601" s="149"/>
      <c r="M3601" s="149"/>
      <c r="N3601" s="149"/>
    </row>
    <row r="3602" spans="11:14">
      <c r="K3602" s="149"/>
      <c r="L3602" s="149"/>
      <c r="M3602" s="149"/>
      <c r="N3602" s="149"/>
    </row>
    <row r="3603" spans="11:14">
      <c r="K3603" s="149"/>
      <c r="L3603" s="149"/>
      <c r="M3603" s="149"/>
      <c r="N3603" s="149"/>
    </row>
    <row r="3604" spans="11:14">
      <c r="K3604" s="149"/>
      <c r="L3604" s="149"/>
      <c r="M3604" s="149"/>
      <c r="N3604" s="149"/>
    </row>
    <row r="3605" spans="11:14">
      <c r="K3605" s="149"/>
      <c r="L3605" s="149"/>
      <c r="M3605" s="149"/>
      <c r="N3605" s="149"/>
    </row>
    <row r="3606" spans="11:14">
      <c r="K3606" s="149"/>
      <c r="L3606" s="149"/>
      <c r="M3606" s="149"/>
      <c r="N3606" s="149"/>
    </row>
    <row r="3607" spans="11:14">
      <c r="K3607" s="149"/>
      <c r="L3607" s="149"/>
      <c r="M3607" s="149"/>
      <c r="N3607" s="149"/>
    </row>
    <row r="3608" spans="11:14">
      <c r="K3608" s="149"/>
      <c r="L3608" s="149"/>
      <c r="M3608" s="149"/>
      <c r="N3608" s="149"/>
    </row>
    <row r="3609" spans="11:14">
      <c r="K3609" s="149"/>
      <c r="L3609" s="149"/>
      <c r="M3609" s="149"/>
      <c r="N3609" s="149"/>
    </row>
    <row r="3610" spans="11:14">
      <c r="K3610" s="149"/>
      <c r="L3610" s="149"/>
      <c r="M3610" s="149"/>
      <c r="N3610" s="149"/>
    </row>
    <row r="3611" spans="11:14">
      <c r="K3611" s="149"/>
      <c r="L3611" s="149"/>
      <c r="M3611" s="149"/>
      <c r="N3611" s="149"/>
    </row>
    <row r="3612" spans="11:14">
      <c r="K3612" s="149"/>
      <c r="L3612" s="149"/>
      <c r="M3612" s="149"/>
      <c r="N3612" s="149"/>
    </row>
    <row r="3613" spans="11:14">
      <c r="K3613" s="149"/>
      <c r="L3613" s="149"/>
      <c r="M3613" s="149"/>
      <c r="N3613" s="149"/>
    </row>
    <row r="3614" spans="11:14">
      <c r="K3614" s="149"/>
      <c r="L3614" s="149"/>
      <c r="M3614" s="149"/>
      <c r="N3614" s="149"/>
    </row>
    <row r="3615" spans="11:14">
      <c r="K3615" s="149"/>
      <c r="L3615" s="149"/>
      <c r="M3615" s="149"/>
      <c r="N3615" s="149"/>
    </row>
    <row r="3616" spans="11:14">
      <c r="K3616" s="149"/>
      <c r="L3616" s="149"/>
      <c r="M3616" s="149"/>
      <c r="N3616" s="149"/>
    </row>
    <row r="3617" spans="9:14">
      <c r="K3617" s="149"/>
      <c r="L3617" s="149"/>
      <c r="M3617" s="149"/>
      <c r="N3617" s="149"/>
    </row>
    <row r="3618" spans="9:14">
      <c r="K3618" s="149"/>
      <c r="L3618" s="149"/>
      <c r="M3618" s="149"/>
      <c r="N3618" s="149"/>
    </row>
    <row r="3619" spans="9:14">
      <c r="K3619" s="149"/>
      <c r="L3619" s="149"/>
      <c r="M3619" s="149"/>
      <c r="N3619" s="149"/>
    </row>
    <row r="3620" spans="9:14">
      <c r="K3620" s="149"/>
      <c r="L3620" s="149"/>
      <c r="M3620" s="149"/>
      <c r="N3620" s="149"/>
    </row>
    <row r="3621" spans="9:14">
      <c r="K3621" s="149"/>
      <c r="L3621" s="149"/>
      <c r="M3621" s="149"/>
      <c r="N3621" s="149"/>
    </row>
    <row r="3622" spans="9:14">
      <c r="K3622" s="149"/>
      <c r="L3622" s="149"/>
      <c r="M3622" s="149"/>
      <c r="N3622" s="149"/>
    </row>
    <row r="3623" spans="9:14">
      <c r="K3623" s="149"/>
      <c r="L3623" s="149"/>
      <c r="M3623" s="149"/>
      <c r="N3623" s="149"/>
    </row>
    <row r="3624" spans="9:14">
      <c r="K3624" s="149"/>
      <c r="L3624" s="149"/>
      <c r="M3624" s="149"/>
      <c r="N3624" s="149"/>
    </row>
    <row r="3625" spans="9:14">
      <c r="K3625" s="149"/>
      <c r="L3625" s="149"/>
      <c r="M3625" s="149"/>
      <c r="N3625" s="149"/>
    </row>
    <row r="3626" spans="9:14">
      <c r="K3626" s="149"/>
      <c r="L3626" s="149"/>
      <c r="M3626" s="149"/>
      <c r="N3626" s="149"/>
    </row>
    <row r="3627" spans="9:14">
      <c r="K3627" s="149"/>
      <c r="L3627" s="149"/>
      <c r="M3627" s="149"/>
      <c r="N3627" s="149"/>
    </row>
    <row r="3628" spans="9:14">
      <c r="K3628" s="149"/>
      <c r="L3628" s="149"/>
      <c r="M3628" s="149"/>
      <c r="N3628" s="149"/>
    </row>
    <row r="3629" spans="9:14">
      <c r="K3629" s="149"/>
      <c r="L3629" s="149"/>
      <c r="M3629" s="149"/>
      <c r="N3629" s="149"/>
    </row>
    <row r="3630" spans="9:14">
      <c r="K3630" s="149"/>
      <c r="L3630" s="149"/>
      <c r="M3630" s="149"/>
      <c r="N3630" s="149"/>
    </row>
    <row r="3631" spans="9:14">
      <c r="I3631" s="2"/>
      <c r="K3631" s="149"/>
      <c r="L3631" s="149"/>
      <c r="M3631" s="149"/>
      <c r="N3631" s="149"/>
    </row>
    <row r="3632" spans="9:14">
      <c r="K3632" s="149"/>
      <c r="L3632" s="149"/>
      <c r="M3632" s="149"/>
      <c r="N3632" s="149"/>
    </row>
    <row r="3633" spans="9:14">
      <c r="K3633" s="149"/>
      <c r="L3633" s="149"/>
      <c r="M3633" s="149"/>
      <c r="N3633" s="149"/>
    </row>
    <row r="3634" spans="9:14">
      <c r="K3634" s="149"/>
      <c r="L3634" s="149"/>
      <c r="M3634" s="149"/>
      <c r="N3634" s="149"/>
    </row>
    <row r="3635" spans="9:14">
      <c r="K3635" s="149"/>
      <c r="L3635" s="149"/>
      <c r="M3635" s="149"/>
      <c r="N3635" s="149"/>
    </row>
    <row r="3636" spans="9:14">
      <c r="K3636" s="149"/>
      <c r="L3636" s="149"/>
      <c r="M3636" s="149"/>
      <c r="N3636" s="149"/>
    </row>
    <row r="3637" spans="9:14">
      <c r="K3637" s="149"/>
      <c r="L3637" s="149"/>
      <c r="M3637" s="149"/>
      <c r="N3637" s="149"/>
    </row>
    <row r="3638" spans="9:14">
      <c r="K3638" s="149"/>
      <c r="L3638" s="149"/>
      <c r="M3638" s="149"/>
      <c r="N3638" s="149"/>
    </row>
    <row r="3639" spans="9:14">
      <c r="K3639" s="149"/>
      <c r="L3639" s="149"/>
      <c r="M3639" s="149"/>
      <c r="N3639" s="149"/>
    </row>
    <row r="3640" spans="9:14">
      <c r="K3640" s="149"/>
      <c r="L3640" s="149"/>
      <c r="M3640" s="149"/>
      <c r="N3640" s="149"/>
    </row>
    <row r="3641" spans="9:14">
      <c r="K3641" s="149"/>
      <c r="L3641" s="149"/>
      <c r="M3641" s="149"/>
      <c r="N3641" s="149"/>
    </row>
    <row r="3642" spans="9:14">
      <c r="K3642" s="149"/>
      <c r="L3642" s="149"/>
      <c r="M3642" s="149"/>
      <c r="N3642" s="149"/>
    </row>
    <row r="3643" spans="9:14">
      <c r="I3643" s="2"/>
      <c r="K3643" s="149"/>
      <c r="L3643" s="149"/>
      <c r="M3643" s="149"/>
      <c r="N3643" s="149"/>
    </row>
    <row r="3644" spans="9:14">
      <c r="I3644" s="2"/>
      <c r="K3644" s="149"/>
      <c r="L3644" s="149"/>
      <c r="M3644" s="149"/>
      <c r="N3644" s="149"/>
    </row>
    <row r="3645" spans="9:14">
      <c r="K3645" s="149"/>
      <c r="L3645" s="149"/>
      <c r="M3645" s="149"/>
      <c r="N3645" s="149"/>
    </row>
    <row r="3646" spans="9:14">
      <c r="K3646" s="149"/>
      <c r="L3646" s="149"/>
      <c r="M3646" s="149"/>
      <c r="N3646" s="149"/>
    </row>
    <row r="3647" spans="9:14">
      <c r="K3647" s="149"/>
      <c r="L3647" s="149"/>
      <c r="M3647" s="149"/>
      <c r="N3647" s="149"/>
    </row>
    <row r="3648" spans="9:14">
      <c r="K3648" s="149"/>
      <c r="L3648" s="149"/>
      <c r="M3648" s="149"/>
      <c r="N3648" s="149"/>
    </row>
    <row r="3649" spans="8:14">
      <c r="K3649" s="149"/>
      <c r="L3649" s="149"/>
      <c r="M3649" s="149"/>
      <c r="N3649" s="149"/>
    </row>
    <row r="3650" spans="8:14">
      <c r="H3650" s="2"/>
      <c r="I3650" s="2"/>
      <c r="K3650" s="149"/>
      <c r="L3650" s="149"/>
      <c r="M3650" s="149"/>
      <c r="N3650" s="149"/>
    </row>
    <row r="3651" spans="8:14">
      <c r="H3651" s="2"/>
      <c r="I3651" s="2"/>
      <c r="K3651" s="149"/>
      <c r="L3651" s="149"/>
      <c r="M3651" s="149"/>
      <c r="N3651" s="149"/>
    </row>
    <row r="3652" spans="8:14">
      <c r="H3652" s="2"/>
      <c r="I3652" s="2"/>
      <c r="K3652" s="149"/>
      <c r="L3652" s="149"/>
      <c r="M3652" s="149"/>
      <c r="N3652" s="149"/>
    </row>
    <row r="3653" spans="8:14">
      <c r="H3653" s="2"/>
      <c r="I3653" s="2"/>
      <c r="K3653" s="149"/>
      <c r="L3653" s="149"/>
      <c r="M3653" s="149"/>
      <c r="N3653" s="149"/>
    </row>
    <row r="3654" spans="8:14">
      <c r="H3654" s="2"/>
      <c r="I3654" s="2"/>
      <c r="K3654" s="149"/>
      <c r="L3654" s="149"/>
      <c r="M3654" s="149"/>
      <c r="N3654" s="149"/>
    </row>
    <row r="3655" spans="8:14">
      <c r="H3655" s="2"/>
      <c r="I3655" s="2"/>
      <c r="K3655" s="149"/>
      <c r="L3655" s="149"/>
      <c r="M3655" s="149"/>
      <c r="N3655" s="149"/>
    </row>
    <row r="3656" spans="8:14">
      <c r="H3656" s="2"/>
      <c r="I3656" s="2"/>
      <c r="K3656" s="149"/>
      <c r="L3656" s="149"/>
      <c r="M3656" s="149"/>
      <c r="N3656" s="149"/>
    </row>
    <row r="3657" spans="8:14">
      <c r="H3657" s="2"/>
      <c r="I3657" s="2"/>
      <c r="K3657" s="149"/>
      <c r="L3657" s="149"/>
      <c r="M3657" s="149"/>
      <c r="N3657" s="149"/>
    </row>
    <row r="3658" spans="8:14">
      <c r="H3658" s="2"/>
      <c r="I3658" s="2"/>
      <c r="K3658" s="149"/>
      <c r="L3658" s="149"/>
      <c r="M3658" s="149"/>
      <c r="N3658" s="149"/>
    </row>
    <row r="3659" spans="8:14">
      <c r="H3659" s="2"/>
      <c r="I3659" s="2"/>
      <c r="K3659" s="149"/>
      <c r="L3659" s="149"/>
      <c r="M3659" s="149"/>
      <c r="N3659" s="149"/>
    </row>
    <row r="3660" spans="8:14">
      <c r="H3660" s="2"/>
      <c r="I3660" s="2"/>
      <c r="K3660" s="149"/>
      <c r="L3660" s="149"/>
      <c r="M3660" s="149"/>
      <c r="N3660" s="149"/>
    </row>
    <row r="3661" spans="8:14">
      <c r="H3661" s="2"/>
      <c r="I3661" s="2"/>
      <c r="K3661" s="149"/>
      <c r="L3661" s="149"/>
      <c r="M3661" s="149"/>
      <c r="N3661" s="149"/>
    </row>
    <row r="3662" spans="8:14">
      <c r="H3662" s="2"/>
      <c r="K3662" s="149"/>
      <c r="L3662" s="149"/>
      <c r="M3662" s="149"/>
      <c r="N3662" s="149"/>
    </row>
    <row r="3663" spans="8:14">
      <c r="H3663" s="2"/>
      <c r="K3663" s="149"/>
      <c r="L3663" s="149"/>
      <c r="M3663" s="149"/>
      <c r="N3663" s="149"/>
    </row>
    <row r="3664" spans="8:14">
      <c r="H3664" s="2"/>
      <c r="K3664" s="149"/>
      <c r="L3664" s="149"/>
      <c r="M3664" s="149"/>
      <c r="N3664" s="149"/>
    </row>
    <row r="3665" spans="8:14">
      <c r="H3665" s="2"/>
      <c r="K3665" s="149"/>
      <c r="L3665" s="149"/>
      <c r="M3665" s="149"/>
      <c r="N3665" s="149"/>
    </row>
    <row r="3666" spans="8:14">
      <c r="H3666" s="2"/>
      <c r="I3666" s="2"/>
      <c r="K3666" s="149"/>
      <c r="L3666" s="149"/>
      <c r="M3666" s="149"/>
      <c r="N3666" s="149"/>
    </row>
    <row r="3667" spans="8:14">
      <c r="H3667" s="2"/>
      <c r="I3667" s="2"/>
      <c r="K3667" s="149"/>
      <c r="L3667" s="149"/>
      <c r="M3667" s="149"/>
      <c r="N3667" s="149"/>
    </row>
    <row r="3668" spans="8:14">
      <c r="H3668" s="2"/>
      <c r="K3668" s="149"/>
      <c r="L3668" s="149"/>
      <c r="M3668" s="149"/>
      <c r="N3668" s="149"/>
    </row>
    <row r="3669" spans="8:14">
      <c r="H3669" s="2"/>
      <c r="K3669" s="149"/>
      <c r="L3669" s="149"/>
      <c r="M3669" s="149"/>
      <c r="N3669" s="149"/>
    </row>
    <row r="3670" spans="8:14">
      <c r="H3670" s="2"/>
      <c r="K3670" s="149"/>
      <c r="L3670" s="149"/>
      <c r="M3670" s="149"/>
      <c r="N3670" s="149"/>
    </row>
    <row r="3671" spans="8:14">
      <c r="H3671" s="2"/>
      <c r="K3671" s="149"/>
      <c r="L3671" s="149"/>
      <c r="M3671" s="149"/>
      <c r="N3671" s="149"/>
    </row>
    <row r="3672" spans="8:14">
      <c r="H3672" s="2"/>
      <c r="K3672" s="149"/>
      <c r="L3672" s="149"/>
      <c r="M3672" s="149"/>
      <c r="N3672" s="149"/>
    </row>
    <row r="3673" spans="8:14">
      <c r="H3673" s="2"/>
      <c r="K3673" s="149"/>
      <c r="L3673" s="149"/>
      <c r="M3673" s="149"/>
      <c r="N3673" s="149"/>
    </row>
    <row r="3674" spans="8:14">
      <c r="H3674" s="2"/>
      <c r="K3674" s="149"/>
      <c r="L3674" s="149"/>
      <c r="M3674" s="149"/>
      <c r="N3674" s="149"/>
    </row>
    <row r="3675" spans="8:14">
      <c r="H3675" s="2"/>
      <c r="I3675" s="2"/>
      <c r="K3675" s="149"/>
      <c r="L3675" s="149"/>
      <c r="M3675" s="149"/>
      <c r="N3675" s="149"/>
    </row>
    <row r="3676" spans="8:14">
      <c r="H3676" s="2"/>
      <c r="K3676" s="149"/>
      <c r="L3676" s="149"/>
      <c r="M3676" s="149"/>
      <c r="N3676" s="149"/>
    </row>
    <row r="3677" spans="8:14">
      <c r="H3677" s="2"/>
      <c r="K3677" s="149"/>
      <c r="L3677" s="149"/>
      <c r="M3677" s="149"/>
      <c r="N3677" s="149"/>
    </row>
    <row r="3678" spans="8:14">
      <c r="H3678" s="2"/>
      <c r="K3678" s="149"/>
      <c r="L3678" s="149"/>
      <c r="M3678" s="149"/>
      <c r="N3678" s="149"/>
    </row>
    <row r="3679" spans="8:14">
      <c r="H3679" s="2"/>
      <c r="K3679" s="149"/>
      <c r="L3679" s="149"/>
      <c r="M3679" s="149"/>
      <c r="N3679" s="149"/>
    </row>
    <row r="3680" spans="8:14">
      <c r="H3680" s="2"/>
      <c r="K3680" s="149"/>
      <c r="L3680" s="149"/>
      <c r="M3680" s="149"/>
      <c r="N3680" s="149"/>
    </row>
    <row r="3681" spans="8:14">
      <c r="H3681" s="2"/>
      <c r="I3681" s="2"/>
      <c r="K3681" s="149"/>
      <c r="L3681" s="149"/>
      <c r="M3681" s="149"/>
      <c r="N3681" s="149"/>
    </row>
    <row r="3682" spans="8:14">
      <c r="H3682" s="2"/>
      <c r="J3682" s="2"/>
      <c r="K3682" s="149"/>
      <c r="L3682" s="149"/>
      <c r="M3682" s="149"/>
      <c r="N3682" s="149"/>
    </row>
    <row r="3683" spans="8:14">
      <c r="H3683" s="2"/>
      <c r="K3683" s="149"/>
      <c r="L3683" s="149"/>
      <c r="M3683" s="149"/>
      <c r="N3683" s="149"/>
    </row>
    <row r="3684" spans="8:14">
      <c r="H3684" s="2"/>
      <c r="K3684" s="149"/>
      <c r="L3684" s="149"/>
      <c r="M3684" s="149"/>
      <c r="N3684" s="149"/>
    </row>
    <row r="3685" spans="8:14">
      <c r="H3685" s="2"/>
      <c r="I3685" s="2"/>
      <c r="K3685" s="149"/>
      <c r="L3685" s="149"/>
      <c r="M3685" s="149"/>
      <c r="N3685" s="149"/>
    </row>
    <row r="3686" spans="8:14">
      <c r="H3686" s="2"/>
      <c r="K3686" s="149"/>
      <c r="L3686" s="149"/>
      <c r="M3686" s="149"/>
      <c r="N3686" s="149"/>
    </row>
    <row r="3687" spans="8:14">
      <c r="H3687" s="2"/>
      <c r="I3687" s="2"/>
      <c r="K3687" s="149"/>
      <c r="L3687" s="149"/>
      <c r="M3687" s="149"/>
      <c r="N3687" s="149"/>
    </row>
    <row r="3688" spans="8:14">
      <c r="H3688" s="2"/>
      <c r="K3688" s="149"/>
      <c r="L3688" s="149"/>
      <c r="M3688" s="149"/>
      <c r="N3688" s="149"/>
    </row>
    <row r="3689" spans="8:14">
      <c r="H3689" s="2"/>
      <c r="K3689" s="149"/>
      <c r="L3689" s="149"/>
      <c r="M3689" s="149"/>
      <c r="N3689" s="149"/>
    </row>
    <row r="3690" spans="8:14">
      <c r="H3690" s="2"/>
      <c r="K3690" s="149"/>
      <c r="L3690" s="149"/>
      <c r="M3690" s="149"/>
      <c r="N3690" s="149"/>
    </row>
    <row r="3691" spans="8:14">
      <c r="H3691" s="2"/>
      <c r="I3691" s="2"/>
      <c r="K3691" s="149"/>
      <c r="L3691" s="149"/>
      <c r="M3691" s="149"/>
      <c r="N3691" s="149"/>
    </row>
    <row r="3692" spans="8:14">
      <c r="H3692" s="2"/>
      <c r="K3692" s="149"/>
      <c r="L3692" s="149"/>
      <c r="M3692" s="149"/>
      <c r="N3692" s="149"/>
    </row>
    <row r="3693" spans="8:14">
      <c r="H3693" s="2"/>
      <c r="K3693" s="149"/>
      <c r="L3693" s="149"/>
      <c r="M3693" s="149"/>
      <c r="N3693" s="149"/>
    </row>
    <row r="3694" spans="8:14">
      <c r="H3694" s="2"/>
      <c r="K3694" s="149"/>
      <c r="L3694" s="149"/>
      <c r="M3694" s="149"/>
      <c r="N3694" s="149"/>
    </row>
    <row r="3695" spans="8:14">
      <c r="H3695" s="2"/>
      <c r="K3695" s="149"/>
      <c r="L3695" s="149"/>
      <c r="M3695" s="149"/>
      <c r="N3695" s="149"/>
    </row>
    <row r="3696" spans="8:14">
      <c r="H3696" s="2"/>
      <c r="I3696" s="2"/>
      <c r="K3696" s="149"/>
      <c r="L3696" s="149"/>
      <c r="M3696" s="149"/>
      <c r="N3696" s="149"/>
    </row>
    <row r="3697" spans="8:14">
      <c r="H3697" s="2"/>
      <c r="K3697" s="149"/>
      <c r="L3697" s="149"/>
      <c r="M3697" s="149"/>
      <c r="N3697" s="149"/>
    </row>
    <row r="3698" spans="8:14">
      <c r="H3698" s="2"/>
      <c r="K3698" s="149"/>
      <c r="L3698" s="149"/>
      <c r="M3698" s="149"/>
      <c r="N3698" s="149"/>
    </row>
    <row r="3699" spans="8:14">
      <c r="H3699" s="2"/>
      <c r="K3699" s="149"/>
      <c r="L3699" s="149"/>
      <c r="M3699" s="149"/>
      <c r="N3699" s="149"/>
    </row>
    <row r="3700" spans="8:14">
      <c r="H3700" s="2"/>
      <c r="I3700" s="2"/>
      <c r="J3700" s="2"/>
      <c r="K3700" s="149"/>
      <c r="L3700" s="149"/>
      <c r="M3700" s="149"/>
      <c r="N3700" s="149"/>
    </row>
    <row r="3701" spans="8:14">
      <c r="H3701" s="2"/>
      <c r="I3701" s="2"/>
      <c r="K3701" s="149"/>
      <c r="L3701" s="149"/>
      <c r="M3701" s="149"/>
      <c r="N3701" s="149"/>
    </row>
    <row r="3702" spans="8:14">
      <c r="H3702" s="2"/>
      <c r="K3702" s="149"/>
      <c r="L3702" s="149"/>
      <c r="M3702" s="149"/>
      <c r="N3702" s="149"/>
    </row>
    <row r="3703" spans="8:14">
      <c r="H3703" s="2"/>
      <c r="K3703" s="149"/>
      <c r="L3703" s="149"/>
      <c r="M3703" s="149"/>
      <c r="N3703" s="149"/>
    </row>
    <row r="3704" spans="8:14">
      <c r="H3704" s="2"/>
      <c r="K3704" s="149"/>
      <c r="L3704" s="149"/>
      <c r="M3704" s="149"/>
      <c r="N3704" s="149"/>
    </row>
    <row r="3705" spans="8:14">
      <c r="H3705" s="2"/>
      <c r="K3705" s="149"/>
      <c r="L3705" s="149"/>
      <c r="M3705" s="149"/>
      <c r="N3705" s="149"/>
    </row>
    <row r="3706" spans="8:14">
      <c r="H3706" s="2"/>
      <c r="K3706" s="149"/>
      <c r="L3706" s="149"/>
      <c r="M3706" s="149"/>
      <c r="N3706" s="149"/>
    </row>
    <row r="3707" spans="8:14">
      <c r="H3707" s="2"/>
      <c r="K3707" s="149"/>
      <c r="L3707" s="149"/>
      <c r="M3707" s="149"/>
      <c r="N3707" s="149"/>
    </row>
    <row r="3708" spans="8:14">
      <c r="H3708" s="2"/>
      <c r="I3708" s="2"/>
      <c r="K3708" s="149"/>
      <c r="L3708" s="149"/>
      <c r="M3708" s="149"/>
      <c r="N3708" s="149"/>
    </row>
    <row r="3709" spans="8:14">
      <c r="H3709" s="2"/>
      <c r="I3709" s="2"/>
      <c r="K3709" s="149"/>
      <c r="L3709" s="149"/>
      <c r="M3709" s="149"/>
      <c r="N3709" s="149"/>
    </row>
    <row r="3710" spans="8:14">
      <c r="H3710" s="2"/>
      <c r="I3710" s="2"/>
      <c r="K3710" s="149"/>
      <c r="L3710" s="149"/>
      <c r="M3710" s="149"/>
      <c r="N3710" s="149"/>
    </row>
    <row r="3711" spans="8:14">
      <c r="H3711" s="2"/>
      <c r="I3711" s="2"/>
      <c r="K3711" s="149"/>
      <c r="L3711" s="149"/>
      <c r="M3711" s="149"/>
      <c r="N3711" s="149"/>
    </row>
    <row r="3712" spans="8:14">
      <c r="H3712" s="2"/>
      <c r="I3712" s="2"/>
      <c r="K3712" s="149"/>
      <c r="L3712" s="149"/>
      <c r="M3712" s="149"/>
      <c r="N3712" s="149"/>
    </row>
    <row r="3713" spans="8:14">
      <c r="H3713" s="2"/>
      <c r="I3713" s="2"/>
      <c r="K3713" s="149"/>
      <c r="L3713" s="149"/>
      <c r="M3713" s="149"/>
      <c r="N3713" s="149"/>
    </row>
    <row r="3714" spans="8:14">
      <c r="H3714" s="2"/>
      <c r="I3714" s="2"/>
      <c r="K3714" s="149"/>
      <c r="L3714" s="149"/>
      <c r="M3714" s="149"/>
      <c r="N3714" s="149"/>
    </row>
    <row r="3715" spans="8:14">
      <c r="H3715" s="2"/>
      <c r="K3715" s="149"/>
      <c r="L3715" s="149"/>
      <c r="M3715" s="149"/>
      <c r="N3715" s="149"/>
    </row>
    <row r="3716" spans="8:14">
      <c r="H3716" s="2"/>
      <c r="K3716" s="149"/>
      <c r="L3716" s="149"/>
      <c r="M3716" s="149"/>
      <c r="N3716" s="149"/>
    </row>
    <row r="3717" spans="8:14">
      <c r="H3717" s="2"/>
      <c r="K3717" s="149"/>
      <c r="L3717" s="149"/>
      <c r="M3717" s="149"/>
      <c r="N3717" s="149"/>
    </row>
    <row r="3718" spans="8:14">
      <c r="H3718" s="2"/>
      <c r="K3718" s="149"/>
      <c r="L3718" s="149"/>
      <c r="M3718" s="149"/>
      <c r="N3718" s="149"/>
    </row>
    <row r="3719" spans="8:14">
      <c r="H3719" s="2"/>
      <c r="K3719" s="149"/>
      <c r="L3719" s="149"/>
      <c r="M3719" s="149"/>
      <c r="N3719" s="149"/>
    </row>
    <row r="3720" spans="8:14">
      <c r="H3720" s="2"/>
      <c r="K3720" s="149"/>
      <c r="L3720" s="149"/>
      <c r="M3720" s="149"/>
      <c r="N3720" s="149"/>
    </row>
    <row r="3721" spans="8:14">
      <c r="H3721" s="2"/>
      <c r="K3721" s="149"/>
      <c r="L3721" s="149"/>
      <c r="M3721" s="149"/>
      <c r="N3721" s="149"/>
    </row>
    <row r="3722" spans="8:14">
      <c r="H3722" s="2"/>
      <c r="I3722" s="2"/>
      <c r="K3722" s="149"/>
      <c r="L3722" s="149"/>
      <c r="M3722" s="149"/>
      <c r="N3722" s="149"/>
    </row>
    <row r="3723" spans="8:14">
      <c r="H3723" s="2"/>
      <c r="K3723" s="149"/>
      <c r="L3723" s="149"/>
      <c r="M3723" s="149"/>
      <c r="N3723" s="149"/>
    </row>
    <row r="3724" spans="8:14">
      <c r="H3724" s="2"/>
      <c r="I3724" s="2"/>
      <c r="K3724" s="149"/>
      <c r="L3724" s="149"/>
      <c r="M3724" s="149"/>
      <c r="N3724" s="149"/>
    </row>
    <row r="3725" spans="8:14">
      <c r="H3725" s="2"/>
      <c r="I3725" s="2"/>
      <c r="K3725" s="149"/>
      <c r="L3725" s="149"/>
      <c r="M3725" s="149"/>
      <c r="N3725" s="149"/>
    </row>
    <row r="3726" spans="8:14">
      <c r="H3726" s="2"/>
      <c r="I3726" s="2"/>
      <c r="K3726" s="149"/>
      <c r="L3726" s="149"/>
      <c r="M3726" s="149"/>
      <c r="N3726" s="149"/>
    </row>
    <row r="3727" spans="8:14">
      <c r="H3727" s="2"/>
      <c r="K3727" s="149"/>
      <c r="L3727" s="149"/>
      <c r="M3727" s="149"/>
      <c r="N3727" s="149"/>
    </row>
    <row r="3728" spans="8:14">
      <c r="H3728" s="2"/>
      <c r="I3728" s="2"/>
      <c r="K3728" s="149"/>
      <c r="L3728" s="149"/>
      <c r="M3728" s="149"/>
      <c r="N3728" s="149"/>
    </row>
    <row r="3729" spans="8:14">
      <c r="H3729" s="2"/>
      <c r="K3729" s="149"/>
      <c r="L3729" s="149"/>
      <c r="M3729" s="149"/>
      <c r="N3729" s="149"/>
    </row>
    <row r="3730" spans="8:14">
      <c r="H3730" s="2"/>
      <c r="I3730" s="2"/>
      <c r="K3730" s="149"/>
      <c r="L3730" s="149"/>
      <c r="M3730" s="149"/>
      <c r="N3730" s="149"/>
    </row>
    <row r="3731" spans="8:14">
      <c r="H3731" s="2"/>
      <c r="K3731" s="149"/>
      <c r="L3731" s="149"/>
      <c r="M3731" s="149"/>
      <c r="N3731" s="149"/>
    </row>
    <row r="3732" spans="8:14">
      <c r="H3732" s="2"/>
      <c r="I3732" s="2"/>
      <c r="K3732" s="149"/>
      <c r="L3732" s="149"/>
      <c r="M3732" s="149"/>
      <c r="N3732" s="149"/>
    </row>
    <row r="3733" spans="8:14">
      <c r="H3733" s="2"/>
      <c r="K3733" s="149"/>
      <c r="L3733" s="149"/>
      <c r="M3733" s="149"/>
      <c r="N3733" s="149"/>
    </row>
    <row r="3734" spans="8:14">
      <c r="H3734" s="2"/>
      <c r="I3734" s="2"/>
      <c r="K3734" s="149"/>
      <c r="L3734" s="149"/>
      <c r="M3734" s="149"/>
      <c r="N3734" s="149"/>
    </row>
    <row r="3735" spans="8:14">
      <c r="H3735" s="2"/>
      <c r="I3735" s="2"/>
      <c r="K3735" s="149"/>
      <c r="L3735" s="149"/>
      <c r="M3735" s="149"/>
      <c r="N3735" s="149"/>
    </row>
    <row r="3736" spans="8:14">
      <c r="H3736" s="2"/>
      <c r="I3736" s="2"/>
      <c r="K3736" s="149"/>
      <c r="L3736" s="149"/>
      <c r="M3736" s="149"/>
      <c r="N3736" s="149"/>
    </row>
    <row r="3737" spans="8:14">
      <c r="H3737" s="2"/>
      <c r="I3737" s="2"/>
      <c r="K3737" s="149"/>
      <c r="L3737" s="149"/>
      <c r="M3737" s="149"/>
      <c r="N3737" s="149"/>
    </row>
    <row r="3738" spans="8:14">
      <c r="H3738" s="2"/>
      <c r="J3738" s="2"/>
      <c r="K3738" s="149"/>
      <c r="L3738" s="149"/>
      <c r="M3738" s="149"/>
      <c r="N3738" s="149"/>
    </row>
    <row r="3739" spans="8:14">
      <c r="H3739" s="2"/>
      <c r="J3739" s="2"/>
      <c r="K3739" s="149"/>
      <c r="L3739" s="149"/>
      <c r="M3739" s="149"/>
      <c r="N3739" s="149"/>
    </row>
    <row r="3740" spans="8:14">
      <c r="H3740" s="2"/>
      <c r="K3740" s="149"/>
      <c r="L3740" s="149"/>
      <c r="M3740" s="149"/>
      <c r="N3740" s="149"/>
    </row>
    <row r="3741" spans="8:14">
      <c r="H3741" s="2"/>
      <c r="K3741" s="149"/>
      <c r="L3741" s="149"/>
      <c r="M3741" s="149"/>
      <c r="N3741" s="149"/>
    </row>
    <row r="3742" spans="8:14">
      <c r="H3742" s="2"/>
      <c r="I3742" s="2"/>
      <c r="K3742" s="149"/>
      <c r="L3742" s="149"/>
      <c r="M3742" s="149"/>
      <c r="N3742" s="149"/>
    </row>
    <row r="3743" spans="8:14">
      <c r="H3743" s="2"/>
      <c r="I3743" s="2"/>
      <c r="K3743" s="149"/>
      <c r="L3743" s="149"/>
      <c r="M3743" s="149"/>
      <c r="N3743" s="149"/>
    </row>
    <row r="3744" spans="8:14">
      <c r="H3744" s="2"/>
      <c r="I3744" s="2"/>
      <c r="K3744" s="149"/>
      <c r="L3744" s="149"/>
      <c r="M3744" s="149"/>
      <c r="N3744" s="149"/>
    </row>
    <row r="3745" spans="8:14">
      <c r="H3745" s="2"/>
      <c r="I3745" s="2"/>
      <c r="K3745" s="149"/>
      <c r="L3745" s="149"/>
      <c r="M3745" s="149"/>
      <c r="N3745" s="149"/>
    </row>
    <row r="3746" spans="8:14">
      <c r="H3746" s="2"/>
      <c r="I3746" s="2"/>
      <c r="K3746" s="149"/>
      <c r="L3746" s="149"/>
      <c r="M3746" s="149"/>
      <c r="N3746" s="149"/>
    </row>
    <row r="3747" spans="8:14">
      <c r="H3747" s="2"/>
      <c r="K3747" s="149"/>
      <c r="L3747" s="149"/>
      <c r="M3747" s="149"/>
      <c r="N3747" s="149"/>
    </row>
    <row r="3748" spans="8:14">
      <c r="H3748" s="2"/>
      <c r="I3748" s="2"/>
      <c r="K3748" s="149"/>
      <c r="L3748" s="149"/>
      <c r="M3748" s="149"/>
      <c r="N3748" s="149"/>
    </row>
    <row r="3749" spans="8:14">
      <c r="H3749" s="2"/>
      <c r="I3749" s="2"/>
      <c r="K3749" s="149"/>
      <c r="L3749" s="149"/>
      <c r="M3749" s="149"/>
      <c r="N3749" s="149"/>
    </row>
    <row r="3750" spans="8:14">
      <c r="H3750" s="2"/>
      <c r="I3750" s="2"/>
      <c r="K3750" s="149"/>
      <c r="L3750" s="149"/>
      <c r="M3750" s="149"/>
      <c r="N3750" s="149"/>
    </row>
    <row r="3751" spans="8:14">
      <c r="H3751" s="2"/>
      <c r="I3751" s="2"/>
      <c r="K3751" s="149"/>
      <c r="L3751" s="149"/>
      <c r="M3751" s="149"/>
      <c r="N3751" s="149"/>
    </row>
    <row r="3752" spans="8:14">
      <c r="H3752" s="2"/>
      <c r="I3752" s="2"/>
      <c r="K3752" s="149"/>
      <c r="L3752" s="149"/>
      <c r="M3752" s="149"/>
      <c r="N3752" s="149"/>
    </row>
    <row r="3753" spans="8:14">
      <c r="H3753" s="2"/>
      <c r="I3753" s="2"/>
      <c r="K3753" s="149"/>
      <c r="L3753" s="149"/>
      <c r="M3753" s="149"/>
      <c r="N3753" s="149"/>
    </row>
    <row r="3754" spans="8:14">
      <c r="H3754" s="2"/>
      <c r="K3754" s="149"/>
      <c r="L3754" s="149"/>
      <c r="M3754" s="149"/>
      <c r="N3754" s="149"/>
    </row>
    <row r="3755" spans="8:14">
      <c r="H3755" s="2"/>
      <c r="K3755" s="149"/>
      <c r="L3755" s="149"/>
      <c r="M3755" s="149"/>
      <c r="N3755" s="149"/>
    </row>
    <row r="3756" spans="8:14">
      <c r="H3756" s="2"/>
      <c r="K3756" s="149"/>
      <c r="L3756" s="149"/>
      <c r="M3756" s="149"/>
      <c r="N3756" s="149"/>
    </row>
    <row r="3757" spans="8:14">
      <c r="H3757" s="2"/>
      <c r="I3757" s="2"/>
      <c r="K3757" s="149"/>
      <c r="L3757" s="149"/>
      <c r="M3757" s="149"/>
      <c r="N3757" s="149"/>
    </row>
    <row r="3758" spans="8:14">
      <c r="H3758" s="2"/>
      <c r="I3758" s="2"/>
      <c r="K3758" s="149"/>
      <c r="L3758" s="149"/>
      <c r="M3758" s="149"/>
      <c r="N3758" s="149"/>
    </row>
    <row r="3759" spans="8:14">
      <c r="H3759" s="2"/>
      <c r="I3759" s="2"/>
      <c r="K3759" s="149"/>
      <c r="L3759" s="149"/>
      <c r="M3759" s="149"/>
      <c r="N3759" s="149"/>
    </row>
    <row r="3760" spans="8:14">
      <c r="H3760" s="2"/>
      <c r="I3760" s="2"/>
      <c r="K3760" s="149"/>
      <c r="L3760" s="149"/>
      <c r="M3760" s="149"/>
      <c r="N3760" s="149"/>
    </row>
    <row r="3761" spans="8:14">
      <c r="H3761" s="2"/>
      <c r="I3761" s="2"/>
      <c r="K3761" s="149"/>
      <c r="L3761" s="149"/>
      <c r="M3761" s="149"/>
      <c r="N3761" s="149"/>
    </row>
    <row r="3762" spans="8:14">
      <c r="H3762" s="2"/>
      <c r="I3762" s="2"/>
      <c r="K3762" s="149"/>
      <c r="L3762" s="149"/>
      <c r="M3762" s="149"/>
      <c r="N3762" s="149"/>
    </row>
    <row r="3763" spans="8:14">
      <c r="H3763" s="2"/>
      <c r="I3763" s="2"/>
      <c r="K3763" s="149"/>
      <c r="L3763" s="149"/>
      <c r="M3763" s="149"/>
      <c r="N3763" s="149"/>
    </row>
    <row r="3764" spans="8:14">
      <c r="H3764" s="2"/>
      <c r="K3764" s="149"/>
      <c r="L3764" s="149"/>
      <c r="M3764" s="149"/>
      <c r="N3764" s="149"/>
    </row>
    <row r="3765" spans="8:14">
      <c r="H3765" s="2"/>
      <c r="I3765" s="2"/>
      <c r="K3765" s="149"/>
      <c r="L3765" s="149"/>
      <c r="M3765" s="149"/>
      <c r="N3765" s="149"/>
    </row>
    <row r="3766" spans="8:14">
      <c r="H3766" s="2"/>
      <c r="K3766" s="149"/>
      <c r="L3766" s="149"/>
      <c r="M3766" s="149"/>
      <c r="N3766" s="149"/>
    </row>
    <row r="3767" spans="8:14">
      <c r="H3767" s="2"/>
      <c r="I3767" s="2"/>
      <c r="K3767" s="149"/>
      <c r="L3767" s="149"/>
      <c r="M3767" s="149"/>
      <c r="N3767" s="149"/>
    </row>
    <row r="3768" spans="8:14">
      <c r="H3768" s="2"/>
      <c r="I3768" s="2"/>
      <c r="K3768" s="149"/>
      <c r="L3768" s="149"/>
      <c r="M3768" s="149"/>
      <c r="N3768" s="149"/>
    </row>
    <row r="3769" spans="8:14">
      <c r="H3769" s="2"/>
      <c r="I3769" s="2"/>
      <c r="K3769" s="149"/>
      <c r="L3769" s="149"/>
      <c r="M3769" s="149"/>
      <c r="N3769" s="149"/>
    </row>
    <row r="3770" spans="8:14">
      <c r="H3770" s="2"/>
      <c r="I3770" s="2"/>
      <c r="K3770" s="149"/>
      <c r="L3770" s="149"/>
      <c r="M3770" s="149"/>
      <c r="N3770" s="149"/>
    </row>
    <row r="3771" spans="8:14">
      <c r="H3771" s="2"/>
      <c r="I3771" s="2"/>
      <c r="K3771" s="149"/>
      <c r="L3771" s="149"/>
      <c r="M3771" s="149"/>
      <c r="N3771" s="149"/>
    </row>
    <row r="3772" spans="8:14">
      <c r="H3772" s="2"/>
      <c r="I3772" s="2"/>
      <c r="K3772" s="149"/>
      <c r="L3772" s="149"/>
      <c r="M3772" s="149"/>
      <c r="N3772" s="149"/>
    </row>
    <row r="3773" spans="8:14">
      <c r="H3773" s="2"/>
      <c r="I3773" s="2"/>
      <c r="K3773" s="149"/>
      <c r="L3773" s="149"/>
      <c r="M3773" s="149"/>
      <c r="N3773" s="149"/>
    </row>
    <row r="3774" spans="8:14">
      <c r="H3774" s="2"/>
      <c r="I3774" s="2"/>
      <c r="K3774" s="149"/>
      <c r="L3774" s="149"/>
      <c r="M3774" s="149"/>
      <c r="N3774" s="149"/>
    </row>
    <row r="3775" spans="8:14">
      <c r="H3775" s="2"/>
      <c r="I3775" s="2"/>
      <c r="K3775" s="149"/>
      <c r="L3775" s="149"/>
      <c r="M3775" s="149"/>
      <c r="N3775" s="149"/>
    </row>
    <row r="3776" spans="8:14">
      <c r="H3776" s="2"/>
      <c r="I3776" s="2"/>
      <c r="K3776" s="149"/>
      <c r="L3776" s="149"/>
      <c r="M3776" s="149"/>
      <c r="N3776" s="149"/>
    </row>
    <row r="3777" spans="8:14">
      <c r="H3777" s="2"/>
      <c r="I3777" s="2"/>
      <c r="K3777" s="149"/>
      <c r="L3777" s="149"/>
      <c r="M3777" s="149"/>
      <c r="N3777" s="149"/>
    </row>
    <row r="3778" spans="8:14">
      <c r="H3778" s="2"/>
      <c r="J3778" s="2"/>
      <c r="K3778" s="149"/>
      <c r="L3778" s="149"/>
      <c r="M3778" s="149"/>
      <c r="N3778" s="149"/>
    </row>
    <row r="3779" spans="8:14">
      <c r="H3779" s="2"/>
      <c r="I3779" s="2"/>
      <c r="K3779" s="149"/>
      <c r="L3779" s="149"/>
      <c r="M3779" s="149"/>
      <c r="N3779" s="149"/>
    </row>
    <row r="3780" spans="8:14">
      <c r="H3780" s="2"/>
      <c r="K3780" s="149"/>
      <c r="L3780" s="149"/>
      <c r="M3780" s="149"/>
      <c r="N3780" s="149"/>
    </row>
    <row r="3781" spans="8:14">
      <c r="H3781" s="2"/>
      <c r="K3781" s="149"/>
      <c r="L3781" s="149"/>
      <c r="M3781" s="149"/>
      <c r="N3781" s="149"/>
    </row>
    <row r="3782" spans="8:14">
      <c r="H3782" s="2"/>
      <c r="K3782" s="149"/>
      <c r="L3782" s="149"/>
      <c r="M3782" s="149"/>
      <c r="N3782" s="149"/>
    </row>
    <row r="3783" spans="8:14">
      <c r="H3783" s="2"/>
      <c r="I3783" s="2"/>
      <c r="K3783" s="149"/>
      <c r="L3783" s="149"/>
      <c r="M3783" s="149"/>
      <c r="N3783" s="149"/>
    </row>
    <row r="3784" spans="8:14">
      <c r="H3784" s="2"/>
      <c r="K3784" s="149"/>
      <c r="L3784" s="149"/>
      <c r="M3784" s="149"/>
      <c r="N3784" s="149"/>
    </row>
    <row r="3785" spans="8:14">
      <c r="H3785" s="2"/>
      <c r="J3785" s="2"/>
      <c r="K3785" s="149"/>
      <c r="L3785" s="149"/>
      <c r="M3785" s="149"/>
      <c r="N3785" s="149"/>
    </row>
    <row r="3786" spans="8:14">
      <c r="H3786" s="2"/>
      <c r="K3786" s="149"/>
      <c r="L3786" s="149"/>
      <c r="M3786" s="149"/>
      <c r="N3786" s="149"/>
    </row>
    <row r="3787" spans="8:14">
      <c r="H3787" s="2"/>
      <c r="I3787" s="2"/>
      <c r="K3787" s="149"/>
      <c r="L3787" s="149"/>
      <c r="M3787" s="149"/>
      <c r="N3787" s="149"/>
    </row>
    <row r="3788" spans="8:14">
      <c r="H3788" s="2"/>
      <c r="I3788" s="2"/>
      <c r="K3788" s="149"/>
      <c r="L3788" s="149"/>
      <c r="M3788" s="149"/>
      <c r="N3788" s="149"/>
    </row>
    <row r="3789" spans="8:14">
      <c r="H3789" s="2"/>
      <c r="I3789" s="2"/>
      <c r="K3789" s="149"/>
      <c r="L3789" s="149"/>
      <c r="M3789" s="149"/>
      <c r="N3789" s="149"/>
    </row>
    <row r="3790" spans="8:14">
      <c r="H3790" s="2"/>
      <c r="K3790" s="149"/>
      <c r="L3790" s="149"/>
      <c r="M3790" s="149"/>
      <c r="N3790" s="149"/>
    </row>
    <row r="3791" spans="8:14">
      <c r="H3791" s="2"/>
      <c r="K3791" s="149"/>
      <c r="L3791" s="149"/>
      <c r="M3791" s="149"/>
      <c r="N3791" s="149"/>
    </row>
    <row r="3792" spans="8:14">
      <c r="H3792" s="2"/>
      <c r="K3792" s="149"/>
      <c r="L3792" s="149"/>
      <c r="M3792" s="149"/>
      <c r="N3792" s="149"/>
    </row>
    <row r="3793" spans="8:14">
      <c r="H3793" s="2"/>
      <c r="K3793" s="149"/>
      <c r="L3793" s="149"/>
      <c r="M3793" s="149"/>
      <c r="N3793" s="149"/>
    </row>
    <row r="3794" spans="8:14">
      <c r="H3794" s="2"/>
      <c r="K3794" s="149"/>
      <c r="L3794" s="149"/>
      <c r="M3794" s="149"/>
      <c r="N3794" s="149"/>
    </row>
    <row r="3795" spans="8:14">
      <c r="H3795" s="2"/>
      <c r="K3795" s="149"/>
      <c r="L3795" s="149"/>
      <c r="M3795" s="149"/>
      <c r="N3795" s="149"/>
    </row>
    <row r="3796" spans="8:14">
      <c r="H3796" s="2"/>
      <c r="K3796" s="149"/>
      <c r="L3796" s="149"/>
      <c r="M3796" s="149"/>
      <c r="N3796" s="149"/>
    </row>
    <row r="3797" spans="8:14">
      <c r="H3797" s="2"/>
      <c r="K3797" s="149"/>
      <c r="L3797" s="149"/>
      <c r="M3797" s="149"/>
      <c r="N3797" s="149"/>
    </row>
    <row r="3798" spans="8:14">
      <c r="H3798" s="2"/>
      <c r="K3798" s="149"/>
      <c r="L3798" s="149"/>
      <c r="M3798" s="149"/>
      <c r="N3798" s="149"/>
    </row>
    <row r="3799" spans="8:14">
      <c r="H3799" s="2"/>
      <c r="I3799" s="2"/>
      <c r="K3799" s="149"/>
      <c r="L3799" s="149"/>
      <c r="M3799" s="149"/>
      <c r="N3799" s="149"/>
    </row>
    <row r="3800" spans="8:14">
      <c r="H3800" s="2"/>
      <c r="K3800" s="149"/>
      <c r="L3800" s="149"/>
      <c r="M3800" s="149"/>
      <c r="N3800" s="149"/>
    </row>
    <row r="3801" spans="8:14">
      <c r="H3801" s="2"/>
      <c r="K3801" s="149"/>
      <c r="L3801" s="149"/>
      <c r="M3801" s="149"/>
      <c r="N3801" s="149"/>
    </row>
    <row r="3802" spans="8:14">
      <c r="H3802" s="2"/>
      <c r="K3802" s="149"/>
      <c r="L3802" s="149"/>
      <c r="M3802" s="149"/>
      <c r="N3802" s="149"/>
    </row>
    <row r="3803" spans="8:14">
      <c r="H3803" s="2"/>
      <c r="K3803" s="149"/>
      <c r="L3803" s="149"/>
      <c r="M3803" s="149"/>
      <c r="N3803" s="149"/>
    </row>
    <row r="3804" spans="8:14">
      <c r="H3804" s="2"/>
      <c r="J3804" s="2"/>
      <c r="K3804" s="149"/>
      <c r="L3804" s="149"/>
      <c r="M3804" s="149"/>
      <c r="N3804" s="149"/>
    </row>
    <row r="3805" spans="8:14">
      <c r="H3805" s="2"/>
      <c r="I3805" s="2"/>
      <c r="K3805" s="149"/>
      <c r="L3805" s="149"/>
      <c r="M3805" s="149"/>
      <c r="N3805" s="149"/>
    </row>
    <row r="3806" spans="8:14">
      <c r="H3806" s="2"/>
      <c r="I3806" s="2"/>
      <c r="K3806" s="149"/>
      <c r="L3806" s="149"/>
      <c r="M3806" s="149"/>
      <c r="N3806" s="149"/>
    </row>
    <row r="3807" spans="8:14">
      <c r="H3807" s="2"/>
      <c r="K3807" s="149"/>
      <c r="L3807" s="149"/>
      <c r="M3807" s="149"/>
      <c r="N3807" s="149"/>
    </row>
    <row r="3808" spans="8:14">
      <c r="H3808" s="2"/>
      <c r="K3808" s="149"/>
      <c r="L3808" s="149"/>
      <c r="M3808" s="149"/>
      <c r="N3808" s="149"/>
    </row>
    <row r="3809" spans="8:14">
      <c r="H3809" s="2"/>
      <c r="K3809" s="149"/>
      <c r="L3809" s="149"/>
      <c r="M3809" s="149"/>
      <c r="N3809" s="149"/>
    </row>
    <row r="3810" spans="8:14">
      <c r="H3810" s="2"/>
      <c r="K3810" s="149"/>
      <c r="L3810" s="149"/>
      <c r="M3810" s="149"/>
      <c r="N3810" s="149"/>
    </row>
    <row r="3811" spans="8:14">
      <c r="H3811" s="2"/>
      <c r="K3811" s="149"/>
      <c r="L3811" s="149"/>
      <c r="M3811" s="149"/>
      <c r="N3811" s="149"/>
    </row>
    <row r="3812" spans="8:14">
      <c r="H3812" s="2"/>
      <c r="K3812" s="149"/>
      <c r="L3812" s="149"/>
      <c r="M3812" s="149"/>
      <c r="N3812" s="149"/>
    </row>
    <row r="3813" spans="8:14">
      <c r="H3813" s="2"/>
      <c r="K3813" s="149"/>
      <c r="L3813" s="149"/>
      <c r="M3813" s="149"/>
      <c r="N3813" s="149"/>
    </row>
    <row r="3814" spans="8:14">
      <c r="H3814" s="2"/>
      <c r="K3814" s="149"/>
      <c r="L3814" s="149"/>
      <c r="M3814" s="149"/>
      <c r="N3814" s="149"/>
    </row>
    <row r="3815" spans="8:14">
      <c r="H3815" s="2"/>
      <c r="K3815" s="149"/>
      <c r="L3815" s="149"/>
      <c r="M3815" s="149"/>
      <c r="N3815" s="149"/>
    </row>
    <row r="3816" spans="8:14">
      <c r="H3816" s="2"/>
      <c r="K3816" s="149"/>
      <c r="L3816" s="149"/>
      <c r="M3816" s="149"/>
      <c r="N3816" s="149"/>
    </row>
    <row r="3817" spans="8:14">
      <c r="H3817" s="2"/>
      <c r="K3817" s="149"/>
      <c r="L3817" s="149"/>
      <c r="M3817" s="149"/>
      <c r="N3817" s="149"/>
    </row>
    <row r="3818" spans="8:14">
      <c r="H3818" s="2"/>
      <c r="K3818" s="149"/>
      <c r="L3818" s="149"/>
      <c r="M3818" s="149"/>
      <c r="N3818" s="149"/>
    </row>
    <row r="3819" spans="8:14">
      <c r="H3819" s="2"/>
      <c r="I3819" s="2"/>
      <c r="K3819" s="149"/>
      <c r="L3819" s="149"/>
      <c r="M3819" s="149"/>
      <c r="N3819" s="149"/>
    </row>
    <row r="3820" spans="8:14">
      <c r="H3820" s="2"/>
      <c r="I3820" s="2"/>
      <c r="K3820" s="149"/>
      <c r="L3820" s="149"/>
      <c r="M3820" s="149"/>
      <c r="N3820" s="149"/>
    </row>
    <row r="3821" spans="8:14">
      <c r="H3821" s="2"/>
      <c r="I3821" s="2"/>
      <c r="K3821" s="149"/>
      <c r="L3821" s="149"/>
      <c r="M3821" s="149"/>
      <c r="N3821" s="149"/>
    </row>
    <row r="3822" spans="8:14">
      <c r="H3822" s="2"/>
      <c r="I3822" s="2"/>
      <c r="K3822" s="149"/>
      <c r="L3822" s="149"/>
      <c r="M3822" s="149"/>
      <c r="N3822" s="149"/>
    </row>
    <row r="3823" spans="8:14">
      <c r="H3823" s="2"/>
      <c r="I3823" s="2"/>
      <c r="K3823" s="149"/>
      <c r="L3823" s="149"/>
      <c r="M3823" s="149"/>
      <c r="N3823" s="149"/>
    </row>
    <row r="3824" spans="8:14">
      <c r="H3824" s="2"/>
      <c r="K3824" s="149"/>
      <c r="L3824" s="149"/>
      <c r="M3824" s="149"/>
      <c r="N3824" s="149"/>
    </row>
    <row r="3825" spans="8:14">
      <c r="H3825" s="2"/>
      <c r="K3825" s="149"/>
      <c r="L3825" s="149"/>
      <c r="M3825" s="149"/>
      <c r="N3825" s="149"/>
    </row>
    <row r="3826" spans="8:14">
      <c r="H3826" s="2"/>
      <c r="K3826" s="149"/>
      <c r="L3826" s="149"/>
      <c r="M3826" s="149"/>
      <c r="N3826" s="149"/>
    </row>
    <row r="3827" spans="8:14">
      <c r="H3827" s="2"/>
      <c r="K3827" s="149"/>
      <c r="L3827" s="149"/>
      <c r="M3827" s="149"/>
      <c r="N3827" s="149"/>
    </row>
    <row r="3828" spans="8:14">
      <c r="H3828" s="2"/>
      <c r="K3828" s="149"/>
      <c r="L3828" s="149"/>
      <c r="M3828" s="149"/>
      <c r="N3828" s="149"/>
    </row>
    <row r="3829" spans="8:14">
      <c r="H3829" s="2"/>
      <c r="K3829" s="149"/>
      <c r="L3829" s="149"/>
      <c r="M3829" s="149"/>
      <c r="N3829" s="149"/>
    </row>
    <row r="3830" spans="8:14">
      <c r="H3830" s="2"/>
      <c r="I3830" s="2"/>
      <c r="K3830" s="149"/>
      <c r="L3830" s="149"/>
      <c r="M3830" s="149"/>
      <c r="N3830" s="149"/>
    </row>
    <row r="3831" spans="8:14">
      <c r="H3831" s="2"/>
      <c r="I3831" s="2"/>
      <c r="K3831" s="149"/>
      <c r="L3831" s="149"/>
      <c r="M3831" s="149"/>
      <c r="N3831" s="149"/>
    </row>
    <row r="3832" spans="8:14">
      <c r="H3832" s="2"/>
      <c r="I3832" s="2"/>
      <c r="K3832" s="149"/>
      <c r="L3832" s="149"/>
      <c r="M3832" s="149"/>
      <c r="N3832" s="149"/>
    </row>
    <row r="3833" spans="8:14">
      <c r="H3833" s="2"/>
      <c r="I3833" s="2"/>
      <c r="K3833" s="149"/>
      <c r="L3833" s="149"/>
      <c r="M3833" s="149"/>
      <c r="N3833" s="149"/>
    </row>
    <row r="3834" spans="8:14">
      <c r="H3834" s="2"/>
      <c r="I3834" s="2"/>
      <c r="K3834" s="149"/>
      <c r="L3834" s="149"/>
      <c r="M3834" s="149"/>
      <c r="N3834" s="149"/>
    </row>
    <row r="3835" spans="8:14">
      <c r="H3835" s="2"/>
      <c r="I3835" s="2"/>
      <c r="K3835" s="149"/>
      <c r="L3835" s="149"/>
      <c r="M3835" s="149"/>
      <c r="N3835" s="149"/>
    </row>
    <row r="3836" spans="8:14">
      <c r="H3836" s="2"/>
      <c r="I3836" s="2"/>
      <c r="K3836" s="149"/>
      <c r="L3836" s="149"/>
      <c r="M3836" s="149"/>
      <c r="N3836" s="149"/>
    </row>
    <row r="3837" spans="8:14">
      <c r="H3837" s="2"/>
      <c r="I3837" s="2"/>
      <c r="K3837" s="149"/>
      <c r="L3837" s="149"/>
      <c r="M3837" s="149"/>
      <c r="N3837" s="149"/>
    </row>
    <row r="3838" spans="8:14">
      <c r="H3838" s="2"/>
      <c r="I3838" s="2"/>
      <c r="K3838" s="149"/>
      <c r="L3838" s="149"/>
      <c r="M3838" s="149"/>
      <c r="N3838" s="149"/>
    </row>
    <row r="3839" spans="8:14">
      <c r="H3839" s="2"/>
      <c r="J3839" s="2"/>
      <c r="K3839" s="149"/>
      <c r="L3839" s="149"/>
      <c r="M3839" s="149"/>
      <c r="N3839" s="149"/>
    </row>
    <row r="3840" spans="8:14">
      <c r="H3840" s="2"/>
      <c r="I3840" s="2"/>
      <c r="K3840" s="149"/>
      <c r="L3840" s="149"/>
      <c r="M3840" s="149"/>
      <c r="N3840" s="149"/>
    </row>
    <row r="3841" spans="8:14">
      <c r="H3841" s="2"/>
      <c r="I3841" s="2"/>
      <c r="K3841" s="149"/>
      <c r="L3841" s="149"/>
      <c r="M3841" s="149"/>
      <c r="N3841" s="149"/>
    </row>
    <row r="3842" spans="8:14">
      <c r="H3842" s="2"/>
      <c r="I3842" s="2"/>
      <c r="K3842" s="149"/>
      <c r="L3842" s="149"/>
      <c r="M3842" s="149"/>
      <c r="N3842" s="149"/>
    </row>
    <row r="3843" spans="8:14">
      <c r="H3843" s="2"/>
      <c r="I3843" s="2"/>
      <c r="K3843" s="149"/>
      <c r="L3843" s="149"/>
      <c r="M3843" s="149"/>
      <c r="N3843" s="149"/>
    </row>
    <row r="3844" spans="8:14">
      <c r="H3844" s="2"/>
      <c r="I3844" s="2"/>
      <c r="K3844" s="149"/>
      <c r="L3844" s="149"/>
      <c r="M3844" s="149"/>
      <c r="N3844" s="149"/>
    </row>
    <row r="3845" spans="8:14">
      <c r="H3845" s="2"/>
      <c r="I3845" s="2"/>
      <c r="K3845" s="149"/>
      <c r="L3845" s="149"/>
      <c r="M3845" s="149"/>
      <c r="N3845" s="149"/>
    </row>
    <row r="3846" spans="8:14">
      <c r="H3846" s="2"/>
      <c r="K3846" s="149"/>
      <c r="L3846" s="149"/>
      <c r="M3846" s="149"/>
      <c r="N3846" s="149"/>
    </row>
    <row r="3847" spans="8:14">
      <c r="H3847" s="2"/>
      <c r="I3847" s="2"/>
      <c r="K3847" s="149"/>
      <c r="L3847" s="149"/>
      <c r="M3847" s="149"/>
      <c r="N3847" s="149"/>
    </row>
    <row r="3848" spans="8:14">
      <c r="H3848" s="2"/>
      <c r="I3848" s="2"/>
      <c r="K3848" s="149"/>
      <c r="L3848" s="149"/>
      <c r="M3848" s="149"/>
      <c r="N3848" s="149"/>
    </row>
    <row r="3849" spans="8:14">
      <c r="H3849" s="2"/>
      <c r="I3849" s="2"/>
      <c r="K3849" s="149"/>
      <c r="L3849" s="149"/>
      <c r="M3849" s="149"/>
      <c r="N3849" s="149"/>
    </row>
    <row r="3850" spans="8:14">
      <c r="H3850" s="2"/>
      <c r="I3850" s="2"/>
      <c r="K3850" s="149"/>
      <c r="L3850" s="149"/>
      <c r="M3850" s="149"/>
      <c r="N3850" s="149"/>
    </row>
    <row r="3851" spans="8:14">
      <c r="H3851" s="2"/>
      <c r="I3851" s="2"/>
      <c r="K3851" s="149"/>
      <c r="L3851" s="149"/>
      <c r="M3851" s="149"/>
      <c r="N3851" s="149"/>
    </row>
    <row r="3852" spans="8:14">
      <c r="H3852" s="2"/>
      <c r="I3852" s="2"/>
      <c r="K3852" s="149"/>
      <c r="L3852" s="149"/>
      <c r="M3852" s="149"/>
      <c r="N3852" s="149"/>
    </row>
    <row r="3853" spans="8:14">
      <c r="H3853" s="2"/>
      <c r="I3853" s="2"/>
      <c r="K3853" s="149"/>
      <c r="L3853" s="149"/>
      <c r="M3853" s="149"/>
      <c r="N3853" s="149"/>
    </row>
    <row r="3854" spans="8:14">
      <c r="H3854" s="2"/>
      <c r="I3854" s="2"/>
      <c r="K3854" s="149"/>
      <c r="L3854" s="149"/>
      <c r="M3854" s="149"/>
      <c r="N3854" s="149"/>
    </row>
    <row r="3855" spans="8:14">
      <c r="H3855" s="2"/>
      <c r="I3855" s="2"/>
      <c r="K3855" s="149"/>
      <c r="L3855" s="149"/>
      <c r="M3855" s="149"/>
      <c r="N3855" s="149"/>
    </row>
    <row r="3856" spans="8:14">
      <c r="H3856" s="2"/>
      <c r="I3856" s="2"/>
      <c r="K3856" s="149"/>
      <c r="L3856" s="149"/>
      <c r="M3856" s="149"/>
      <c r="N3856" s="149"/>
    </row>
    <row r="3857" spans="8:14">
      <c r="H3857" s="2"/>
      <c r="K3857" s="149"/>
      <c r="L3857" s="149"/>
      <c r="M3857" s="149"/>
      <c r="N3857" s="149"/>
    </row>
    <row r="3858" spans="8:14">
      <c r="H3858" s="2"/>
      <c r="I3858" s="2"/>
      <c r="K3858" s="149"/>
      <c r="L3858" s="149"/>
      <c r="M3858" s="149"/>
      <c r="N3858" s="149"/>
    </row>
    <row r="3859" spans="8:14">
      <c r="H3859" s="2"/>
      <c r="K3859" s="149"/>
      <c r="L3859" s="149"/>
      <c r="M3859" s="149"/>
      <c r="N3859" s="149"/>
    </row>
    <row r="3860" spans="8:14">
      <c r="H3860" s="2"/>
      <c r="I3860" s="2"/>
      <c r="K3860" s="149"/>
      <c r="L3860" s="149"/>
      <c r="M3860" s="149"/>
      <c r="N3860" s="149"/>
    </row>
    <row r="3861" spans="8:14">
      <c r="H3861" s="2"/>
      <c r="K3861" s="149"/>
      <c r="L3861" s="149"/>
      <c r="M3861" s="149"/>
      <c r="N3861" s="149"/>
    </row>
    <row r="3862" spans="8:14">
      <c r="H3862" s="2"/>
      <c r="K3862" s="149"/>
      <c r="L3862" s="149"/>
      <c r="M3862" s="149"/>
      <c r="N3862" s="149"/>
    </row>
    <row r="3863" spans="8:14">
      <c r="H3863" s="2"/>
      <c r="I3863" s="2"/>
      <c r="K3863" s="149"/>
      <c r="L3863" s="149"/>
      <c r="M3863" s="149"/>
      <c r="N3863" s="149"/>
    </row>
    <row r="3864" spans="8:14">
      <c r="H3864" s="2"/>
      <c r="K3864" s="149"/>
      <c r="L3864" s="149"/>
      <c r="M3864" s="149"/>
      <c r="N3864" s="149"/>
    </row>
    <row r="3865" spans="8:14">
      <c r="H3865" s="2"/>
      <c r="K3865" s="149"/>
      <c r="L3865" s="149"/>
      <c r="M3865" s="149"/>
      <c r="N3865" s="149"/>
    </row>
    <row r="3866" spans="8:14">
      <c r="H3866" s="2"/>
      <c r="K3866" s="149"/>
      <c r="L3866" s="149"/>
      <c r="M3866" s="149"/>
      <c r="N3866" s="149"/>
    </row>
    <row r="3867" spans="8:14">
      <c r="H3867" s="2"/>
      <c r="K3867" s="149"/>
      <c r="L3867" s="149"/>
      <c r="M3867" s="149"/>
      <c r="N3867" s="149"/>
    </row>
    <row r="3868" spans="8:14">
      <c r="H3868" s="2"/>
      <c r="I3868" s="2"/>
      <c r="K3868" s="149"/>
      <c r="L3868" s="149"/>
      <c r="M3868" s="149"/>
      <c r="N3868" s="149"/>
    </row>
    <row r="3869" spans="8:14">
      <c r="H3869" s="2"/>
      <c r="I3869" s="2"/>
      <c r="K3869" s="149"/>
      <c r="L3869" s="149"/>
      <c r="M3869" s="149"/>
      <c r="N3869" s="149"/>
    </row>
    <row r="3870" spans="8:14">
      <c r="H3870" s="2"/>
      <c r="K3870" s="149"/>
      <c r="L3870" s="149"/>
      <c r="M3870" s="149"/>
      <c r="N3870" s="149"/>
    </row>
    <row r="3871" spans="8:14">
      <c r="H3871" s="2"/>
      <c r="K3871" s="149"/>
      <c r="L3871" s="149"/>
      <c r="M3871" s="149"/>
      <c r="N3871" s="149"/>
    </row>
    <row r="3872" spans="8:14">
      <c r="H3872" s="2"/>
      <c r="K3872" s="149"/>
      <c r="L3872" s="149"/>
      <c r="M3872" s="149"/>
      <c r="N3872" s="149"/>
    </row>
    <row r="3873" spans="8:14">
      <c r="H3873" s="2"/>
      <c r="K3873" s="149"/>
      <c r="L3873" s="149"/>
      <c r="M3873" s="149"/>
      <c r="N3873" s="149"/>
    </row>
    <row r="3874" spans="8:14">
      <c r="H3874" s="2"/>
      <c r="K3874" s="149"/>
      <c r="L3874" s="149"/>
      <c r="M3874" s="149"/>
      <c r="N3874" s="149"/>
    </row>
    <row r="3875" spans="8:14">
      <c r="H3875" s="2"/>
      <c r="K3875" s="149"/>
      <c r="L3875" s="149"/>
      <c r="M3875" s="149"/>
      <c r="N3875" s="149"/>
    </row>
    <row r="3876" spans="8:14">
      <c r="H3876" s="2"/>
      <c r="I3876" s="2"/>
      <c r="K3876" s="149"/>
      <c r="L3876" s="149"/>
      <c r="M3876" s="149"/>
      <c r="N3876" s="149"/>
    </row>
    <row r="3877" spans="8:14">
      <c r="H3877" s="2"/>
      <c r="I3877" s="2"/>
      <c r="K3877" s="149"/>
      <c r="L3877" s="149"/>
      <c r="M3877" s="149"/>
      <c r="N3877" s="149"/>
    </row>
    <row r="3878" spans="8:14">
      <c r="H3878" s="2"/>
      <c r="K3878" s="149"/>
      <c r="L3878" s="149"/>
      <c r="M3878" s="149"/>
      <c r="N3878" s="149"/>
    </row>
    <row r="3879" spans="8:14">
      <c r="H3879" s="2"/>
      <c r="J3879" s="2"/>
      <c r="K3879" s="149"/>
      <c r="L3879" s="149"/>
      <c r="M3879" s="149"/>
      <c r="N3879" s="149"/>
    </row>
    <row r="3880" spans="8:14">
      <c r="H3880" s="2"/>
      <c r="J3880" s="2"/>
      <c r="K3880" s="149"/>
      <c r="L3880" s="149"/>
      <c r="M3880" s="149"/>
      <c r="N3880" s="149"/>
    </row>
    <row r="3881" spans="8:14">
      <c r="H3881" s="2"/>
      <c r="I3881" s="2"/>
      <c r="K3881" s="149"/>
      <c r="L3881" s="149"/>
      <c r="M3881" s="149"/>
      <c r="N3881" s="149"/>
    </row>
    <row r="3882" spans="8:14">
      <c r="H3882" s="2"/>
      <c r="I3882" s="2"/>
      <c r="K3882" s="149"/>
      <c r="L3882" s="149"/>
      <c r="M3882" s="149"/>
      <c r="N3882" s="149"/>
    </row>
    <row r="3883" spans="8:14">
      <c r="H3883" s="2"/>
      <c r="I3883" s="2"/>
      <c r="K3883" s="149"/>
      <c r="L3883" s="149"/>
      <c r="M3883" s="149"/>
      <c r="N3883" s="149"/>
    </row>
    <row r="3884" spans="8:14">
      <c r="H3884" s="2"/>
      <c r="K3884" s="149"/>
      <c r="L3884" s="149"/>
      <c r="M3884" s="149"/>
      <c r="N3884" s="149"/>
    </row>
    <row r="3885" spans="8:14">
      <c r="H3885" s="2"/>
      <c r="I3885" s="2"/>
      <c r="K3885" s="149"/>
      <c r="L3885" s="149"/>
      <c r="M3885" s="149"/>
      <c r="N3885" s="149"/>
    </row>
    <row r="3886" spans="8:14">
      <c r="H3886" s="2"/>
      <c r="K3886" s="149"/>
      <c r="L3886" s="149"/>
      <c r="M3886" s="149"/>
      <c r="N3886" s="149"/>
    </row>
    <row r="3887" spans="8:14">
      <c r="H3887" s="2"/>
      <c r="K3887" s="149"/>
      <c r="L3887" s="149"/>
      <c r="M3887" s="149"/>
      <c r="N3887" s="149"/>
    </row>
    <row r="3888" spans="8:14">
      <c r="H3888" s="2"/>
      <c r="K3888" s="149"/>
      <c r="L3888" s="149"/>
      <c r="M3888" s="149"/>
      <c r="N3888" s="149"/>
    </row>
    <row r="3889" spans="8:14">
      <c r="H3889" s="2"/>
      <c r="K3889" s="149"/>
      <c r="L3889" s="149"/>
      <c r="M3889" s="149"/>
      <c r="N3889" s="149"/>
    </row>
    <row r="3890" spans="8:14">
      <c r="H3890" s="2"/>
      <c r="K3890" s="149"/>
      <c r="L3890" s="149"/>
      <c r="M3890" s="149"/>
      <c r="N3890" s="149"/>
    </row>
    <row r="3891" spans="8:14">
      <c r="H3891" s="2"/>
      <c r="K3891" s="149"/>
      <c r="L3891" s="149"/>
      <c r="M3891" s="149"/>
      <c r="N3891" s="149"/>
    </row>
    <row r="3892" spans="8:14">
      <c r="H3892" s="2"/>
      <c r="K3892" s="149"/>
      <c r="L3892" s="149"/>
      <c r="M3892" s="149"/>
      <c r="N3892" s="149"/>
    </row>
    <row r="3893" spans="8:14">
      <c r="H3893" s="2"/>
      <c r="K3893" s="149"/>
      <c r="L3893" s="149"/>
      <c r="M3893" s="149"/>
      <c r="N3893" s="149"/>
    </row>
    <row r="3894" spans="8:14">
      <c r="H3894" s="2"/>
      <c r="K3894" s="149"/>
      <c r="L3894" s="149"/>
      <c r="M3894" s="149"/>
      <c r="N3894" s="149"/>
    </row>
    <row r="3895" spans="8:14">
      <c r="H3895" s="2"/>
      <c r="K3895" s="149"/>
      <c r="L3895" s="149"/>
      <c r="M3895" s="149"/>
      <c r="N3895" s="149"/>
    </row>
    <row r="3896" spans="8:14">
      <c r="H3896" s="2"/>
      <c r="I3896" s="2"/>
      <c r="K3896" s="149"/>
      <c r="L3896" s="149"/>
      <c r="M3896" s="149"/>
      <c r="N3896" s="149"/>
    </row>
    <row r="3897" spans="8:14">
      <c r="H3897" s="2"/>
      <c r="J3897" s="2"/>
      <c r="K3897" s="149"/>
      <c r="L3897" s="149"/>
      <c r="M3897" s="149"/>
      <c r="N3897" s="149"/>
    </row>
    <row r="3898" spans="8:14">
      <c r="H3898" s="2"/>
      <c r="J3898" s="2"/>
      <c r="K3898" s="149"/>
      <c r="L3898" s="149"/>
      <c r="M3898" s="149"/>
      <c r="N3898" s="149"/>
    </row>
    <row r="3899" spans="8:14">
      <c r="H3899" s="2"/>
      <c r="K3899" s="149"/>
      <c r="L3899" s="149"/>
      <c r="M3899" s="149"/>
      <c r="N3899" s="149"/>
    </row>
    <row r="3900" spans="8:14">
      <c r="H3900" s="2"/>
      <c r="K3900" s="149"/>
      <c r="L3900" s="149"/>
      <c r="M3900" s="149"/>
      <c r="N3900" s="149"/>
    </row>
    <row r="3901" spans="8:14">
      <c r="H3901" s="2"/>
      <c r="K3901" s="149"/>
      <c r="L3901" s="149"/>
      <c r="M3901" s="149"/>
      <c r="N3901" s="149"/>
    </row>
    <row r="3902" spans="8:14">
      <c r="H3902" s="2"/>
      <c r="K3902" s="149"/>
      <c r="L3902" s="149"/>
      <c r="M3902" s="149"/>
      <c r="N3902" s="149"/>
    </row>
    <row r="3903" spans="8:14">
      <c r="H3903" s="2"/>
      <c r="K3903" s="149"/>
      <c r="L3903" s="149"/>
      <c r="M3903" s="149"/>
      <c r="N3903" s="149"/>
    </row>
    <row r="3904" spans="8:14">
      <c r="H3904" s="2"/>
      <c r="K3904" s="149"/>
      <c r="L3904" s="149"/>
      <c r="M3904" s="149"/>
      <c r="N3904" s="149"/>
    </row>
    <row r="3905" spans="8:14">
      <c r="H3905" s="2"/>
      <c r="K3905" s="149"/>
      <c r="L3905" s="149"/>
      <c r="M3905" s="149"/>
      <c r="N3905" s="149"/>
    </row>
    <row r="3906" spans="8:14">
      <c r="H3906" s="2"/>
      <c r="K3906" s="149"/>
      <c r="L3906" s="149"/>
      <c r="M3906" s="149"/>
      <c r="N3906" s="149"/>
    </row>
    <row r="3907" spans="8:14">
      <c r="H3907" s="2"/>
      <c r="I3907" s="2"/>
      <c r="K3907" s="149"/>
      <c r="L3907" s="149"/>
      <c r="M3907" s="149"/>
      <c r="N3907" s="149"/>
    </row>
    <row r="3908" spans="8:14">
      <c r="H3908" s="2"/>
      <c r="K3908" s="149"/>
      <c r="L3908" s="149"/>
      <c r="M3908" s="149"/>
      <c r="N3908" s="149"/>
    </row>
    <row r="3909" spans="8:14">
      <c r="H3909" s="2"/>
      <c r="K3909" s="149"/>
      <c r="L3909" s="149"/>
      <c r="M3909" s="149"/>
      <c r="N3909" s="149"/>
    </row>
    <row r="3910" spans="8:14">
      <c r="H3910" s="2"/>
      <c r="I3910" s="2"/>
      <c r="K3910" s="149"/>
      <c r="L3910" s="149"/>
      <c r="M3910" s="149"/>
      <c r="N3910" s="149"/>
    </row>
    <row r="3911" spans="8:14">
      <c r="H3911" s="2"/>
      <c r="K3911" s="149"/>
      <c r="L3911" s="149"/>
      <c r="M3911" s="149"/>
      <c r="N3911" s="149"/>
    </row>
    <row r="3912" spans="8:14">
      <c r="H3912" s="2"/>
      <c r="K3912" s="149"/>
      <c r="L3912" s="149"/>
      <c r="M3912" s="149"/>
      <c r="N3912" s="149"/>
    </row>
    <row r="3913" spans="8:14">
      <c r="H3913" s="2"/>
      <c r="I3913" s="2"/>
      <c r="K3913" s="149"/>
      <c r="L3913" s="149"/>
      <c r="M3913" s="149"/>
      <c r="N3913" s="149"/>
    </row>
    <row r="3914" spans="8:14">
      <c r="H3914" s="2"/>
      <c r="I3914" s="2"/>
      <c r="K3914" s="149"/>
      <c r="L3914" s="149"/>
      <c r="M3914" s="149"/>
      <c r="N3914" s="149"/>
    </row>
    <row r="3915" spans="8:14">
      <c r="H3915" s="2"/>
      <c r="I3915" s="2"/>
      <c r="K3915" s="149"/>
      <c r="L3915" s="149"/>
      <c r="M3915" s="149"/>
      <c r="N3915" s="149"/>
    </row>
    <row r="3916" spans="8:14">
      <c r="H3916" s="2"/>
      <c r="I3916" s="2"/>
      <c r="K3916" s="149"/>
      <c r="L3916" s="149"/>
      <c r="M3916" s="149"/>
      <c r="N3916" s="149"/>
    </row>
    <row r="3917" spans="8:14">
      <c r="H3917" s="2"/>
      <c r="I3917" s="2"/>
      <c r="K3917" s="149"/>
      <c r="L3917" s="149"/>
      <c r="M3917" s="149"/>
      <c r="N3917" s="149"/>
    </row>
    <row r="3918" spans="8:14">
      <c r="H3918" s="2"/>
      <c r="K3918" s="149"/>
      <c r="L3918" s="149"/>
      <c r="M3918" s="149"/>
      <c r="N3918" s="149"/>
    </row>
    <row r="3919" spans="8:14">
      <c r="H3919" s="2"/>
      <c r="K3919" s="149"/>
      <c r="L3919" s="149"/>
      <c r="M3919" s="149"/>
      <c r="N3919" s="149"/>
    </row>
    <row r="3920" spans="8:14">
      <c r="H3920" s="2"/>
      <c r="K3920" s="149"/>
      <c r="L3920" s="149"/>
      <c r="M3920" s="149"/>
      <c r="N3920" s="149"/>
    </row>
    <row r="3921" spans="8:14">
      <c r="H3921" s="2"/>
      <c r="I3921" s="2"/>
      <c r="K3921" s="149"/>
      <c r="L3921" s="149"/>
      <c r="M3921" s="149"/>
      <c r="N3921" s="149"/>
    </row>
    <row r="3922" spans="8:14">
      <c r="H3922" s="2"/>
      <c r="I3922" s="2"/>
      <c r="K3922" s="149"/>
      <c r="L3922" s="149"/>
      <c r="M3922" s="149"/>
      <c r="N3922" s="149"/>
    </row>
    <row r="3923" spans="8:14">
      <c r="H3923" s="2"/>
      <c r="I3923" s="2"/>
      <c r="K3923" s="149"/>
      <c r="L3923" s="149"/>
      <c r="M3923" s="149"/>
      <c r="N3923" s="149"/>
    </row>
    <row r="3924" spans="8:14">
      <c r="H3924" s="2"/>
      <c r="I3924" s="2"/>
      <c r="K3924" s="149"/>
      <c r="L3924" s="149"/>
      <c r="M3924" s="149"/>
      <c r="N3924" s="149"/>
    </row>
    <row r="3925" spans="8:14">
      <c r="H3925" s="2"/>
      <c r="K3925" s="149"/>
      <c r="L3925" s="149"/>
      <c r="M3925" s="149"/>
      <c r="N3925" s="149"/>
    </row>
    <row r="3926" spans="8:14">
      <c r="H3926" s="2"/>
      <c r="I3926" s="2"/>
      <c r="K3926" s="149"/>
      <c r="L3926" s="149"/>
      <c r="M3926" s="149"/>
      <c r="N3926" s="149"/>
    </row>
    <row r="3927" spans="8:14">
      <c r="H3927" s="2"/>
      <c r="K3927" s="149"/>
      <c r="L3927" s="149"/>
      <c r="M3927" s="149"/>
      <c r="N3927" s="149"/>
    </row>
    <row r="3928" spans="8:14">
      <c r="H3928" s="2"/>
      <c r="K3928" s="149"/>
      <c r="L3928" s="149"/>
      <c r="M3928" s="149"/>
      <c r="N3928" s="149"/>
    </row>
    <row r="3929" spans="8:14">
      <c r="H3929" s="2"/>
      <c r="K3929" s="149"/>
      <c r="L3929" s="149"/>
      <c r="M3929" s="149"/>
      <c r="N3929" s="149"/>
    </row>
    <row r="3930" spans="8:14">
      <c r="H3930" s="2"/>
      <c r="K3930" s="149"/>
      <c r="L3930" s="149"/>
      <c r="M3930" s="149"/>
      <c r="N3930" s="149"/>
    </row>
    <row r="3931" spans="8:14">
      <c r="H3931" s="2"/>
      <c r="I3931" s="2"/>
      <c r="K3931" s="149"/>
      <c r="L3931" s="149"/>
      <c r="M3931" s="149"/>
      <c r="N3931" s="149"/>
    </row>
    <row r="3932" spans="8:14">
      <c r="H3932" s="2"/>
      <c r="I3932" s="2"/>
      <c r="K3932" s="149"/>
      <c r="L3932" s="149"/>
      <c r="M3932" s="149"/>
      <c r="N3932" s="149"/>
    </row>
    <row r="3933" spans="8:14">
      <c r="H3933" s="2"/>
      <c r="I3933" s="2"/>
      <c r="K3933" s="149"/>
      <c r="L3933" s="149"/>
      <c r="M3933" s="149"/>
      <c r="N3933" s="149"/>
    </row>
    <row r="3934" spans="8:14">
      <c r="H3934" s="2"/>
      <c r="I3934" s="2"/>
      <c r="K3934" s="149"/>
      <c r="L3934" s="149"/>
      <c r="M3934" s="149"/>
      <c r="N3934" s="149"/>
    </row>
    <row r="3935" spans="8:14">
      <c r="H3935" s="2"/>
      <c r="I3935" s="2"/>
      <c r="K3935" s="149"/>
      <c r="L3935" s="149"/>
      <c r="M3935" s="149"/>
      <c r="N3935" s="149"/>
    </row>
    <row r="3936" spans="8:14">
      <c r="H3936" s="2"/>
      <c r="K3936" s="149"/>
      <c r="L3936" s="149"/>
      <c r="M3936" s="149"/>
      <c r="N3936" s="149"/>
    </row>
    <row r="3937" spans="8:14">
      <c r="H3937" s="2"/>
      <c r="I3937" s="2"/>
      <c r="K3937" s="149"/>
      <c r="L3937" s="149"/>
      <c r="M3937" s="149"/>
      <c r="N3937" s="149"/>
    </row>
    <row r="3938" spans="8:14">
      <c r="H3938" s="2"/>
      <c r="I3938" s="2"/>
      <c r="K3938" s="149"/>
      <c r="L3938" s="149"/>
      <c r="M3938" s="149"/>
      <c r="N3938" s="149"/>
    </row>
    <row r="3939" spans="8:14">
      <c r="H3939" s="2"/>
      <c r="I3939" s="2"/>
      <c r="K3939" s="149"/>
      <c r="L3939" s="149"/>
      <c r="M3939" s="149"/>
      <c r="N3939" s="149"/>
    </row>
    <row r="3940" spans="8:14">
      <c r="H3940" s="2"/>
      <c r="I3940" s="2"/>
      <c r="K3940" s="149"/>
      <c r="L3940" s="149"/>
      <c r="M3940" s="149"/>
      <c r="N3940" s="149"/>
    </row>
    <row r="3941" spans="8:14">
      <c r="H3941" s="2"/>
      <c r="I3941" s="2"/>
      <c r="K3941" s="149"/>
      <c r="L3941" s="149"/>
      <c r="M3941" s="149"/>
      <c r="N3941" s="149"/>
    </row>
    <row r="3942" spans="8:14">
      <c r="H3942" s="2"/>
      <c r="K3942" s="149"/>
      <c r="L3942" s="149"/>
      <c r="M3942" s="149"/>
      <c r="N3942" s="149"/>
    </row>
    <row r="3943" spans="8:14">
      <c r="H3943" s="2"/>
      <c r="I3943" s="2"/>
      <c r="K3943" s="149"/>
      <c r="L3943" s="149"/>
      <c r="M3943" s="149"/>
      <c r="N3943" s="149"/>
    </row>
    <row r="3944" spans="8:14">
      <c r="H3944" s="2"/>
      <c r="K3944" s="149"/>
      <c r="L3944" s="149"/>
      <c r="M3944" s="149"/>
      <c r="N3944" s="149"/>
    </row>
    <row r="3945" spans="8:14">
      <c r="H3945" s="2"/>
      <c r="K3945" s="149"/>
      <c r="L3945" s="149"/>
      <c r="M3945" s="149"/>
      <c r="N3945" s="149"/>
    </row>
    <row r="3946" spans="8:14">
      <c r="H3946" s="2"/>
      <c r="K3946" s="149"/>
      <c r="L3946" s="149"/>
      <c r="M3946" s="149"/>
      <c r="N3946" s="149"/>
    </row>
    <row r="3947" spans="8:14">
      <c r="H3947" s="2"/>
      <c r="K3947" s="149"/>
      <c r="L3947" s="149"/>
      <c r="M3947" s="149"/>
      <c r="N3947" s="149"/>
    </row>
    <row r="3948" spans="8:14">
      <c r="H3948" s="2"/>
      <c r="K3948" s="149"/>
      <c r="L3948" s="149"/>
      <c r="M3948" s="149"/>
      <c r="N3948" s="149"/>
    </row>
    <row r="3949" spans="8:14">
      <c r="H3949" s="2"/>
      <c r="K3949" s="149"/>
      <c r="L3949" s="149"/>
      <c r="M3949" s="149"/>
      <c r="N3949" s="149"/>
    </row>
    <row r="3950" spans="8:14">
      <c r="H3950" s="2"/>
      <c r="K3950" s="149"/>
      <c r="L3950" s="149"/>
      <c r="M3950" s="149"/>
      <c r="N3950" s="149"/>
    </row>
    <row r="3951" spans="8:14">
      <c r="H3951" s="2"/>
      <c r="K3951" s="149"/>
      <c r="L3951" s="149"/>
      <c r="M3951" s="149"/>
      <c r="N3951" s="149"/>
    </row>
    <row r="3952" spans="8:14">
      <c r="H3952" s="2"/>
      <c r="K3952" s="149"/>
      <c r="L3952" s="149"/>
      <c r="M3952" s="149"/>
      <c r="N3952" s="149"/>
    </row>
    <row r="3953" spans="8:14">
      <c r="H3953" s="2"/>
      <c r="I3953" s="2"/>
      <c r="K3953" s="149"/>
      <c r="L3953" s="149"/>
      <c r="M3953" s="149"/>
      <c r="N3953" s="149"/>
    </row>
    <row r="3954" spans="8:14">
      <c r="H3954" s="2"/>
      <c r="I3954" s="2"/>
      <c r="K3954" s="149"/>
      <c r="L3954" s="149"/>
      <c r="M3954" s="149"/>
      <c r="N3954" s="149"/>
    </row>
    <row r="3955" spans="8:14">
      <c r="H3955" s="2"/>
      <c r="I3955" s="2"/>
      <c r="K3955" s="149"/>
      <c r="L3955" s="149"/>
      <c r="M3955" s="149"/>
      <c r="N3955" s="149"/>
    </row>
    <row r="3956" spans="8:14">
      <c r="H3956" s="2"/>
      <c r="I3956" s="2"/>
      <c r="K3956" s="149"/>
      <c r="L3956" s="149"/>
      <c r="M3956" s="149"/>
      <c r="N3956" s="149"/>
    </row>
    <row r="3957" spans="8:14">
      <c r="H3957" s="2"/>
      <c r="I3957" s="2"/>
      <c r="K3957" s="149"/>
      <c r="L3957" s="149"/>
      <c r="M3957" s="149"/>
      <c r="N3957" s="149"/>
    </row>
    <row r="3958" spans="8:14">
      <c r="H3958" s="2"/>
      <c r="K3958" s="149"/>
      <c r="L3958" s="149"/>
      <c r="M3958" s="149"/>
      <c r="N3958" s="149"/>
    </row>
    <row r="3959" spans="8:14">
      <c r="H3959" s="2"/>
      <c r="K3959" s="149"/>
      <c r="L3959" s="149"/>
      <c r="M3959" s="149"/>
      <c r="N3959" s="149"/>
    </row>
    <row r="3960" spans="8:14">
      <c r="H3960" s="2"/>
      <c r="K3960" s="149"/>
      <c r="L3960" s="149"/>
      <c r="M3960" s="149"/>
      <c r="N3960" s="149"/>
    </row>
    <row r="3961" spans="8:14">
      <c r="H3961" s="2"/>
      <c r="K3961" s="149"/>
      <c r="L3961" s="149"/>
      <c r="M3961" s="149"/>
      <c r="N3961" s="149"/>
    </row>
    <row r="3962" spans="8:14">
      <c r="H3962" s="2"/>
      <c r="K3962" s="149"/>
      <c r="L3962" s="149"/>
      <c r="M3962" s="149"/>
      <c r="N3962" s="149"/>
    </row>
    <row r="3963" spans="8:14">
      <c r="H3963" s="2"/>
      <c r="K3963" s="149"/>
      <c r="L3963" s="149"/>
      <c r="M3963" s="149"/>
      <c r="N3963" s="149"/>
    </row>
    <row r="3964" spans="8:14">
      <c r="H3964" s="2"/>
      <c r="K3964" s="149"/>
      <c r="L3964" s="149"/>
      <c r="M3964" s="149"/>
      <c r="N3964" s="149"/>
    </row>
    <row r="3965" spans="8:14">
      <c r="H3965" s="2"/>
      <c r="I3965" s="2"/>
      <c r="K3965" s="149"/>
      <c r="L3965" s="149"/>
      <c r="M3965" s="149"/>
      <c r="N3965" s="149"/>
    </row>
    <row r="3966" spans="8:14">
      <c r="H3966" s="2"/>
      <c r="K3966" s="149"/>
      <c r="L3966" s="149"/>
      <c r="M3966" s="149"/>
      <c r="N3966" s="149"/>
    </row>
    <row r="3967" spans="8:14">
      <c r="H3967" s="2"/>
      <c r="K3967" s="149"/>
      <c r="L3967" s="149"/>
      <c r="M3967" s="149"/>
      <c r="N3967" s="149"/>
    </row>
    <row r="3968" spans="8:14">
      <c r="H3968" s="2"/>
      <c r="I3968" s="2"/>
      <c r="K3968" s="149"/>
      <c r="L3968" s="149"/>
      <c r="M3968" s="149"/>
      <c r="N3968" s="149"/>
    </row>
    <row r="3969" spans="8:14">
      <c r="H3969" s="2"/>
      <c r="I3969" s="2"/>
      <c r="K3969" s="149"/>
      <c r="L3969" s="149"/>
      <c r="M3969" s="149"/>
      <c r="N3969" s="149"/>
    </row>
    <row r="3970" spans="8:14">
      <c r="H3970" s="2"/>
      <c r="I3970" s="2"/>
      <c r="K3970" s="149"/>
      <c r="L3970" s="149"/>
      <c r="M3970" s="149"/>
      <c r="N3970" s="149"/>
    </row>
    <row r="3971" spans="8:14">
      <c r="H3971" s="2"/>
      <c r="I3971" s="2"/>
      <c r="K3971" s="149"/>
      <c r="L3971" s="149"/>
      <c r="M3971" s="149"/>
      <c r="N3971" s="149"/>
    </row>
    <row r="3972" spans="8:14">
      <c r="H3972" s="2"/>
      <c r="I3972" s="2"/>
      <c r="K3972" s="149"/>
      <c r="L3972" s="149"/>
      <c r="M3972" s="149"/>
      <c r="N3972" s="149"/>
    </row>
    <row r="3973" spans="8:14">
      <c r="H3973" s="2"/>
      <c r="K3973" s="149"/>
      <c r="L3973" s="149"/>
      <c r="M3973" s="149"/>
      <c r="N3973" s="149"/>
    </row>
    <row r="3974" spans="8:14">
      <c r="H3974" s="2"/>
      <c r="K3974" s="149"/>
      <c r="L3974" s="149"/>
      <c r="M3974" s="149"/>
      <c r="N3974" s="149"/>
    </row>
    <row r="3975" spans="8:14">
      <c r="H3975" s="2"/>
      <c r="K3975" s="149"/>
      <c r="L3975" s="149"/>
      <c r="M3975" s="149"/>
      <c r="N3975" s="149"/>
    </row>
    <row r="3976" spans="8:14">
      <c r="H3976" s="2"/>
      <c r="I3976" s="2"/>
      <c r="K3976" s="149"/>
      <c r="L3976" s="149"/>
      <c r="M3976" s="149"/>
      <c r="N3976" s="149"/>
    </row>
    <row r="3977" spans="8:14">
      <c r="H3977" s="2"/>
      <c r="I3977" s="2"/>
      <c r="K3977" s="149"/>
      <c r="L3977" s="149"/>
      <c r="M3977" s="149"/>
      <c r="N3977" s="149"/>
    </row>
    <row r="3978" spans="8:14">
      <c r="H3978" s="2"/>
      <c r="I3978" s="2"/>
      <c r="K3978" s="149"/>
      <c r="L3978" s="149"/>
      <c r="M3978" s="149"/>
      <c r="N3978" s="149"/>
    </row>
    <row r="3979" spans="8:14">
      <c r="H3979" s="2"/>
      <c r="K3979" s="149"/>
      <c r="L3979" s="149"/>
      <c r="M3979" s="149"/>
      <c r="N3979" s="149"/>
    </row>
    <row r="3980" spans="8:14">
      <c r="H3980" s="2"/>
      <c r="I3980" s="2"/>
      <c r="K3980" s="149"/>
      <c r="L3980" s="149"/>
      <c r="M3980" s="149"/>
      <c r="N3980" s="149"/>
    </row>
    <row r="3981" spans="8:14">
      <c r="H3981" s="2"/>
      <c r="I3981" s="2"/>
      <c r="K3981" s="149"/>
      <c r="L3981" s="149"/>
      <c r="M3981" s="149"/>
      <c r="N3981" s="149"/>
    </row>
    <row r="3982" spans="8:14">
      <c r="H3982" s="2"/>
      <c r="I3982" s="2"/>
      <c r="K3982" s="149"/>
      <c r="L3982" s="149"/>
      <c r="M3982" s="149"/>
      <c r="N3982" s="149"/>
    </row>
    <row r="3983" spans="8:14">
      <c r="H3983" s="2"/>
      <c r="I3983" s="2"/>
      <c r="K3983" s="149"/>
      <c r="L3983" s="149"/>
      <c r="M3983" s="149"/>
      <c r="N3983" s="149"/>
    </row>
    <row r="3984" spans="8:14">
      <c r="H3984" s="2"/>
      <c r="I3984" s="2"/>
      <c r="K3984" s="149"/>
      <c r="L3984" s="149"/>
      <c r="M3984" s="149"/>
      <c r="N3984" s="149"/>
    </row>
    <row r="3985" spans="8:14">
      <c r="H3985" s="2"/>
      <c r="K3985" s="149"/>
      <c r="L3985" s="149"/>
      <c r="M3985" s="149"/>
      <c r="N3985" s="149"/>
    </row>
    <row r="3986" spans="8:14">
      <c r="H3986" s="2"/>
      <c r="I3986" s="2"/>
      <c r="K3986" s="149"/>
      <c r="L3986" s="149"/>
      <c r="M3986" s="149"/>
      <c r="N3986" s="149"/>
    </row>
    <row r="3987" spans="8:14">
      <c r="H3987" s="2"/>
      <c r="I3987" s="2"/>
      <c r="K3987" s="149"/>
      <c r="L3987" s="149"/>
      <c r="M3987" s="149"/>
      <c r="N3987" s="149"/>
    </row>
    <row r="3988" spans="8:14">
      <c r="H3988" s="2"/>
      <c r="I3988" s="2"/>
      <c r="K3988" s="149"/>
      <c r="L3988" s="149"/>
      <c r="M3988" s="149"/>
      <c r="N3988" s="149"/>
    </row>
    <row r="3989" spans="8:14">
      <c r="H3989" s="2"/>
      <c r="I3989" s="2"/>
      <c r="K3989" s="149"/>
      <c r="L3989" s="149"/>
      <c r="M3989" s="149"/>
      <c r="N3989" s="149"/>
    </row>
    <row r="3990" spans="8:14">
      <c r="H3990" s="2"/>
      <c r="I3990" s="2"/>
      <c r="K3990" s="149"/>
      <c r="L3990" s="149"/>
      <c r="M3990" s="149"/>
      <c r="N3990" s="149"/>
    </row>
    <row r="3991" spans="8:14">
      <c r="H3991" s="2"/>
      <c r="I3991" s="2"/>
      <c r="K3991" s="149"/>
      <c r="L3991" s="149"/>
      <c r="M3991" s="149"/>
      <c r="N3991" s="149"/>
    </row>
    <row r="3992" spans="8:14">
      <c r="H3992" s="2"/>
      <c r="I3992" s="2"/>
      <c r="K3992" s="149"/>
      <c r="L3992" s="149"/>
      <c r="M3992" s="149"/>
      <c r="N3992" s="149"/>
    </row>
    <row r="3993" spans="8:14">
      <c r="H3993" s="2"/>
      <c r="I3993" s="2"/>
      <c r="K3993" s="149"/>
      <c r="L3993" s="149"/>
      <c r="M3993" s="149"/>
      <c r="N3993" s="149"/>
    </row>
    <row r="3994" spans="8:14">
      <c r="H3994" s="2"/>
      <c r="I3994" s="2"/>
      <c r="K3994" s="149"/>
      <c r="L3994" s="149"/>
      <c r="M3994" s="149"/>
      <c r="N3994" s="149"/>
    </row>
    <row r="3995" spans="8:14">
      <c r="H3995" s="2"/>
      <c r="I3995" s="2"/>
      <c r="K3995" s="149"/>
      <c r="L3995" s="149"/>
      <c r="M3995" s="149"/>
      <c r="N3995" s="149"/>
    </row>
    <row r="3996" spans="8:14">
      <c r="H3996" s="2"/>
      <c r="I3996" s="2"/>
      <c r="K3996" s="149"/>
      <c r="L3996" s="149"/>
      <c r="M3996" s="149"/>
      <c r="N3996" s="149"/>
    </row>
    <row r="3997" spans="8:14">
      <c r="H3997" s="2"/>
      <c r="I3997" s="2"/>
      <c r="K3997" s="149"/>
      <c r="L3997" s="149"/>
      <c r="M3997" s="149"/>
      <c r="N3997" s="149"/>
    </row>
    <row r="3998" spans="8:14">
      <c r="H3998" s="2"/>
      <c r="I3998" s="2"/>
      <c r="K3998" s="149"/>
      <c r="L3998" s="149"/>
      <c r="M3998" s="149"/>
      <c r="N3998" s="149"/>
    </row>
    <row r="3999" spans="8:14">
      <c r="H3999" s="2"/>
      <c r="I3999" s="2"/>
      <c r="K3999" s="149"/>
      <c r="L3999" s="149"/>
      <c r="M3999" s="149"/>
      <c r="N3999" s="149"/>
    </row>
    <row r="4000" spans="8:14">
      <c r="H4000" s="2"/>
      <c r="I4000" s="2"/>
      <c r="K4000" s="149"/>
      <c r="L4000" s="149"/>
      <c r="M4000" s="149"/>
      <c r="N4000" s="149"/>
    </row>
    <row r="4001" spans="8:14">
      <c r="H4001" s="2"/>
      <c r="I4001" s="2"/>
      <c r="K4001" s="149"/>
      <c r="L4001" s="149"/>
      <c r="M4001" s="149"/>
      <c r="N4001" s="149"/>
    </row>
    <row r="4002" spans="8:14">
      <c r="H4002" s="2"/>
      <c r="I4002" s="2"/>
      <c r="K4002" s="149"/>
      <c r="L4002" s="149"/>
      <c r="M4002" s="149"/>
      <c r="N4002" s="149"/>
    </row>
    <row r="4003" spans="8:14">
      <c r="H4003" s="2"/>
      <c r="I4003" s="2"/>
      <c r="K4003" s="149"/>
      <c r="L4003" s="149"/>
      <c r="M4003" s="149"/>
      <c r="N4003" s="149"/>
    </row>
    <row r="4004" spans="8:14">
      <c r="H4004" s="2"/>
      <c r="I4004" s="2"/>
      <c r="K4004" s="149"/>
      <c r="L4004" s="149"/>
      <c r="M4004" s="149"/>
      <c r="N4004" s="149"/>
    </row>
    <row r="4005" spans="8:14">
      <c r="H4005" s="2"/>
      <c r="I4005" s="2"/>
      <c r="K4005" s="149"/>
      <c r="L4005" s="149"/>
      <c r="M4005" s="149"/>
      <c r="N4005" s="149"/>
    </row>
    <row r="4006" spans="8:14">
      <c r="H4006" s="2"/>
      <c r="I4006" s="2"/>
      <c r="K4006" s="149"/>
      <c r="L4006" s="149"/>
      <c r="M4006" s="149"/>
      <c r="N4006" s="149"/>
    </row>
    <row r="4007" spans="8:14">
      <c r="H4007" s="2"/>
      <c r="I4007" s="2"/>
      <c r="K4007" s="149"/>
      <c r="L4007" s="149"/>
      <c r="M4007" s="149"/>
      <c r="N4007" s="149"/>
    </row>
    <row r="4008" spans="8:14">
      <c r="H4008" s="2"/>
      <c r="I4008" s="2"/>
      <c r="K4008" s="149"/>
      <c r="L4008" s="149"/>
      <c r="M4008" s="149"/>
      <c r="N4008" s="149"/>
    </row>
    <row r="4009" spans="8:14">
      <c r="H4009" s="2"/>
      <c r="I4009" s="2"/>
      <c r="K4009" s="149"/>
      <c r="L4009" s="149"/>
      <c r="M4009" s="149"/>
      <c r="N4009" s="149"/>
    </row>
    <row r="4010" spans="8:14">
      <c r="H4010" s="2"/>
      <c r="I4010" s="2"/>
      <c r="K4010" s="149"/>
      <c r="L4010" s="149"/>
      <c r="M4010" s="149"/>
      <c r="N4010" s="149"/>
    </row>
    <row r="4011" spans="8:14">
      <c r="H4011" s="2"/>
      <c r="K4011" s="149"/>
      <c r="L4011" s="149"/>
      <c r="M4011" s="149"/>
      <c r="N4011" s="149"/>
    </row>
    <row r="4012" spans="8:14">
      <c r="H4012" s="2"/>
      <c r="K4012" s="149"/>
      <c r="L4012" s="149"/>
      <c r="M4012" s="149"/>
      <c r="N4012" s="149"/>
    </row>
    <row r="4013" spans="8:14">
      <c r="H4013" s="2"/>
      <c r="I4013" s="2"/>
      <c r="K4013" s="149"/>
      <c r="L4013" s="149"/>
      <c r="M4013" s="149"/>
      <c r="N4013" s="149"/>
    </row>
    <row r="4014" spans="8:14">
      <c r="H4014" s="2"/>
      <c r="K4014" s="149"/>
      <c r="L4014" s="149"/>
      <c r="M4014" s="149"/>
      <c r="N4014" s="149"/>
    </row>
    <row r="4015" spans="8:14">
      <c r="H4015" s="2"/>
      <c r="K4015" s="149"/>
      <c r="L4015" s="149"/>
      <c r="M4015" s="149"/>
      <c r="N4015" s="149"/>
    </row>
    <row r="4016" spans="8:14">
      <c r="H4016" s="2"/>
      <c r="K4016" s="149"/>
      <c r="L4016" s="149"/>
      <c r="M4016" s="149"/>
      <c r="N4016" s="149"/>
    </row>
    <row r="4017" spans="8:14">
      <c r="H4017" s="2"/>
      <c r="K4017" s="149"/>
      <c r="L4017" s="149"/>
      <c r="M4017" s="149"/>
      <c r="N4017" s="149"/>
    </row>
    <row r="4018" spans="8:14">
      <c r="H4018" s="2"/>
      <c r="K4018" s="149"/>
      <c r="L4018" s="149"/>
      <c r="M4018" s="149"/>
      <c r="N4018" s="149"/>
    </row>
    <row r="4019" spans="8:14">
      <c r="H4019" s="2"/>
      <c r="I4019" s="2"/>
      <c r="K4019" s="149"/>
      <c r="L4019" s="149"/>
      <c r="M4019" s="149"/>
      <c r="N4019" s="149"/>
    </row>
    <row r="4020" spans="8:14">
      <c r="H4020" s="2"/>
      <c r="K4020" s="149"/>
      <c r="L4020" s="149"/>
      <c r="M4020" s="149"/>
      <c r="N4020" s="149"/>
    </row>
    <row r="4021" spans="8:14">
      <c r="H4021" s="2"/>
      <c r="K4021" s="149"/>
      <c r="L4021" s="149"/>
      <c r="M4021" s="149"/>
      <c r="N4021" s="149"/>
    </row>
    <row r="4022" spans="8:14">
      <c r="H4022" s="2"/>
      <c r="K4022" s="149"/>
      <c r="L4022" s="149"/>
      <c r="M4022" s="149"/>
      <c r="N4022" s="149"/>
    </row>
    <row r="4023" spans="8:14">
      <c r="H4023" s="2"/>
      <c r="K4023" s="149"/>
      <c r="L4023" s="149"/>
      <c r="M4023" s="149"/>
      <c r="N4023" s="149"/>
    </row>
    <row r="4024" spans="8:14">
      <c r="H4024" s="2"/>
      <c r="K4024" s="149"/>
      <c r="L4024" s="149"/>
      <c r="M4024" s="149"/>
      <c r="N4024" s="149"/>
    </row>
    <row r="4025" spans="8:14">
      <c r="H4025" s="2"/>
      <c r="K4025" s="149"/>
      <c r="L4025" s="149"/>
      <c r="M4025" s="149"/>
      <c r="N4025" s="149"/>
    </row>
    <row r="4026" spans="8:14">
      <c r="H4026" s="2"/>
      <c r="K4026" s="149"/>
      <c r="L4026" s="149"/>
      <c r="M4026" s="149"/>
      <c r="N4026" s="149"/>
    </row>
    <row r="4027" spans="8:14">
      <c r="H4027" s="2"/>
      <c r="K4027" s="149"/>
      <c r="L4027" s="149"/>
      <c r="M4027" s="149"/>
      <c r="N4027" s="149"/>
    </row>
    <row r="4028" spans="8:14">
      <c r="H4028" s="2"/>
      <c r="K4028" s="149"/>
      <c r="L4028" s="149"/>
      <c r="M4028" s="149"/>
      <c r="N4028" s="149"/>
    </row>
    <row r="4029" spans="8:14">
      <c r="H4029" s="2"/>
      <c r="K4029" s="149"/>
      <c r="L4029" s="149"/>
      <c r="M4029" s="149"/>
      <c r="N4029" s="149"/>
    </row>
    <row r="4030" spans="8:14">
      <c r="H4030" s="2"/>
      <c r="K4030" s="149"/>
      <c r="L4030" s="149"/>
      <c r="M4030" s="149"/>
      <c r="N4030" s="149"/>
    </row>
    <row r="4031" spans="8:14">
      <c r="H4031" s="2"/>
      <c r="K4031" s="149"/>
      <c r="L4031" s="149"/>
      <c r="M4031" s="149"/>
      <c r="N4031" s="149"/>
    </row>
    <row r="4032" spans="8:14">
      <c r="H4032" s="2"/>
      <c r="K4032" s="149"/>
      <c r="L4032" s="149"/>
      <c r="M4032" s="149"/>
      <c r="N4032" s="149"/>
    </row>
    <row r="4033" spans="8:14">
      <c r="H4033" s="2"/>
      <c r="K4033" s="149"/>
      <c r="L4033" s="149"/>
      <c r="M4033" s="149"/>
      <c r="N4033" s="149"/>
    </row>
    <row r="4034" spans="8:14">
      <c r="H4034" s="2"/>
      <c r="K4034" s="149"/>
      <c r="L4034" s="149"/>
      <c r="M4034" s="149"/>
      <c r="N4034" s="149"/>
    </row>
    <row r="4035" spans="8:14">
      <c r="H4035" s="2"/>
      <c r="K4035" s="149"/>
      <c r="L4035" s="149"/>
      <c r="M4035" s="149"/>
      <c r="N4035" s="149"/>
    </row>
    <row r="4036" spans="8:14">
      <c r="H4036" s="2"/>
      <c r="K4036" s="149"/>
      <c r="L4036" s="149"/>
      <c r="M4036" s="149"/>
      <c r="N4036" s="149"/>
    </row>
    <row r="4037" spans="8:14">
      <c r="H4037" s="2"/>
      <c r="K4037" s="149"/>
      <c r="L4037" s="149"/>
      <c r="M4037" s="149"/>
      <c r="N4037" s="149"/>
    </row>
    <row r="4038" spans="8:14">
      <c r="H4038" s="2"/>
      <c r="K4038" s="149"/>
      <c r="L4038" s="149"/>
      <c r="M4038" s="149"/>
      <c r="N4038" s="149"/>
    </row>
    <row r="4039" spans="8:14">
      <c r="H4039" s="2"/>
      <c r="K4039" s="149"/>
      <c r="L4039" s="149"/>
      <c r="M4039" s="149"/>
      <c r="N4039" s="149"/>
    </row>
    <row r="4040" spans="8:14">
      <c r="H4040" s="2"/>
      <c r="K4040" s="149"/>
      <c r="L4040" s="149"/>
      <c r="M4040" s="149"/>
      <c r="N4040" s="149"/>
    </row>
    <row r="4041" spans="8:14">
      <c r="H4041" s="2"/>
      <c r="K4041" s="149"/>
      <c r="L4041" s="149"/>
      <c r="M4041" s="149"/>
      <c r="N4041" s="149"/>
    </row>
    <row r="4042" spans="8:14">
      <c r="H4042" s="2"/>
      <c r="K4042" s="149"/>
      <c r="L4042" s="149"/>
      <c r="M4042" s="149"/>
      <c r="N4042" s="149"/>
    </row>
    <row r="4043" spans="8:14">
      <c r="H4043" s="2"/>
      <c r="K4043" s="149"/>
      <c r="L4043" s="149"/>
      <c r="M4043" s="149"/>
      <c r="N4043" s="149"/>
    </row>
    <row r="4044" spans="8:14">
      <c r="H4044" s="2"/>
      <c r="K4044" s="149"/>
      <c r="L4044" s="149"/>
      <c r="M4044" s="149"/>
      <c r="N4044" s="149"/>
    </row>
    <row r="4045" spans="8:14">
      <c r="H4045" s="2"/>
      <c r="K4045" s="149"/>
      <c r="L4045" s="149"/>
      <c r="M4045" s="149"/>
      <c r="N4045" s="149"/>
    </row>
    <row r="4046" spans="8:14">
      <c r="H4046" s="2"/>
      <c r="K4046" s="149"/>
      <c r="L4046" s="149"/>
      <c r="M4046" s="149"/>
      <c r="N4046" s="149"/>
    </row>
    <row r="4047" spans="8:14">
      <c r="H4047" s="2"/>
      <c r="K4047" s="149"/>
      <c r="L4047" s="149"/>
      <c r="M4047" s="149"/>
      <c r="N4047" s="149"/>
    </row>
    <row r="4048" spans="8:14">
      <c r="H4048" s="2"/>
      <c r="K4048" s="149"/>
      <c r="L4048" s="149"/>
      <c r="M4048" s="149"/>
      <c r="N4048" s="149"/>
    </row>
    <row r="4049" spans="8:14">
      <c r="H4049" s="2"/>
      <c r="K4049" s="149"/>
      <c r="L4049" s="149"/>
      <c r="M4049" s="149"/>
      <c r="N4049" s="149"/>
    </row>
    <row r="4050" spans="8:14">
      <c r="H4050" s="2"/>
      <c r="K4050" s="149"/>
      <c r="L4050" s="149"/>
      <c r="M4050" s="149"/>
      <c r="N4050" s="149"/>
    </row>
    <row r="4051" spans="8:14">
      <c r="H4051" s="2"/>
      <c r="K4051" s="149"/>
      <c r="L4051" s="149"/>
      <c r="M4051" s="149"/>
      <c r="N4051" s="149"/>
    </row>
    <row r="4052" spans="8:14">
      <c r="H4052" s="2"/>
      <c r="K4052" s="149"/>
      <c r="L4052" s="149"/>
      <c r="M4052" s="149"/>
      <c r="N4052" s="149"/>
    </row>
    <row r="4053" spans="8:14">
      <c r="H4053" s="2"/>
      <c r="K4053" s="149"/>
      <c r="L4053" s="149"/>
      <c r="M4053" s="149"/>
      <c r="N4053" s="149"/>
    </row>
    <row r="4054" spans="8:14">
      <c r="H4054" s="2"/>
      <c r="K4054" s="149"/>
      <c r="L4054" s="149"/>
      <c r="M4054" s="149"/>
      <c r="N4054" s="149"/>
    </row>
    <row r="4055" spans="8:14">
      <c r="H4055" s="2"/>
      <c r="K4055" s="149"/>
      <c r="L4055" s="149"/>
      <c r="M4055" s="149"/>
      <c r="N4055" s="149"/>
    </row>
    <row r="4056" spans="8:14">
      <c r="H4056" s="2"/>
      <c r="K4056" s="149"/>
      <c r="L4056" s="149"/>
      <c r="M4056" s="149"/>
      <c r="N4056" s="149"/>
    </row>
    <row r="4057" spans="8:14">
      <c r="H4057" s="2"/>
      <c r="K4057" s="149"/>
      <c r="L4057" s="149"/>
      <c r="M4057" s="149"/>
      <c r="N4057" s="149"/>
    </row>
    <row r="4058" spans="8:14">
      <c r="H4058" s="2"/>
      <c r="K4058" s="149"/>
      <c r="L4058" s="149"/>
      <c r="M4058" s="149"/>
      <c r="N4058" s="149"/>
    </row>
    <row r="4059" spans="8:14">
      <c r="H4059" s="2"/>
      <c r="K4059" s="149"/>
      <c r="L4059" s="149"/>
      <c r="M4059" s="149"/>
      <c r="N4059" s="149"/>
    </row>
    <row r="4060" spans="8:14">
      <c r="H4060" s="2"/>
      <c r="K4060" s="149"/>
      <c r="L4060" s="149"/>
      <c r="M4060" s="149"/>
      <c r="N4060" s="149"/>
    </row>
    <row r="4061" spans="8:14">
      <c r="H4061" s="2"/>
      <c r="K4061" s="149"/>
      <c r="L4061" s="149"/>
      <c r="M4061" s="149"/>
      <c r="N4061" s="149"/>
    </row>
    <row r="4062" spans="8:14">
      <c r="H4062" s="2"/>
      <c r="K4062" s="149"/>
      <c r="L4062" s="149"/>
      <c r="M4062" s="149"/>
      <c r="N4062" s="149"/>
    </row>
    <row r="4063" spans="8:14">
      <c r="H4063" s="2"/>
      <c r="K4063" s="149"/>
      <c r="L4063" s="149"/>
      <c r="M4063" s="149"/>
      <c r="N4063" s="149"/>
    </row>
    <row r="4064" spans="8:14">
      <c r="H4064" s="2"/>
      <c r="K4064" s="149"/>
      <c r="L4064" s="149"/>
      <c r="M4064" s="149"/>
      <c r="N4064" s="149"/>
    </row>
    <row r="4065" spans="8:14">
      <c r="H4065" s="2"/>
      <c r="K4065" s="149"/>
      <c r="L4065" s="149"/>
      <c r="M4065" s="149"/>
      <c r="N4065" s="149"/>
    </row>
    <row r="4066" spans="8:14">
      <c r="H4066" s="2"/>
      <c r="K4066" s="149"/>
      <c r="L4066" s="149"/>
      <c r="M4066" s="149"/>
      <c r="N4066" s="149"/>
    </row>
    <row r="4067" spans="8:14">
      <c r="H4067" s="2"/>
      <c r="K4067" s="149"/>
      <c r="L4067" s="149"/>
      <c r="M4067" s="149"/>
      <c r="N4067" s="149"/>
    </row>
    <row r="4068" spans="8:14">
      <c r="H4068" s="2"/>
      <c r="K4068" s="149"/>
      <c r="L4068" s="149"/>
      <c r="M4068" s="149"/>
      <c r="N4068" s="149"/>
    </row>
    <row r="4069" spans="8:14">
      <c r="H4069" s="2"/>
      <c r="K4069" s="149"/>
      <c r="L4069" s="149"/>
      <c r="M4069" s="149"/>
      <c r="N4069" s="149"/>
    </row>
    <row r="4070" spans="8:14">
      <c r="H4070" s="2"/>
      <c r="K4070" s="149"/>
      <c r="L4070" s="149"/>
      <c r="M4070" s="149"/>
      <c r="N4070" s="149"/>
    </row>
    <row r="4071" spans="8:14">
      <c r="H4071" s="2"/>
      <c r="K4071" s="149"/>
      <c r="L4071" s="149"/>
      <c r="M4071" s="149"/>
      <c r="N4071" s="149"/>
    </row>
    <row r="4072" spans="8:14">
      <c r="H4072" s="2"/>
      <c r="K4072" s="149"/>
      <c r="L4072" s="149"/>
      <c r="M4072" s="149"/>
      <c r="N4072" s="149"/>
    </row>
    <row r="4073" spans="8:14">
      <c r="H4073" s="2"/>
      <c r="K4073" s="149"/>
      <c r="L4073" s="149"/>
      <c r="M4073" s="149"/>
      <c r="N4073" s="149"/>
    </row>
    <row r="4074" spans="8:14">
      <c r="H4074" s="2"/>
      <c r="K4074" s="149"/>
      <c r="L4074" s="149"/>
      <c r="M4074" s="149"/>
      <c r="N4074" s="149"/>
    </row>
    <row r="4075" spans="8:14">
      <c r="H4075" s="2"/>
      <c r="K4075" s="149"/>
      <c r="L4075" s="149"/>
      <c r="M4075" s="149"/>
      <c r="N4075" s="149"/>
    </row>
    <row r="4076" spans="8:14">
      <c r="H4076" s="2"/>
      <c r="K4076" s="149"/>
      <c r="L4076" s="149"/>
      <c r="M4076" s="149"/>
      <c r="N4076" s="149"/>
    </row>
    <row r="4077" spans="8:14">
      <c r="K4077" s="149"/>
      <c r="L4077" s="149"/>
      <c r="M4077" s="149"/>
      <c r="N4077" s="149"/>
    </row>
    <row r="4078" spans="8:14">
      <c r="K4078" s="149"/>
      <c r="L4078" s="149"/>
      <c r="M4078" s="149"/>
      <c r="N4078" s="149"/>
    </row>
    <row r="4079" spans="8:14">
      <c r="K4079" s="149"/>
      <c r="L4079" s="149"/>
      <c r="M4079" s="149"/>
      <c r="N4079" s="149"/>
    </row>
    <row r="4080" spans="8:14">
      <c r="K4080" s="149"/>
      <c r="L4080" s="149"/>
      <c r="M4080" s="149"/>
      <c r="N4080" s="149"/>
    </row>
    <row r="4081" spans="11:14">
      <c r="K4081" s="149"/>
      <c r="L4081" s="149"/>
      <c r="M4081" s="149"/>
      <c r="N4081" s="149"/>
    </row>
    <row r="4082" spans="11:14">
      <c r="K4082" s="149"/>
      <c r="L4082" s="149"/>
      <c r="M4082" s="149"/>
      <c r="N4082" s="149"/>
    </row>
    <row r="4083" spans="11:14">
      <c r="K4083" s="149"/>
      <c r="L4083" s="149"/>
      <c r="M4083" s="149"/>
      <c r="N4083" s="149"/>
    </row>
    <row r="4084" spans="11:14">
      <c r="K4084" s="149"/>
      <c r="L4084" s="149"/>
      <c r="M4084" s="149"/>
      <c r="N4084" s="149"/>
    </row>
    <row r="4085" spans="11:14">
      <c r="K4085" s="149"/>
      <c r="L4085" s="149"/>
      <c r="M4085" s="149"/>
      <c r="N4085" s="149"/>
    </row>
    <row r="4086" spans="11:14">
      <c r="K4086" s="149"/>
      <c r="L4086" s="149"/>
      <c r="M4086" s="149"/>
      <c r="N4086" s="149"/>
    </row>
    <row r="4087" spans="11:14">
      <c r="K4087" s="149"/>
      <c r="L4087" s="149"/>
      <c r="M4087" s="149"/>
      <c r="N4087" s="149"/>
    </row>
    <row r="4088" spans="11:14">
      <c r="K4088" s="149"/>
      <c r="L4088" s="149"/>
      <c r="M4088" s="149"/>
      <c r="N4088" s="149"/>
    </row>
    <row r="4089" spans="11:14">
      <c r="K4089" s="149"/>
      <c r="L4089" s="149"/>
      <c r="M4089" s="149"/>
      <c r="N4089" s="149"/>
    </row>
    <row r="4090" spans="11:14">
      <c r="K4090" s="149"/>
      <c r="L4090" s="149"/>
      <c r="M4090" s="149"/>
      <c r="N4090" s="149"/>
    </row>
    <row r="4091" spans="11:14">
      <c r="K4091" s="149"/>
      <c r="L4091" s="149"/>
      <c r="M4091" s="149"/>
      <c r="N4091" s="149"/>
    </row>
    <row r="4092" spans="11:14">
      <c r="K4092" s="149"/>
      <c r="L4092" s="149"/>
      <c r="M4092" s="149"/>
      <c r="N4092" s="149"/>
    </row>
    <row r="4093" spans="11:14">
      <c r="K4093" s="149"/>
      <c r="L4093" s="149"/>
      <c r="M4093" s="149"/>
      <c r="N4093" s="149"/>
    </row>
    <row r="4094" spans="11:14">
      <c r="K4094" s="149"/>
      <c r="L4094" s="149"/>
      <c r="M4094" s="149"/>
      <c r="N4094" s="149"/>
    </row>
    <row r="4095" spans="11:14">
      <c r="K4095" s="149"/>
      <c r="L4095" s="149"/>
      <c r="M4095" s="149"/>
      <c r="N4095" s="149"/>
    </row>
    <row r="4096" spans="11:14">
      <c r="K4096" s="149"/>
      <c r="L4096" s="149"/>
      <c r="M4096" s="149"/>
      <c r="N4096" s="149"/>
    </row>
    <row r="4097" spans="11:14">
      <c r="K4097" s="149"/>
      <c r="L4097" s="149"/>
      <c r="M4097" s="149"/>
      <c r="N4097" s="149"/>
    </row>
    <row r="4098" spans="11:14">
      <c r="K4098" s="149"/>
      <c r="L4098" s="149"/>
      <c r="M4098" s="149"/>
      <c r="N4098" s="149"/>
    </row>
    <row r="4099" spans="11:14">
      <c r="K4099" s="149"/>
      <c r="L4099" s="149"/>
      <c r="M4099" s="149"/>
      <c r="N4099" s="149"/>
    </row>
    <row r="4100" spans="11:14">
      <c r="K4100" s="149"/>
      <c r="L4100" s="149"/>
      <c r="M4100" s="149"/>
      <c r="N4100" s="149"/>
    </row>
    <row r="4101" spans="11:14">
      <c r="K4101" s="149"/>
      <c r="L4101" s="149"/>
      <c r="M4101" s="149"/>
      <c r="N4101" s="149"/>
    </row>
    <row r="4102" spans="11:14">
      <c r="K4102" s="149"/>
      <c r="L4102" s="149"/>
      <c r="M4102" s="149"/>
      <c r="N4102" s="149"/>
    </row>
    <row r="4103" spans="11:14">
      <c r="K4103" s="149"/>
      <c r="L4103" s="149"/>
      <c r="M4103" s="149"/>
      <c r="N4103" s="149"/>
    </row>
    <row r="4104" spans="11:14">
      <c r="K4104" s="149"/>
      <c r="L4104" s="149"/>
      <c r="M4104" s="149"/>
      <c r="N4104" s="149"/>
    </row>
    <row r="4105" spans="11:14">
      <c r="K4105" s="149"/>
      <c r="L4105" s="149"/>
      <c r="M4105" s="149"/>
      <c r="N4105" s="149"/>
    </row>
    <row r="4106" spans="11:14">
      <c r="K4106" s="149"/>
      <c r="L4106" s="149"/>
      <c r="M4106" s="149"/>
      <c r="N4106" s="149"/>
    </row>
    <row r="4107" spans="11:14">
      <c r="K4107" s="149"/>
      <c r="L4107" s="149"/>
      <c r="M4107" s="149"/>
      <c r="N4107" s="149"/>
    </row>
    <row r="4108" spans="11:14">
      <c r="K4108" s="149"/>
      <c r="L4108" s="149"/>
      <c r="M4108" s="149"/>
      <c r="N4108" s="149"/>
    </row>
    <row r="4109" spans="11:14">
      <c r="K4109" s="149"/>
      <c r="L4109" s="149"/>
      <c r="M4109" s="149"/>
      <c r="N4109" s="149"/>
    </row>
    <row r="4110" spans="11:14">
      <c r="K4110" s="149"/>
      <c r="L4110" s="149"/>
      <c r="M4110" s="149"/>
      <c r="N4110" s="149"/>
    </row>
    <row r="4111" spans="11:14">
      <c r="K4111" s="149"/>
      <c r="L4111" s="149"/>
      <c r="M4111" s="149"/>
      <c r="N4111" s="149"/>
    </row>
    <row r="4112" spans="11:14">
      <c r="K4112" s="149"/>
      <c r="L4112" s="149"/>
      <c r="M4112" s="149"/>
      <c r="N4112" s="149"/>
    </row>
    <row r="4113" spans="11:14">
      <c r="K4113" s="149"/>
      <c r="L4113" s="149"/>
      <c r="M4113" s="149"/>
      <c r="N4113" s="149"/>
    </row>
    <row r="4114" spans="11:14">
      <c r="K4114" s="149"/>
      <c r="L4114" s="149"/>
      <c r="M4114" s="149"/>
      <c r="N4114" s="149"/>
    </row>
    <row r="4115" spans="11:14">
      <c r="K4115" s="149"/>
      <c r="L4115" s="149"/>
      <c r="M4115" s="149"/>
      <c r="N4115" s="149"/>
    </row>
    <row r="4116" spans="11:14">
      <c r="K4116" s="149"/>
      <c r="L4116" s="149"/>
      <c r="M4116" s="149"/>
      <c r="N4116" s="149"/>
    </row>
    <row r="4117" spans="11:14">
      <c r="K4117" s="149"/>
      <c r="L4117" s="149"/>
      <c r="M4117" s="149"/>
      <c r="N4117" s="149"/>
    </row>
    <row r="4118" spans="11:14">
      <c r="K4118" s="149"/>
      <c r="L4118" s="149"/>
      <c r="M4118" s="149"/>
      <c r="N4118" s="149"/>
    </row>
    <row r="4119" spans="11:14">
      <c r="K4119" s="149"/>
      <c r="L4119" s="149"/>
      <c r="M4119" s="149"/>
      <c r="N4119" s="149"/>
    </row>
    <row r="4120" spans="11:14">
      <c r="K4120" s="149"/>
      <c r="L4120" s="149"/>
      <c r="M4120" s="149"/>
      <c r="N4120" s="149"/>
    </row>
    <row r="4121" spans="11:14">
      <c r="K4121" s="149"/>
      <c r="L4121" s="149"/>
      <c r="M4121" s="149"/>
      <c r="N4121" s="149"/>
    </row>
    <row r="4122" spans="11:14">
      <c r="K4122" s="149"/>
      <c r="L4122" s="149"/>
      <c r="M4122" s="149"/>
      <c r="N4122" s="149"/>
    </row>
    <row r="4123" spans="11:14">
      <c r="K4123" s="149"/>
      <c r="L4123" s="149"/>
      <c r="M4123" s="149"/>
      <c r="N4123" s="149"/>
    </row>
    <row r="4124" spans="11:14">
      <c r="K4124" s="149"/>
      <c r="L4124" s="149"/>
      <c r="M4124" s="149"/>
      <c r="N4124" s="149"/>
    </row>
    <row r="4125" spans="11:14">
      <c r="K4125" s="149"/>
      <c r="L4125" s="149"/>
      <c r="M4125" s="149"/>
      <c r="N4125" s="149"/>
    </row>
    <row r="4126" spans="11:14">
      <c r="K4126" s="149"/>
      <c r="L4126" s="149"/>
      <c r="M4126" s="149"/>
      <c r="N4126" s="149"/>
    </row>
    <row r="4127" spans="11:14">
      <c r="K4127" s="149"/>
      <c r="L4127" s="149"/>
      <c r="M4127" s="149"/>
      <c r="N4127" s="149"/>
    </row>
    <row r="4128" spans="11:14">
      <c r="K4128" s="149"/>
      <c r="L4128" s="149"/>
      <c r="M4128" s="149"/>
      <c r="N4128" s="149"/>
    </row>
    <row r="4129" spans="11:14">
      <c r="K4129" s="149"/>
      <c r="L4129" s="149"/>
      <c r="M4129" s="149"/>
      <c r="N4129" s="149"/>
    </row>
    <row r="4130" spans="11:14">
      <c r="K4130" s="149"/>
      <c r="L4130" s="149"/>
      <c r="M4130" s="149"/>
      <c r="N4130" s="149"/>
    </row>
    <row r="4131" spans="11:14">
      <c r="K4131" s="149"/>
      <c r="L4131" s="149"/>
      <c r="M4131" s="149"/>
      <c r="N4131" s="149"/>
    </row>
    <row r="4132" spans="11:14">
      <c r="K4132" s="149"/>
      <c r="L4132" s="149"/>
      <c r="M4132" s="149"/>
      <c r="N4132" s="149"/>
    </row>
    <row r="4133" spans="11:14">
      <c r="K4133" s="149"/>
      <c r="L4133" s="149"/>
      <c r="M4133" s="149"/>
      <c r="N4133" s="149"/>
    </row>
    <row r="4134" spans="11:14">
      <c r="K4134" s="149"/>
      <c r="L4134" s="149"/>
      <c r="M4134" s="149"/>
      <c r="N4134" s="149"/>
    </row>
    <row r="4135" spans="11:14">
      <c r="K4135" s="149"/>
      <c r="L4135" s="149"/>
      <c r="M4135" s="149"/>
      <c r="N4135" s="149"/>
    </row>
    <row r="4136" spans="11:14">
      <c r="K4136" s="149"/>
      <c r="L4136" s="149"/>
      <c r="M4136" s="149"/>
      <c r="N4136" s="149"/>
    </row>
    <row r="4137" spans="11:14">
      <c r="K4137" s="149"/>
      <c r="L4137" s="149"/>
      <c r="M4137" s="149"/>
      <c r="N4137" s="149"/>
    </row>
    <row r="4138" spans="11:14">
      <c r="K4138" s="149"/>
      <c r="L4138" s="149"/>
      <c r="M4138" s="149"/>
      <c r="N4138" s="149"/>
    </row>
    <row r="4139" spans="11:14">
      <c r="K4139" s="149"/>
      <c r="L4139" s="149"/>
      <c r="M4139" s="149"/>
      <c r="N4139" s="149"/>
    </row>
    <row r="4140" spans="11:14">
      <c r="K4140" s="149"/>
      <c r="L4140" s="149"/>
      <c r="M4140" s="149"/>
      <c r="N4140" s="149"/>
    </row>
    <row r="4141" spans="11:14">
      <c r="K4141" s="149"/>
      <c r="L4141" s="149"/>
      <c r="M4141" s="149"/>
      <c r="N4141" s="149"/>
    </row>
    <row r="4142" spans="11:14">
      <c r="K4142" s="149"/>
      <c r="L4142" s="149"/>
      <c r="M4142" s="149"/>
      <c r="N4142" s="149"/>
    </row>
    <row r="4143" spans="11:14">
      <c r="K4143" s="149"/>
      <c r="L4143" s="149"/>
      <c r="M4143" s="149"/>
      <c r="N4143" s="149"/>
    </row>
    <row r="4144" spans="11:14">
      <c r="K4144" s="149"/>
      <c r="L4144" s="149"/>
      <c r="M4144" s="149"/>
      <c r="N4144" s="149"/>
    </row>
    <row r="4145" spans="11:14">
      <c r="K4145" s="149"/>
      <c r="L4145" s="149"/>
      <c r="M4145" s="149"/>
      <c r="N4145" s="149"/>
    </row>
    <row r="4146" spans="11:14">
      <c r="K4146" s="149"/>
      <c r="L4146" s="149"/>
      <c r="M4146" s="149"/>
      <c r="N4146" s="149"/>
    </row>
    <row r="4147" spans="11:14">
      <c r="K4147" s="149"/>
      <c r="L4147" s="149"/>
      <c r="M4147" s="149"/>
      <c r="N4147" s="149"/>
    </row>
    <row r="4148" spans="11:14">
      <c r="K4148" s="149"/>
      <c r="L4148" s="149"/>
      <c r="M4148" s="149"/>
      <c r="N4148" s="149"/>
    </row>
    <row r="4149" spans="11:14">
      <c r="K4149" s="149"/>
      <c r="L4149" s="149"/>
      <c r="M4149" s="149"/>
      <c r="N4149" s="149"/>
    </row>
    <row r="4150" spans="11:14">
      <c r="K4150" s="149"/>
      <c r="L4150" s="149"/>
      <c r="M4150" s="149"/>
      <c r="N4150" s="149"/>
    </row>
    <row r="4151" spans="11:14">
      <c r="K4151" s="149"/>
      <c r="L4151" s="149"/>
      <c r="M4151" s="149"/>
      <c r="N4151" s="149"/>
    </row>
    <row r="4152" spans="11:14">
      <c r="K4152" s="149"/>
      <c r="L4152" s="149"/>
      <c r="M4152" s="149"/>
      <c r="N4152" s="149"/>
    </row>
    <row r="4153" spans="11:14">
      <c r="K4153" s="149"/>
      <c r="L4153" s="149"/>
      <c r="M4153" s="149"/>
      <c r="N4153" s="149"/>
    </row>
    <row r="4154" spans="11:14">
      <c r="K4154" s="149"/>
      <c r="L4154" s="149"/>
      <c r="M4154" s="149"/>
      <c r="N4154" s="149"/>
    </row>
    <row r="4155" spans="11:14">
      <c r="K4155" s="149"/>
      <c r="L4155" s="149"/>
      <c r="M4155" s="149"/>
      <c r="N4155" s="149"/>
    </row>
    <row r="4156" spans="11:14">
      <c r="K4156" s="149"/>
      <c r="L4156" s="149"/>
      <c r="M4156" s="149"/>
      <c r="N4156" s="149"/>
    </row>
    <row r="4157" spans="11:14">
      <c r="K4157" s="149"/>
      <c r="L4157" s="149"/>
      <c r="M4157" s="149"/>
      <c r="N4157" s="149"/>
    </row>
    <row r="4158" spans="11:14">
      <c r="K4158" s="149"/>
      <c r="L4158" s="149"/>
      <c r="M4158" s="149"/>
      <c r="N4158" s="149"/>
    </row>
    <row r="4159" spans="11:14">
      <c r="K4159" s="149"/>
      <c r="L4159" s="149"/>
      <c r="M4159" s="149"/>
      <c r="N4159" s="149"/>
    </row>
    <row r="4160" spans="11:14">
      <c r="K4160" s="149"/>
      <c r="L4160" s="149"/>
      <c r="M4160" s="149"/>
      <c r="N4160" s="149"/>
    </row>
    <row r="4161" spans="11:14">
      <c r="K4161" s="149"/>
      <c r="L4161" s="149"/>
      <c r="M4161" s="149"/>
      <c r="N4161" s="149"/>
    </row>
    <row r="4162" spans="11:14">
      <c r="K4162" s="149"/>
      <c r="L4162" s="149"/>
      <c r="M4162" s="149"/>
      <c r="N4162" s="149"/>
    </row>
    <row r="4163" spans="11:14">
      <c r="K4163" s="149"/>
      <c r="L4163" s="149"/>
      <c r="M4163" s="149"/>
      <c r="N4163" s="149"/>
    </row>
    <row r="4164" spans="11:14">
      <c r="K4164" s="149"/>
      <c r="L4164" s="149"/>
      <c r="M4164" s="149"/>
      <c r="N4164" s="149"/>
    </row>
    <row r="4165" spans="11:14">
      <c r="K4165" s="149"/>
      <c r="L4165" s="149"/>
      <c r="M4165" s="149"/>
      <c r="N4165" s="149"/>
    </row>
    <row r="4166" spans="11:14">
      <c r="K4166" s="149"/>
      <c r="L4166" s="149"/>
      <c r="M4166" s="149"/>
      <c r="N4166" s="149"/>
    </row>
    <row r="4167" spans="11:14">
      <c r="K4167" s="149"/>
      <c r="L4167" s="149"/>
      <c r="M4167" s="149"/>
      <c r="N4167" s="149"/>
    </row>
    <row r="4168" spans="11:14">
      <c r="K4168" s="149"/>
      <c r="L4168" s="149"/>
      <c r="M4168" s="149"/>
      <c r="N4168" s="149"/>
    </row>
    <row r="4169" spans="11:14">
      <c r="K4169" s="149"/>
      <c r="L4169" s="149"/>
      <c r="M4169" s="149"/>
      <c r="N4169" s="149"/>
    </row>
    <row r="4170" spans="11:14">
      <c r="K4170" s="149"/>
      <c r="L4170" s="149"/>
      <c r="M4170" s="149"/>
      <c r="N4170" s="149"/>
    </row>
    <row r="4171" spans="11:14">
      <c r="K4171" s="149"/>
      <c r="L4171" s="149"/>
      <c r="M4171" s="149"/>
      <c r="N4171" s="149"/>
    </row>
    <row r="4172" spans="11:14">
      <c r="K4172" s="149"/>
      <c r="L4172" s="149"/>
      <c r="M4172" s="149"/>
      <c r="N4172" s="149"/>
    </row>
    <row r="4173" spans="11:14">
      <c r="K4173" s="149"/>
      <c r="L4173" s="149"/>
      <c r="M4173" s="149"/>
      <c r="N4173" s="149"/>
    </row>
    <row r="4174" spans="11:14">
      <c r="K4174" s="149"/>
      <c r="L4174" s="149"/>
      <c r="M4174" s="149"/>
      <c r="N4174" s="149"/>
    </row>
    <row r="4175" spans="11:14">
      <c r="K4175" s="149"/>
      <c r="L4175" s="149"/>
      <c r="M4175" s="149"/>
      <c r="N4175" s="149"/>
    </row>
    <row r="4176" spans="11:14">
      <c r="K4176" s="149"/>
      <c r="L4176" s="149"/>
      <c r="M4176" s="149"/>
      <c r="N4176" s="149"/>
    </row>
    <row r="4177" spans="11:14">
      <c r="K4177" s="149"/>
      <c r="L4177" s="149"/>
      <c r="M4177" s="149"/>
      <c r="N4177" s="149"/>
    </row>
    <row r="4178" spans="11:14">
      <c r="K4178" s="149"/>
      <c r="L4178" s="149"/>
      <c r="M4178" s="149"/>
      <c r="N4178" s="149"/>
    </row>
    <row r="4179" spans="11:14">
      <c r="K4179" s="149"/>
      <c r="L4179" s="149"/>
      <c r="M4179" s="149"/>
      <c r="N4179" s="149"/>
    </row>
    <row r="4180" spans="11:14">
      <c r="K4180" s="149"/>
      <c r="L4180" s="149"/>
      <c r="M4180" s="149"/>
      <c r="N4180" s="149"/>
    </row>
    <row r="4181" spans="11:14">
      <c r="K4181" s="149"/>
      <c r="L4181" s="149"/>
      <c r="M4181" s="149"/>
      <c r="N4181" s="149"/>
    </row>
    <row r="4182" spans="11:14">
      <c r="K4182" s="149"/>
      <c r="L4182" s="149"/>
      <c r="M4182" s="149"/>
      <c r="N4182" s="149"/>
    </row>
    <row r="4183" spans="11:14">
      <c r="K4183" s="149"/>
      <c r="L4183" s="149"/>
      <c r="M4183" s="149"/>
      <c r="N4183" s="149"/>
    </row>
    <row r="4184" spans="11:14">
      <c r="K4184" s="149"/>
      <c r="L4184" s="149"/>
      <c r="M4184" s="149"/>
      <c r="N4184" s="149"/>
    </row>
    <row r="4185" spans="11:14">
      <c r="K4185" s="149"/>
      <c r="L4185" s="149"/>
      <c r="M4185" s="149"/>
      <c r="N4185" s="149"/>
    </row>
    <row r="4186" spans="11:14">
      <c r="K4186" s="149"/>
      <c r="L4186" s="149"/>
      <c r="M4186" s="149"/>
      <c r="N4186" s="149"/>
    </row>
    <row r="4187" spans="11:14">
      <c r="K4187" s="149"/>
      <c r="L4187" s="149"/>
      <c r="M4187" s="149"/>
      <c r="N4187" s="149"/>
    </row>
    <row r="4188" spans="11:14">
      <c r="K4188" s="149"/>
      <c r="L4188" s="149"/>
      <c r="M4188" s="149"/>
      <c r="N4188" s="149"/>
    </row>
    <row r="4189" spans="11:14">
      <c r="K4189" s="149"/>
      <c r="L4189" s="149"/>
      <c r="M4189" s="149"/>
      <c r="N4189" s="149"/>
    </row>
    <row r="4190" spans="11:14">
      <c r="K4190" s="149"/>
      <c r="L4190" s="149"/>
      <c r="M4190" s="149"/>
      <c r="N4190" s="149"/>
    </row>
    <row r="4191" spans="11:14">
      <c r="K4191" s="149"/>
      <c r="L4191" s="149"/>
      <c r="M4191" s="149"/>
      <c r="N4191" s="149"/>
    </row>
    <row r="4192" spans="11:14">
      <c r="K4192" s="149"/>
      <c r="L4192" s="149"/>
      <c r="M4192" s="149"/>
      <c r="N4192" s="149"/>
    </row>
    <row r="4193" spans="11:14">
      <c r="K4193" s="149"/>
      <c r="L4193" s="149"/>
      <c r="M4193" s="149"/>
      <c r="N4193" s="149"/>
    </row>
    <row r="4194" spans="11:14">
      <c r="K4194" s="149"/>
      <c r="L4194" s="149"/>
      <c r="M4194" s="149"/>
      <c r="N4194" s="149"/>
    </row>
    <row r="4195" spans="11:14">
      <c r="K4195" s="149"/>
      <c r="L4195" s="149"/>
      <c r="M4195" s="149"/>
      <c r="N4195" s="149"/>
    </row>
    <row r="4196" spans="11:14">
      <c r="K4196" s="149"/>
      <c r="L4196" s="149"/>
      <c r="M4196" s="149"/>
      <c r="N4196" s="149"/>
    </row>
    <row r="4197" spans="11:14">
      <c r="K4197" s="149"/>
      <c r="L4197" s="149"/>
      <c r="M4197" s="149"/>
      <c r="N4197" s="149"/>
    </row>
    <row r="4198" spans="11:14">
      <c r="K4198" s="149"/>
      <c r="L4198" s="149"/>
      <c r="M4198" s="149"/>
      <c r="N4198" s="149"/>
    </row>
    <row r="4199" spans="11:14">
      <c r="K4199" s="149"/>
      <c r="L4199" s="149"/>
      <c r="M4199" s="149"/>
      <c r="N4199" s="149"/>
    </row>
    <row r="4200" spans="11:14">
      <c r="K4200" s="149"/>
      <c r="L4200" s="149"/>
      <c r="M4200" s="149"/>
      <c r="N4200" s="149"/>
    </row>
    <row r="4201" spans="11:14">
      <c r="K4201" s="149"/>
      <c r="L4201" s="149"/>
      <c r="M4201" s="149"/>
      <c r="N4201" s="149"/>
    </row>
    <row r="4202" spans="11:14">
      <c r="K4202" s="149"/>
      <c r="L4202" s="149"/>
      <c r="M4202" s="149"/>
      <c r="N4202" s="149"/>
    </row>
    <row r="4203" spans="11:14">
      <c r="K4203" s="149"/>
      <c r="L4203" s="149"/>
      <c r="M4203" s="149"/>
      <c r="N4203" s="149"/>
    </row>
    <row r="4204" spans="11:14">
      <c r="K4204" s="149"/>
      <c r="L4204" s="149"/>
      <c r="M4204" s="149"/>
      <c r="N4204" s="149"/>
    </row>
    <row r="4205" spans="11:14">
      <c r="K4205" s="149"/>
      <c r="L4205" s="149"/>
      <c r="M4205" s="149"/>
      <c r="N4205" s="149"/>
    </row>
    <row r="4206" spans="11:14">
      <c r="K4206" s="149"/>
      <c r="L4206" s="149"/>
      <c r="M4206" s="149"/>
      <c r="N4206" s="149"/>
    </row>
    <row r="4207" spans="11:14">
      <c r="K4207" s="149"/>
      <c r="L4207" s="149"/>
      <c r="M4207" s="149"/>
      <c r="N4207" s="149"/>
    </row>
    <row r="4208" spans="11:14">
      <c r="K4208" s="149"/>
      <c r="L4208" s="149"/>
      <c r="M4208" s="149"/>
      <c r="N4208" s="149"/>
    </row>
    <row r="4209" spans="11:14">
      <c r="K4209" s="149"/>
      <c r="L4209" s="149"/>
      <c r="M4209" s="149"/>
      <c r="N4209" s="149"/>
    </row>
    <row r="4210" spans="11:14">
      <c r="K4210" s="149"/>
      <c r="L4210" s="149"/>
      <c r="M4210" s="149"/>
      <c r="N4210" s="149"/>
    </row>
    <row r="4211" spans="11:14">
      <c r="K4211" s="149"/>
      <c r="L4211" s="149"/>
      <c r="M4211" s="149"/>
      <c r="N4211" s="149"/>
    </row>
    <row r="4212" spans="11:14">
      <c r="K4212" s="149"/>
      <c r="L4212" s="149"/>
      <c r="M4212" s="149"/>
      <c r="N4212" s="149"/>
    </row>
    <row r="4213" spans="11:14">
      <c r="K4213" s="149"/>
      <c r="L4213" s="149"/>
      <c r="M4213" s="149"/>
      <c r="N4213" s="149"/>
    </row>
    <row r="4214" spans="11:14">
      <c r="K4214" s="149"/>
      <c r="L4214" s="149"/>
      <c r="M4214" s="149"/>
      <c r="N4214" s="149"/>
    </row>
    <row r="4215" spans="11:14">
      <c r="K4215" s="149"/>
      <c r="L4215" s="149"/>
      <c r="M4215" s="149"/>
      <c r="N4215" s="149"/>
    </row>
    <row r="4216" spans="11:14">
      <c r="K4216" s="149"/>
      <c r="L4216" s="149"/>
      <c r="M4216" s="149"/>
      <c r="N4216" s="149"/>
    </row>
    <row r="4217" spans="11:14">
      <c r="K4217" s="149"/>
      <c r="L4217" s="149"/>
      <c r="M4217" s="149"/>
      <c r="N4217" s="149"/>
    </row>
    <row r="4218" spans="11:14">
      <c r="K4218" s="149"/>
      <c r="L4218" s="149"/>
      <c r="M4218" s="149"/>
      <c r="N4218" s="149"/>
    </row>
    <row r="4219" spans="11:14">
      <c r="K4219" s="149"/>
      <c r="L4219" s="149"/>
      <c r="M4219" s="149"/>
      <c r="N4219" s="149"/>
    </row>
    <row r="4220" spans="11:14">
      <c r="K4220" s="149"/>
      <c r="L4220" s="149"/>
      <c r="M4220" s="149"/>
      <c r="N4220" s="149"/>
    </row>
    <row r="4221" spans="11:14">
      <c r="K4221" s="149"/>
      <c r="L4221" s="149"/>
      <c r="M4221" s="149"/>
      <c r="N4221" s="149"/>
    </row>
    <row r="4222" spans="11:14">
      <c r="K4222" s="149"/>
      <c r="L4222" s="149"/>
      <c r="M4222" s="149"/>
      <c r="N4222" s="149"/>
    </row>
    <row r="4223" spans="11:14">
      <c r="K4223" s="149"/>
      <c r="L4223" s="149"/>
      <c r="M4223" s="149"/>
      <c r="N4223" s="149"/>
    </row>
    <row r="4224" spans="11:14">
      <c r="K4224" s="149"/>
      <c r="L4224" s="149"/>
      <c r="M4224" s="149"/>
      <c r="N4224" s="149"/>
    </row>
    <row r="4225" spans="11:14">
      <c r="K4225" s="149"/>
      <c r="L4225" s="149"/>
      <c r="M4225" s="149"/>
      <c r="N4225" s="149"/>
    </row>
    <row r="4226" spans="11:14">
      <c r="K4226" s="149"/>
      <c r="L4226" s="149"/>
      <c r="M4226" s="149"/>
      <c r="N4226" s="149"/>
    </row>
    <row r="4227" spans="11:14">
      <c r="K4227" s="149"/>
      <c r="L4227" s="149"/>
      <c r="M4227" s="149"/>
      <c r="N4227" s="149"/>
    </row>
    <row r="4228" spans="11:14">
      <c r="K4228" s="149"/>
      <c r="L4228" s="149"/>
      <c r="M4228" s="149"/>
      <c r="N4228" s="149"/>
    </row>
    <row r="4229" spans="11:14">
      <c r="K4229" s="149"/>
      <c r="L4229" s="149"/>
      <c r="M4229" s="149"/>
      <c r="N4229" s="149"/>
    </row>
    <row r="4230" spans="11:14">
      <c r="K4230" s="149"/>
      <c r="L4230" s="149"/>
      <c r="M4230" s="149"/>
      <c r="N4230" s="149"/>
    </row>
    <row r="4231" spans="11:14">
      <c r="K4231" s="149"/>
      <c r="L4231" s="149"/>
      <c r="M4231" s="149"/>
      <c r="N4231" s="149"/>
    </row>
    <row r="4232" spans="11:14">
      <c r="K4232" s="149"/>
      <c r="L4232" s="149"/>
      <c r="M4232" s="149"/>
      <c r="N4232" s="149"/>
    </row>
    <row r="4233" spans="11:14">
      <c r="K4233" s="149"/>
      <c r="L4233" s="149"/>
      <c r="M4233" s="149"/>
      <c r="N4233" s="149"/>
    </row>
    <row r="4234" spans="11:14">
      <c r="K4234" s="149"/>
      <c r="L4234" s="149"/>
      <c r="M4234" s="149"/>
      <c r="N4234" s="149"/>
    </row>
    <row r="4235" spans="11:14">
      <c r="K4235" s="149"/>
      <c r="L4235" s="149"/>
      <c r="M4235" s="149"/>
      <c r="N4235" s="149"/>
    </row>
    <row r="4236" spans="11:14">
      <c r="K4236" s="149"/>
      <c r="L4236" s="149"/>
      <c r="M4236" s="149"/>
      <c r="N4236" s="149"/>
    </row>
    <row r="4237" spans="11:14">
      <c r="K4237" s="149"/>
      <c r="L4237" s="149"/>
      <c r="M4237" s="149"/>
      <c r="N4237" s="149"/>
    </row>
    <row r="4238" spans="11:14">
      <c r="K4238" s="149"/>
      <c r="L4238" s="149"/>
      <c r="M4238" s="149"/>
      <c r="N4238" s="149"/>
    </row>
    <row r="4239" spans="11:14">
      <c r="K4239" s="149"/>
      <c r="L4239" s="149"/>
      <c r="M4239" s="149"/>
      <c r="N4239" s="149"/>
    </row>
    <row r="4240" spans="11:14">
      <c r="K4240" s="149"/>
      <c r="L4240" s="149"/>
      <c r="M4240" s="149"/>
      <c r="N4240" s="149"/>
    </row>
    <row r="4241" spans="11:14">
      <c r="K4241" s="149"/>
      <c r="L4241" s="149"/>
      <c r="M4241" s="149"/>
      <c r="N4241" s="149"/>
    </row>
    <row r="4242" spans="11:14">
      <c r="K4242" s="149"/>
      <c r="L4242" s="149"/>
      <c r="M4242" s="149"/>
      <c r="N4242" s="149"/>
    </row>
    <row r="4243" spans="11:14">
      <c r="K4243" s="149"/>
      <c r="L4243" s="149"/>
      <c r="M4243" s="149"/>
      <c r="N4243" s="149"/>
    </row>
    <row r="4244" spans="11:14">
      <c r="K4244" s="149"/>
      <c r="L4244" s="149"/>
      <c r="M4244" s="149"/>
      <c r="N4244" s="149"/>
    </row>
    <row r="4245" spans="11:14">
      <c r="K4245" s="149"/>
      <c r="L4245" s="149"/>
      <c r="M4245" s="149"/>
      <c r="N4245" s="149"/>
    </row>
    <row r="4246" spans="11:14">
      <c r="K4246" s="149"/>
      <c r="L4246" s="149"/>
      <c r="M4246" s="149"/>
      <c r="N4246" s="149"/>
    </row>
    <row r="4247" spans="11:14">
      <c r="K4247" s="149"/>
      <c r="L4247" s="149"/>
      <c r="M4247" s="149"/>
      <c r="N4247" s="149"/>
    </row>
    <row r="4248" spans="11:14">
      <c r="K4248" s="149"/>
      <c r="L4248" s="149"/>
      <c r="M4248" s="149"/>
      <c r="N4248" s="149"/>
    </row>
    <row r="4249" spans="11:14">
      <c r="K4249" s="149"/>
      <c r="L4249" s="149"/>
      <c r="M4249" s="149"/>
      <c r="N4249" s="149"/>
    </row>
    <row r="4250" spans="11:14">
      <c r="K4250" s="149"/>
      <c r="L4250" s="149"/>
      <c r="M4250" s="149"/>
      <c r="N4250" s="149"/>
    </row>
    <row r="4251" spans="11:14">
      <c r="K4251" s="149"/>
      <c r="L4251" s="149"/>
      <c r="M4251" s="149"/>
      <c r="N4251" s="149"/>
    </row>
    <row r="4252" spans="11:14">
      <c r="K4252" s="149"/>
      <c r="L4252" s="149"/>
      <c r="M4252" s="149"/>
      <c r="N4252" s="149"/>
    </row>
    <row r="4253" spans="11:14">
      <c r="K4253" s="149"/>
      <c r="L4253" s="149"/>
      <c r="M4253" s="149"/>
      <c r="N4253" s="149"/>
    </row>
    <row r="4254" spans="11:14">
      <c r="K4254" s="149"/>
      <c r="L4254" s="149"/>
      <c r="M4254" s="149"/>
      <c r="N4254" s="149"/>
    </row>
    <row r="4255" spans="11:14">
      <c r="K4255" s="149"/>
      <c r="L4255" s="149"/>
      <c r="M4255" s="149"/>
      <c r="N4255" s="149"/>
    </row>
    <row r="4256" spans="11:14">
      <c r="K4256" s="149"/>
      <c r="L4256" s="149"/>
      <c r="M4256" s="149"/>
      <c r="N4256" s="149"/>
    </row>
    <row r="4257" spans="11:14">
      <c r="K4257" s="149"/>
      <c r="L4257" s="149"/>
      <c r="M4257" s="149"/>
      <c r="N4257" s="149"/>
    </row>
    <row r="4258" spans="11:14">
      <c r="K4258" s="149"/>
      <c r="L4258" s="149"/>
      <c r="M4258" s="149"/>
      <c r="N4258" s="149"/>
    </row>
    <row r="4259" spans="11:14">
      <c r="K4259" s="149"/>
      <c r="L4259" s="149"/>
      <c r="M4259" s="149"/>
      <c r="N4259" s="149"/>
    </row>
    <row r="4260" spans="11:14">
      <c r="K4260" s="149"/>
      <c r="L4260" s="149"/>
      <c r="M4260" s="149"/>
      <c r="N4260" s="149"/>
    </row>
    <row r="4261" spans="11:14">
      <c r="K4261" s="149"/>
      <c r="L4261" s="149"/>
      <c r="M4261" s="149"/>
      <c r="N4261" s="149"/>
    </row>
    <row r="4262" spans="11:14">
      <c r="K4262" s="149"/>
      <c r="L4262" s="149"/>
      <c r="M4262" s="149"/>
      <c r="N4262" s="149"/>
    </row>
    <row r="4263" spans="11:14">
      <c r="K4263" s="149"/>
      <c r="L4263" s="149"/>
      <c r="M4263" s="149"/>
      <c r="N4263" s="149"/>
    </row>
    <row r="4264" spans="11:14">
      <c r="K4264" s="149"/>
      <c r="L4264" s="149"/>
      <c r="M4264" s="149"/>
      <c r="N4264" s="149"/>
    </row>
    <row r="4265" spans="11:14">
      <c r="K4265" s="149"/>
      <c r="L4265" s="149"/>
      <c r="M4265" s="149"/>
      <c r="N4265" s="149"/>
    </row>
    <row r="4266" spans="11:14">
      <c r="K4266" s="149"/>
      <c r="L4266" s="149"/>
      <c r="M4266" s="149"/>
      <c r="N4266" s="149"/>
    </row>
    <row r="4267" spans="11:14">
      <c r="K4267" s="149"/>
      <c r="L4267" s="149"/>
      <c r="M4267" s="149"/>
      <c r="N4267" s="149"/>
    </row>
    <row r="4268" spans="11:14">
      <c r="K4268" s="149"/>
      <c r="L4268" s="149"/>
      <c r="M4268" s="149"/>
      <c r="N4268" s="149"/>
    </row>
    <row r="4269" spans="11:14">
      <c r="K4269" s="149"/>
      <c r="L4269" s="149"/>
      <c r="M4269" s="149"/>
      <c r="N4269" s="149"/>
    </row>
    <row r="4270" spans="11:14">
      <c r="K4270" s="149"/>
      <c r="L4270" s="149"/>
      <c r="M4270" s="149"/>
      <c r="N4270" s="149"/>
    </row>
    <row r="4271" spans="11:14">
      <c r="K4271" s="149"/>
      <c r="L4271" s="149"/>
      <c r="M4271" s="149"/>
      <c r="N4271" s="149"/>
    </row>
    <row r="4272" spans="11:14">
      <c r="K4272" s="149"/>
      <c r="L4272" s="149"/>
      <c r="M4272" s="149"/>
      <c r="N4272" s="149"/>
    </row>
    <row r="4273" spans="11:14">
      <c r="K4273" s="149"/>
      <c r="L4273" s="149"/>
      <c r="M4273" s="149"/>
      <c r="N4273" s="149"/>
    </row>
    <row r="4274" spans="11:14">
      <c r="K4274" s="149"/>
      <c r="L4274" s="149"/>
      <c r="M4274" s="149"/>
      <c r="N4274" s="149"/>
    </row>
    <row r="4275" spans="11:14">
      <c r="K4275" s="149"/>
      <c r="L4275" s="149"/>
      <c r="M4275" s="149"/>
      <c r="N4275" s="149"/>
    </row>
    <row r="4276" spans="11:14">
      <c r="K4276" s="149"/>
      <c r="L4276" s="149"/>
      <c r="M4276" s="149"/>
      <c r="N4276" s="149"/>
    </row>
    <row r="4277" spans="11:14">
      <c r="K4277" s="149"/>
      <c r="L4277" s="149"/>
      <c r="M4277" s="149"/>
      <c r="N4277" s="149"/>
    </row>
    <row r="4278" spans="11:14">
      <c r="K4278" s="149"/>
      <c r="L4278" s="149"/>
      <c r="M4278" s="149"/>
      <c r="N4278" s="149"/>
    </row>
    <row r="4279" spans="11:14">
      <c r="K4279" s="149"/>
      <c r="L4279" s="149"/>
      <c r="M4279" s="149"/>
      <c r="N4279" s="149"/>
    </row>
    <row r="4280" spans="11:14">
      <c r="K4280" s="149"/>
      <c r="L4280" s="149"/>
      <c r="M4280" s="149"/>
      <c r="N4280" s="149"/>
    </row>
    <row r="4281" spans="11:14">
      <c r="K4281" s="149"/>
      <c r="L4281" s="149"/>
      <c r="M4281" s="149"/>
      <c r="N4281" s="149"/>
    </row>
    <row r="4282" spans="11:14">
      <c r="K4282" s="149"/>
      <c r="L4282" s="149"/>
      <c r="M4282" s="149"/>
      <c r="N4282" s="149"/>
    </row>
    <row r="4283" spans="11:14">
      <c r="K4283" s="149"/>
      <c r="L4283" s="149"/>
      <c r="M4283" s="149"/>
      <c r="N4283" s="149"/>
    </row>
    <row r="4284" spans="11:14">
      <c r="K4284" s="149"/>
      <c r="L4284" s="149"/>
      <c r="M4284" s="149"/>
      <c r="N4284" s="149"/>
    </row>
    <row r="4285" spans="11:14">
      <c r="K4285" s="149"/>
      <c r="L4285" s="149"/>
      <c r="M4285" s="149"/>
      <c r="N4285" s="149"/>
    </row>
    <row r="4286" spans="11:14">
      <c r="K4286" s="149"/>
      <c r="L4286" s="149"/>
      <c r="M4286" s="149"/>
      <c r="N4286" s="149"/>
    </row>
    <row r="4287" spans="11:14">
      <c r="K4287" s="149"/>
      <c r="L4287" s="149"/>
      <c r="M4287" s="149"/>
      <c r="N4287" s="149"/>
    </row>
    <row r="4288" spans="11:14">
      <c r="K4288" s="149"/>
      <c r="L4288" s="149"/>
      <c r="M4288" s="149"/>
      <c r="N4288" s="149"/>
    </row>
    <row r="4289" spans="11:14">
      <c r="K4289" s="149"/>
      <c r="L4289" s="149"/>
      <c r="M4289" s="149"/>
      <c r="N4289" s="149"/>
    </row>
    <row r="4290" spans="11:14">
      <c r="K4290" s="149"/>
      <c r="L4290" s="149"/>
      <c r="M4290" s="149"/>
      <c r="N4290" s="149"/>
    </row>
    <row r="4291" spans="11:14">
      <c r="K4291" s="149"/>
      <c r="L4291" s="149"/>
      <c r="M4291" s="149"/>
      <c r="N4291" s="149"/>
    </row>
    <row r="4292" spans="11:14">
      <c r="K4292" s="149"/>
      <c r="L4292" s="149"/>
      <c r="M4292" s="149"/>
      <c r="N4292" s="149"/>
    </row>
    <row r="4293" spans="11:14">
      <c r="K4293" s="149"/>
      <c r="L4293" s="149"/>
      <c r="M4293" s="149"/>
      <c r="N4293" s="149"/>
    </row>
    <row r="4294" spans="11:14">
      <c r="K4294" s="149"/>
      <c r="L4294" s="149"/>
      <c r="M4294" s="149"/>
      <c r="N4294" s="149"/>
    </row>
    <row r="4295" spans="11:14">
      <c r="K4295" s="149"/>
      <c r="L4295" s="149"/>
      <c r="M4295" s="149"/>
      <c r="N4295" s="149"/>
    </row>
    <row r="4296" spans="11:14">
      <c r="K4296" s="149"/>
      <c r="L4296" s="149"/>
      <c r="M4296" s="149"/>
      <c r="N4296" s="149"/>
    </row>
    <row r="4297" spans="11:14">
      <c r="K4297" s="149"/>
      <c r="L4297" s="149"/>
      <c r="M4297" s="149"/>
      <c r="N4297" s="149"/>
    </row>
    <row r="4298" spans="11:14">
      <c r="K4298" s="149"/>
      <c r="L4298" s="149"/>
      <c r="M4298" s="149"/>
      <c r="N4298" s="149"/>
    </row>
    <row r="4299" spans="11:14">
      <c r="K4299" s="149"/>
      <c r="L4299" s="149"/>
      <c r="M4299" s="149"/>
      <c r="N4299" s="149"/>
    </row>
    <row r="4300" spans="11:14">
      <c r="K4300" s="149"/>
      <c r="L4300" s="149"/>
      <c r="M4300" s="149"/>
      <c r="N4300" s="149"/>
    </row>
    <row r="4301" spans="11:14">
      <c r="K4301" s="149"/>
      <c r="L4301" s="149"/>
      <c r="M4301" s="149"/>
      <c r="N4301" s="149"/>
    </row>
    <row r="4302" spans="11:14">
      <c r="K4302" s="149"/>
      <c r="L4302" s="149"/>
      <c r="M4302" s="149"/>
      <c r="N4302" s="149"/>
    </row>
    <row r="4303" spans="11:14">
      <c r="K4303" s="149"/>
      <c r="L4303" s="149"/>
      <c r="M4303" s="149"/>
      <c r="N4303" s="149"/>
    </row>
    <row r="4304" spans="11:14">
      <c r="K4304" s="149"/>
      <c r="L4304" s="149"/>
      <c r="M4304" s="149"/>
      <c r="N4304" s="149"/>
    </row>
    <row r="4305" spans="11:14">
      <c r="K4305" s="149"/>
      <c r="L4305" s="149"/>
      <c r="M4305" s="149"/>
      <c r="N4305" s="149"/>
    </row>
    <row r="4306" spans="11:14">
      <c r="K4306" s="149"/>
      <c r="L4306" s="149"/>
      <c r="M4306" s="149"/>
      <c r="N4306" s="149"/>
    </row>
    <row r="4307" spans="11:14">
      <c r="K4307" s="149"/>
      <c r="L4307" s="149"/>
      <c r="M4307" s="149"/>
      <c r="N4307" s="149"/>
    </row>
    <row r="4308" spans="11:14">
      <c r="K4308" s="149"/>
      <c r="L4308" s="149"/>
      <c r="M4308" s="149"/>
      <c r="N4308" s="149"/>
    </row>
    <row r="4309" spans="11:14">
      <c r="K4309" s="149"/>
      <c r="L4309" s="149"/>
      <c r="M4309" s="149"/>
      <c r="N4309" s="149"/>
    </row>
    <row r="4310" spans="11:14">
      <c r="K4310" s="149"/>
      <c r="L4310" s="149"/>
      <c r="M4310" s="149"/>
      <c r="N4310" s="149"/>
    </row>
    <row r="4311" spans="11:14">
      <c r="K4311" s="149"/>
      <c r="L4311" s="149"/>
      <c r="M4311" s="149"/>
      <c r="N4311" s="149"/>
    </row>
    <row r="4312" spans="11:14">
      <c r="K4312" s="149"/>
      <c r="L4312" s="149"/>
      <c r="M4312" s="149"/>
      <c r="N4312" s="149"/>
    </row>
    <row r="4313" spans="11:14">
      <c r="K4313" s="149"/>
      <c r="L4313" s="149"/>
      <c r="M4313" s="149"/>
      <c r="N4313" s="149"/>
    </row>
    <row r="4314" spans="11:14">
      <c r="K4314" s="149"/>
      <c r="L4314" s="149"/>
      <c r="M4314" s="149"/>
      <c r="N4314" s="149"/>
    </row>
    <row r="4315" spans="11:14">
      <c r="K4315" s="149"/>
      <c r="L4315" s="149"/>
      <c r="M4315" s="149"/>
      <c r="N4315" s="149"/>
    </row>
    <row r="4316" spans="11:14">
      <c r="K4316" s="149"/>
      <c r="L4316" s="149"/>
      <c r="M4316" s="149"/>
      <c r="N4316" s="149"/>
    </row>
    <row r="4317" spans="11:14">
      <c r="K4317" s="149"/>
      <c r="L4317" s="149"/>
      <c r="M4317" s="149"/>
      <c r="N4317" s="149"/>
    </row>
    <row r="4318" spans="11:14">
      <c r="K4318" s="149"/>
      <c r="L4318" s="149"/>
      <c r="M4318" s="149"/>
      <c r="N4318" s="149"/>
    </row>
    <row r="4319" spans="11:14">
      <c r="K4319" s="149"/>
      <c r="L4319" s="149"/>
      <c r="M4319" s="149"/>
      <c r="N4319" s="149"/>
    </row>
    <row r="4320" spans="11:14">
      <c r="K4320" s="149"/>
      <c r="L4320" s="149"/>
      <c r="M4320" s="149"/>
      <c r="N4320" s="149"/>
    </row>
    <row r="4321" spans="11:14">
      <c r="K4321" s="149"/>
      <c r="L4321" s="149"/>
      <c r="M4321" s="149"/>
      <c r="N4321" s="149"/>
    </row>
    <row r="4322" spans="11:14">
      <c r="K4322" s="149"/>
      <c r="L4322" s="149"/>
      <c r="M4322" s="149"/>
      <c r="N4322" s="149"/>
    </row>
    <row r="4323" spans="11:14">
      <c r="K4323" s="149"/>
      <c r="L4323" s="149"/>
      <c r="M4323" s="149"/>
      <c r="N4323" s="149"/>
    </row>
    <row r="4324" spans="11:14">
      <c r="K4324" s="149"/>
      <c r="L4324" s="149"/>
      <c r="M4324" s="149"/>
      <c r="N4324" s="149"/>
    </row>
    <row r="4325" spans="11:14">
      <c r="K4325" s="149"/>
      <c r="L4325" s="149"/>
      <c r="M4325" s="149"/>
      <c r="N4325" s="149"/>
    </row>
    <row r="4326" spans="11:14">
      <c r="K4326" s="149"/>
      <c r="L4326" s="149"/>
      <c r="M4326" s="149"/>
      <c r="N4326" s="149"/>
    </row>
    <row r="4327" spans="11:14">
      <c r="K4327" s="149"/>
      <c r="L4327" s="149"/>
      <c r="M4327" s="149"/>
      <c r="N4327" s="149"/>
    </row>
    <row r="4328" spans="11:14">
      <c r="K4328" s="149"/>
      <c r="L4328" s="149"/>
      <c r="M4328" s="149"/>
      <c r="N4328" s="149"/>
    </row>
    <row r="4329" spans="11:14">
      <c r="K4329" s="149"/>
      <c r="L4329" s="149"/>
      <c r="M4329" s="149"/>
      <c r="N4329" s="149"/>
    </row>
    <row r="4330" spans="11:14">
      <c r="K4330" s="149"/>
      <c r="L4330" s="149"/>
      <c r="M4330" s="149"/>
      <c r="N4330" s="149"/>
    </row>
    <row r="4331" spans="11:14">
      <c r="K4331" s="149"/>
      <c r="L4331" s="149"/>
      <c r="M4331" s="149"/>
      <c r="N4331" s="149"/>
    </row>
    <row r="4332" spans="11:14">
      <c r="K4332" s="149"/>
      <c r="L4332" s="149"/>
      <c r="M4332" s="149"/>
      <c r="N4332" s="149"/>
    </row>
    <row r="4333" spans="11:14">
      <c r="K4333" s="149"/>
      <c r="L4333" s="149"/>
      <c r="M4333" s="149"/>
      <c r="N4333" s="149"/>
    </row>
    <row r="4334" spans="11:14">
      <c r="K4334" s="149"/>
      <c r="L4334" s="149"/>
      <c r="M4334" s="149"/>
      <c r="N4334" s="149"/>
    </row>
    <row r="4335" spans="11:14">
      <c r="K4335" s="149"/>
      <c r="L4335" s="149"/>
      <c r="M4335" s="149"/>
      <c r="N4335" s="149"/>
    </row>
    <row r="4336" spans="11:14">
      <c r="K4336" s="149"/>
      <c r="L4336" s="149"/>
      <c r="M4336" s="149"/>
      <c r="N4336" s="149"/>
    </row>
    <row r="4337" spans="11:14">
      <c r="K4337" s="149"/>
      <c r="L4337" s="149"/>
      <c r="M4337" s="149"/>
      <c r="N4337" s="149"/>
    </row>
    <row r="4338" spans="11:14">
      <c r="K4338" s="149"/>
      <c r="L4338" s="149"/>
      <c r="M4338" s="149"/>
      <c r="N4338" s="149"/>
    </row>
    <row r="4339" spans="11:14">
      <c r="K4339" s="149"/>
      <c r="L4339" s="149"/>
      <c r="M4339" s="149"/>
      <c r="N4339" s="149"/>
    </row>
    <row r="4340" spans="11:14">
      <c r="K4340" s="149"/>
      <c r="L4340" s="149"/>
      <c r="M4340" s="149"/>
      <c r="N4340" s="149"/>
    </row>
    <row r="4341" spans="11:14">
      <c r="K4341" s="149"/>
      <c r="L4341" s="149"/>
      <c r="M4341" s="149"/>
      <c r="N4341" s="149"/>
    </row>
    <row r="4342" spans="11:14">
      <c r="K4342" s="149"/>
      <c r="L4342" s="149"/>
      <c r="M4342" s="149"/>
      <c r="N4342" s="149"/>
    </row>
    <row r="4343" spans="11:14">
      <c r="K4343" s="149"/>
      <c r="L4343" s="149"/>
      <c r="M4343" s="149"/>
      <c r="N4343" s="149"/>
    </row>
    <row r="4344" spans="11:14">
      <c r="K4344" s="149"/>
      <c r="L4344" s="149"/>
      <c r="M4344" s="149"/>
      <c r="N4344" s="149"/>
    </row>
    <row r="4345" spans="11:14">
      <c r="K4345" s="149"/>
      <c r="L4345" s="149"/>
      <c r="M4345" s="149"/>
      <c r="N4345" s="149"/>
    </row>
    <row r="4346" spans="11:14">
      <c r="K4346" s="149"/>
      <c r="L4346" s="149"/>
      <c r="M4346" s="149"/>
      <c r="N4346" s="149"/>
    </row>
    <row r="4347" spans="11:14">
      <c r="K4347" s="149"/>
      <c r="L4347" s="149"/>
      <c r="M4347" s="149"/>
      <c r="N4347" s="149"/>
    </row>
    <row r="4348" spans="11:14">
      <c r="K4348" s="149"/>
      <c r="L4348" s="149"/>
      <c r="M4348" s="149"/>
      <c r="N4348" s="149"/>
    </row>
    <row r="4349" spans="11:14">
      <c r="K4349" s="149"/>
      <c r="L4349" s="149"/>
      <c r="M4349" s="149"/>
      <c r="N4349" s="149"/>
    </row>
    <row r="4350" spans="11:14">
      <c r="K4350" s="149"/>
      <c r="L4350" s="149"/>
      <c r="M4350" s="149"/>
      <c r="N4350" s="149"/>
    </row>
    <row r="4351" spans="11:14">
      <c r="K4351" s="149"/>
      <c r="L4351" s="149"/>
      <c r="M4351" s="149"/>
      <c r="N4351" s="149"/>
    </row>
    <row r="4352" spans="11:14">
      <c r="K4352" s="149"/>
      <c r="L4352" s="149"/>
      <c r="M4352" s="149"/>
      <c r="N4352" s="149"/>
    </row>
    <row r="4353" spans="9:14">
      <c r="K4353" s="149"/>
      <c r="L4353" s="149"/>
      <c r="M4353" s="149"/>
      <c r="N4353" s="149"/>
    </row>
    <row r="4354" spans="9:14">
      <c r="K4354" s="149"/>
      <c r="L4354" s="149"/>
      <c r="M4354" s="149"/>
      <c r="N4354" s="149"/>
    </row>
    <row r="4355" spans="9:14">
      <c r="K4355" s="149"/>
      <c r="L4355" s="149"/>
      <c r="M4355" s="149"/>
      <c r="N4355" s="149"/>
    </row>
    <row r="4356" spans="9:14">
      <c r="K4356" s="149"/>
      <c r="L4356" s="149"/>
      <c r="M4356" s="149"/>
      <c r="N4356" s="149"/>
    </row>
    <row r="4357" spans="9:14">
      <c r="K4357" s="149"/>
      <c r="L4357" s="149"/>
      <c r="M4357" s="149"/>
      <c r="N4357" s="149"/>
    </row>
    <row r="4358" spans="9:14">
      <c r="K4358" s="149"/>
      <c r="L4358" s="149"/>
      <c r="M4358" s="149"/>
      <c r="N4358" s="149"/>
    </row>
    <row r="4359" spans="9:14">
      <c r="K4359" s="149"/>
      <c r="L4359" s="149"/>
      <c r="M4359" s="149"/>
      <c r="N4359" s="149"/>
    </row>
    <row r="4360" spans="9:14">
      <c r="K4360" s="149"/>
      <c r="L4360" s="149"/>
      <c r="M4360" s="149"/>
      <c r="N4360" s="149"/>
    </row>
    <row r="4361" spans="9:14">
      <c r="K4361" s="149"/>
      <c r="L4361" s="149"/>
      <c r="M4361" s="149"/>
      <c r="N4361" s="149"/>
    </row>
    <row r="4362" spans="9:14">
      <c r="K4362" s="149"/>
      <c r="L4362" s="149"/>
      <c r="M4362" s="149"/>
      <c r="N4362" s="149"/>
    </row>
    <row r="4363" spans="9:14">
      <c r="I4363" s="2"/>
      <c r="K4363" s="149"/>
      <c r="L4363" s="149"/>
      <c r="M4363" s="149"/>
      <c r="N4363" s="149"/>
    </row>
    <row r="4364" spans="9:14">
      <c r="K4364" s="149"/>
      <c r="L4364" s="149"/>
      <c r="M4364" s="149"/>
      <c r="N4364" s="149"/>
    </row>
    <row r="4365" spans="9:14">
      <c r="K4365" s="149"/>
      <c r="L4365" s="149"/>
      <c r="M4365" s="149"/>
      <c r="N4365" s="149"/>
    </row>
    <row r="4366" spans="9:14">
      <c r="K4366" s="149"/>
      <c r="L4366" s="149"/>
      <c r="M4366" s="149"/>
      <c r="N4366" s="149"/>
    </row>
    <row r="4367" spans="9:14">
      <c r="K4367" s="149"/>
      <c r="L4367" s="149"/>
      <c r="M4367" s="149"/>
      <c r="N4367" s="149"/>
    </row>
    <row r="4368" spans="9:14">
      <c r="K4368" s="149"/>
      <c r="L4368" s="149"/>
      <c r="M4368" s="149"/>
      <c r="N4368" s="149"/>
    </row>
    <row r="4369" spans="11:14">
      <c r="K4369" s="149"/>
      <c r="L4369" s="149"/>
      <c r="M4369" s="149"/>
      <c r="N4369" s="149"/>
    </row>
    <row r="4370" spans="11:14">
      <c r="K4370" s="149"/>
      <c r="L4370" s="149"/>
      <c r="M4370" s="149"/>
      <c r="N4370" s="149"/>
    </row>
    <row r="4371" spans="11:14">
      <c r="K4371" s="149"/>
      <c r="L4371" s="149"/>
      <c r="M4371" s="149"/>
      <c r="N4371" s="149"/>
    </row>
    <row r="4372" spans="11:14">
      <c r="K4372" s="149"/>
      <c r="L4372" s="149"/>
      <c r="M4372" s="149"/>
      <c r="N4372" s="149"/>
    </row>
    <row r="4373" spans="11:14">
      <c r="K4373" s="149"/>
      <c r="L4373" s="149"/>
      <c r="M4373" s="149"/>
      <c r="N4373" s="149"/>
    </row>
    <row r="4374" spans="11:14">
      <c r="K4374" s="149"/>
      <c r="L4374" s="149"/>
      <c r="M4374" s="149"/>
      <c r="N4374" s="149"/>
    </row>
    <row r="4375" spans="11:14">
      <c r="K4375" s="149"/>
      <c r="L4375" s="149"/>
      <c r="M4375" s="149"/>
      <c r="N4375" s="149"/>
    </row>
    <row r="4376" spans="11:14">
      <c r="K4376" s="149"/>
      <c r="L4376" s="149"/>
      <c r="M4376" s="149"/>
      <c r="N4376" s="149"/>
    </row>
    <row r="4377" spans="11:14">
      <c r="K4377" s="149"/>
      <c r="L4377" s="149"/>
      <c r="M4377" s="149"/>
      <c r="N4377" s="149"/>
    </row>
    <row r="4378" spans="11:14">
      <c r="K4378" s="149"/>
      <c r="L4378" s="149"/>
      <c r="M4378" s="149"/>
      <c r="N4378" s="149"/>
    </row>
    <row r="4379" spans="11:14">
      <c r="K4379" s="149"/>
      <c r="L4379" s="149"/>
      <c r="M4379" s="149"/>
      <c r="N4379" s="149"/>
    </row>
    <row r="4380" spans="11:14">
      <c r="K4380" s="149"/>
      <c r="L4380" s="149"/>
      <c r="M4380" s="149"/>
      <c r="N4380" s="149"/>
    </row>
    <row r="4381" spans="11:14">
      <c r="K4381" s="149"/>
      <c r="L4381" s="149"/>
      <c r="M4381" s="149"/>
      <c r="N4381" s="149"/>
    </row>
    <row r="4382" spans="11:14">
      <c r="K4382" s="149"/>
      <c r="L4382" s="149"/>
      <c r="M4382" s="149"/>
      <c r="N4382" s="149"/>
    </row>
    <row r="4383" spans="11:14">
      <c r="K4383" s="149"/>
      <c r="L4383" s="149"/>
      <c r="M4383" s="149"/>
      <c r="N4383" s="149"/>
    </row>
    <row r="4384" spans="11:14">
      <c r="K4384" s="149"/>
      <c r="L4384" s="149"/>
      <c r="M4384" s="149"/>
      <c r="N4384" s="149"/>
    </row>
    <row r="4385" spans="9:14">
      <c r="K4385" s="149"/>
      <c r="L4385" s="149"/>
      <c r="M4385" s="149"/>
      <c r="N4385" s="149"/>
    </row>
    <row r="4386" spans="9:14">
      <c r="K4386" s="149"/>
      <c r="L4386" s="149"/>
      <c r="M4386" s="149"/>
      <c r="N4386" s="149"/>
    </row>
    <row r="4387" spans="9:14">
      <c r="K4387" s="149"/>
      <c r="L4387" s="149"/>
      <c r="M4387" s="149"/>
      <c r="N4387" s="149"/>
    </row>
    <row r="4388" spans="9:14">
      <c r="K4388" s="149"/>
      <c r="L4388" s="149"/>
      <c r="M4388" s="149"/>
      <c r="N4388" s="149"/>
    </row>
    <row r="4389" spans="9:14">
      <c r="K4389" s="149"/>
      <c r="L4389" s="149"/>
      <c r="M4389" s="149"/>
      <c r="N4389" s="149"/>
    </row>
    <row r="4390" spans="9:14">
      <c r="K4390" s="149"/>
      <c r="L4390" s="149"/>
      <c r="M4390" s="149"/>
      <c r="N4390" s="149"/>
    </row>
    <row r="4391" spans="9:14">
      <c r="K4391" s="149"/>
      <c r="L4391" s="149"/>
      <c r="M4391" s="149"/>
      <c r="N4391" s="149"/>
    </row>
    <row r="4392" spans="9:14">
      <c r="K4392" s="149"/>
      <c r="L4392" s="149"/>
      <c r="M4392" s="149"/>
      <c r="N4392" s="149"/>
    </row>
    <row r="4393" spans="9:14">
      <c r="K4393" s="149"/>
      <c r="L4393" s="149"/>
      <c r="M4393" s="149"/>
      <c r="N4393" s="149"/>
    </row>
    <row r="4394" spans="9:14">
      <c r="K4394" s="149"/>
      <c r="L4394" s="149"/>
      <c r="M4394" s="149"/>
      <c r="N4394" s="149"/>
    </row>
    <row r="4395" spans="9:14">
      <c r="I4395" s="2"/>
      <c r="K4395" s="149"/>
      <c r="L4395" s="149"/>
      <c r="M4395" s="149"/>
      <c r="N4395" s="149"/>
    </row>
    <row r="4396" spans="9:14">
      <c r="I4396" s="2"/>
      <c r="K4396" s="149"/>
      <c r="L4396" s="149"/>
      <c r="M4396" s="149"/>
      <c r="N4396" s="149"/>
    </row>
    <row r="4397" spans="9:14">
      <c r="I4397" s="2"/>
      <c r="K4397" s="149"/>
      <c r="L4397" s="149"/>
      <c r="M4397" s="149"/>
      <c r="N4397" s="149"/>
    </row>
    <row r="4398" spans="9:14">
      <c r="I4398" s="2"/>
      <c r="K4398" s="149"/>
      <c r="L4398" s="149"/>
      <c r="M4398" s="149"/>
      <c r="N4398" s="149"/>
    </row>
    <row r="4399" spans="9:14">
      <c r="I4399" s="2"/>
      <c r="K4399" s="149"/>
      <c r="L4399" s="149"/>
      <c r="M4399" s="149"/>
      <c r="N4399" s="149"/>
    </row>
    <row r="4400" spans="9:14">
      <c r="K4400" s="149"/>
      <c r="L4400" s="149"/>
      <c r="M4400" s="149"/>
      <c r="N4400" s="149"/>
    </row>
    <row r="4401" spans="9:14">
      <c r="K4401" s="149"/>
      <c r="L4401" s="149"/>
      <c r="M4401" s="149"/>
      <c r="N4401" s="149"/>
    </row>
    <row r="4402" spans="9:14">
      <c r="K4402" s="149"/>
      <c r="L4402" s="149"/>
      <c r="M4402" s="149"/>
      <c r="N4402" s="149"/>
    </row>
    <row r="4403" spans="9:14">
      <c r="K4403" s="149"/>
      <c r="L4403" s="149"/>
      <c r="M4403" s="149"/>
      <c r="N4403" s="149"/>
    </row>
    <row r="4404" spans="9:14">
      <c r="K4404" s="149"/>
      <c r="L4404" s="149"/>
      <c r="M4404" s="149"/>
      <c r="N4404" s="149"/>
    </row>
    <row r="4405" spans="9:14">
      <c r="K4405" s="149"/>
      <c r="L4405" s="149"/>
      <c r="M4405" s="149"/>
      <c r="N4405" s="149"/>
    </row>
    <row r="4406" spans="9:14">
      <c r="K4406" s="149"/>
      <c r="L4406" s="149"/>
      <c r="M4406" s="149"/>
      <c r="N4406" s="149"/>
    </row>
    <row r="4407" spans="9:14">
      <c r="K4407" s="149"/>
      <c r="L4407" s="149"/>
      <c r="M4407" s="149"/>
      <c r="N4407" s="149"/>
    </row>
    <row r="4408" spans="9:14">
      <c r="I4408" s="2"/>
      <c r="K4408" s="149"/>
      <c r="L4408" s="149"/>
      <c r="M4408" s="149"/>
      <c r="N4408" s="149"/>
    </row>
    <row r="4409" spans="9:14">
      <c r="K4409" s="149"/>
      <c r="L4409" s="149"/>
      <c r="M4409" s="149"/>
      <c r="N4409" s="149"/>
    </row>
    <row r="4410" spans="9:14">
      <c r="K4410" s="149"/>
      <c r="L4410" s="149"/>
      <c r="M4410" s="149"/>
      <c r="N4410" s="149"/>
    </row>
    <row r="4411" spans="9:14">
      <c r="K4411" s="149"/>
      <c r="L4411" s="149"/>
      <c r="M4411" s="149"/>
      <c r="N4411" s="149"/>
    </row>
    <row r="4412" spans="9:14">
      <c r="K4412" s="149"/>
      <c r="L4412" s="149"/>
      <c r="M4412" s="149"/>
      <c r="N4412" s="149"/>
    </row>
    <row r="4413" spans="9:14">
      <c r="K4413" s="149"/>
      <c r="L4413" s="149"/>
      <c r="M4413" s="149"/>
      <c r="N4413" s="149"/>
    </row>
    <row r="4414" spans="9:14">
      <c r="K4414" s="149"/>
      <c r="L4414" s="149"/>
      <c r="M4414" s="149"/>
      <c r="N4414" s="149"/>
    </row>
    <row r="4415" spans="9:14">
      <c r="J4415" s="2"/>
      <c r="K4415" s="149"/>
      <c r="L4415" s="149"/>
      <c r="M4415" s="149"/>
      <c r="N4415" s="149"/>
    </row>
    <row r="4416" spans="9:14">
      <c r="K4416" s="149"/>
      <c r="L4416" s="149"/>
      <c r="M4416" s="149"/>
      <c r="N4416" s="149"/>
    </row>
    <row r="4417" spans="10:14">
      <c r="J4417" s="2"/>
      <c r="K4417" s="149"/>
      <c r="L4417" s="149"/>
      <c r="M4417" s="149"/>
      <c r="N4417" s="149"/>
    </row>
    <row r="4418" spans="10:14">
      <c r="K4418" s="149"/>
      <c r="L4418" s="149"/>
      <c r="M4418" s="149"/>
      <c r="N4418" s="149"/>
    </row>
    <row r="4419" spans="10:14">
      <c r="K4419" s="149"/>
      <c r="L4419" s="149"/>
      <c r="M4419" s="149"/>
      <c r="N4419" s="149"/>
    </row>
    <row r="4420" spans="10:14">
      <c r="J4420" s="2"/>
      <c r="K4420" s="149"/>
      <c r="L4420" s="149"/>
      <c r="M4420" s="149"/>
      <c r="N4420" s="149"/>
    </row>
    <row r="4421" spans="10:14">
      <c r="K4421" s="149"/>
      <c r="L4421" s="149"/>
      <c r="M4421" s="149"/>
      <c r="N4421" s="149"/>
    </row>
    <row r="4422" spans="10:14">
      <c r="J4422" s="2"/>
      <c r="K4422" s="149"/>
      <c r="L4422" s="149"/>
      <c r="M4422" s="149"/>
      <c r="N4422" s="149"/>
    </row>
    <row r="4423" spans="10:14">
      <c r="J4423" s="2"/>
      <c r="K4423" s="149"/>
      <c r="L4423" s="149"/>
      <c r="M4423" s="149"/>
      <c r="N4423" s="149"/>
    </row>
    <row r="4424" spans="10:14">
      <c r="K4424" s="149"/>
      <c r="L4424" s="149"/>
      <c r="M4424" s="149"/>
      <c r="N4424" s="149"/>
    </row>
    <row r="4425" spans="10:14">
      <c r="K4425" s="149"/>
      <c r="L4425" s="149"/>
      <c r="M4425" s="149"/>
      <c r="N4425" s="149"/>
    </row>
    <row r="4426" spans="10:14">
      <c r="K4426" s="149"/>
      <c r="L4426" s="149"/>
      <c r="M4426" s="149"/>
      <c r="N4426" s="149"/>
    </row>
    <row r="4427" spans="10:14">
      <c r="K4427" s="149"/>
      <c r="L4427" s="149"/>
      <c r="M4427" s="149"/>
      <c r="N4427" s="149"/>
    </row>
    <row r="4428" spans="10:14">
      <c r="K4428" s="149"/>
      <c r="L4428" s="149"/>
      <c r="M4428" s="149"/>
      <c r="N4428" s="149"/>
    </row>
    <row r="4429" spans="10:14">
      <c r="J4429" s="2"/>
      <c r="K4429" s="149"/>
      <c r="L4429" s="149"/>
      <c r="M4429" s="149"/>
      <c r="N4429" s="149"/>
    </row>
    <row r="4430" spans="10:14">
      <c r="K4430" s="149"/>
      <c r="L4430" s="149"/>
      <c r="M4430" s="149"/>
      <c r="N4430" s="149"/>
    </row>
    <row r="4431" spans="10:14">
      <c r="K4431" s="149"/>
      <c r="L4431" s="149"/>
      <c r="M4431" s="149"/>
      <c r="N4431" s="149"/>
    </row>
    <row r="4432" spans="10:14">
      <c r="K4432" s="149"/>
      <c r="L4432" s="149"/>
      <c r="M4432" s="149"/>
      <c r="N4432" s="149"/>
    </row>
    <row r="4433" spans="9:14">
      <c r="K4433" s="149"/>
      <c r="L4433" s="149"/>
      <c r="M4433" s="149"/>
      <c r="N4433" s="149"/>
    </row>
    <row r="4434" spans="9:14">
      <c r="K4434" s="149"/>
      <c r="L4434" s="149"/>
      <c r="M4434" s="149"/>
      <c r="N4434" s="149"/>
    </row>
    <row r="4435" spans="9:14">
      <c r="K4435" s="149"/>
      <c r="L4435" s="149"/>
      <c r="M4435" s="149"/>
      <c r="N4435" s="149"/>
    </row>
    <row r="4436" spans="9:14">
      <c r="K4436" s="149"/>
      <c r="L4436" s="149"/>
      <c r="M4436" s="149"/>
      <c r="N4436" s="149"/>
    </row>
    <row r="4437" spans="9:14">
      <c r="K4437" s="149"/>
      <c r="L4437" s="149"/>
      <c r="M4437" s="149"/>
      <c r="N4437" s="149"/>
    </row>
    <row r="4438" spans="9:14">
      <c r="K4438" s="149"/>
      <c r="L4438" s="149"/>
      <c r="M4438" s="149"/>
      <c r="N4438" s="149"/>
    </row>
    <row r="4439" spans="9:14">
      <c r="K4439" s="149"/>
      <c r="L4439" s="149"/>
      <c r="M4439" s="149"/>
      <c r="N4439" s="149"/>
    </row>
    <row r="4440" spans="9:14">
      <c r="K4440" s="149"/>
      <c r="L4440" s="149"/>
      <c r="M4440" s="149"/>
      <c r="N4440" s="149"/>
    </row>
    <row r="4441" spans="9:14">
      <c r="K4441" s="149"/>
      <c r="L4441" s="149"/>
      <c r="M4441" s="149"/>
      <c r="N4441" s="149"/>
    </row>
    <row r="4442" spans="9:14">
      <c r="K4442" s="149"/>
      <c r="L4442" s="149"/>
      <c r="M4442" s="149"/>
      <c r="N4442" s="149"/>
    </row>
    <row r="4443" spans="9:14">
      <c r="I4443" s="2"/>
      <c r="K4443" s="149"/>
      <c r="L4443" s="149"/>
      <c r="M4443" s="149"/>
      <c r="N4443" s="149"/>
    </row>
    <row r="4444" spans="9:14">
      <c r="I4444" s="2"/>
      <c r="K4444" s="149"/>
      <c r="L4444" s="149"/>
      <c r="M4444" s="149"/>
      <c r="N4444" s="149"/>
    </row>
    <row r="4445" spans="9:14">
      <c r="K4445" s="149"/>
      <c r="L4445" s="149"/>
      <c r="M4445" s="149"/>
      <c r="N4445" s="149"/>
    </row>
    <row r="4446" spans="9:14">
      <c r="I4446" s="2"/>
      <c r="K4446" s="149"/>
      <c r="L4446" s="149"/>
      <c r="M4446" s="149"/>
      <c r="N4446" s="149"/>
    </row>
    <row r="4447" spans="9:14">
      <c r="K4447" s="149"/>
      <c r="L4447" s="149"/>
      <c r="M4447" s="149"/>
      <c r="N4447" s="149"/>
    </row>
    <row r="4448" spans="9:14">
      <c r="K4448" s="149"/>
      <c r="L4448" s="149"/>
      <c r="M4448" s="149"/>
      <c r="N4448" s="149"/>
    </row>
    <row r="4449" spans="9:14">
      <c r="K4449" s="149"/>
      <c r="L4449" s="149"/>
      <c r="M4449" s="149"/>
      <c r="N4449" s="149"/>
    </row>
    <row r="4450" spans="9:14">
      <c r="K4450" s="149"/>
      <c r="L4450" s="149"/>
      <c r="M4450" s="149"/>
      <c r="N4450" s="149"/>
    </row>
    <row r="4451" spans="9:14">
      <c r="K4451" s="149"/>
      <c r="L4451" s="149"/>
      <c r="M4451" s="149"/>
      <c r="N4451" s="149"/>
    </row>
    <row r="4452" spans="9:14">
      <c r="K4452" s="149"/>
      <c r="L4452" s="149"/>
      <c r="M4452" s="149"/>
      <c r="N4452" s="149"/>
    </row>
    <row r="4453" spans="9:14">
      <c r="K4453" s="149"/>
      <c r="L4453" s="149"/>
      <c r="M4453" s="149"/>
      <c r="N4453" s="149"/>
    </row>
    <row r="4454" spans="9:14">
      <c r="K4454" s="149"/>
      <c r="L4454" s="149"/>
      <c r="M4454" s="149"/>
      <c r="N4454" s="149"/>
    </row>
    <row r="4455" spans="9:14">
      <c r="K4455" s="149"/>
      <c r="L4455" s="149"/>
      <c r="M4455" s="149"/>
      <c r="N4455" s="149"/>
    </row>
    <row r="4456" spans="9:14">
      <c r="K4456" s="149"/>
      <c r="L4456" s="149"/>
      <c r="M4456" s="149"/>
      <c r="N4456" s="149"/>
    </row>
    <row r="4457" spans="9:14">
      <c r="K4457" s="149"/>
      <c r="L4457" s="149"/>
      <c r="M4457" s="149"/>
      <c r="N4457" s="149"/>
    </row>
    <row r="4458" spans="9:14">
      <c r="K4458" s="149"/>
      <c r="L4458" s="149"/>
      <c r="M4458" s="149"/>
      <c r="N4458" s="149"/>
    </row>
    <row r="4459" spans="9:14">
      <c r="K4459" s="149"/>
      <c r="L4459" s="149"/>
      <c r="M4459" s="149"/>
      <c r="N4459" s="149"/>
    </row>
    <row r="4460" spans="9:14">
      <c r="K4460" s="149"/>
      <c r="L4460" s="149"/>
      <c r="M4460" s="149"/>
      <c r="N4460" s="149"/>
    </row>
    <row r="4461" spans="9:14">
      <c r="K4461" s="149"/>
      <c r="L4461" s="149"/>
      <c r="M4461" s="149"/>
      <c r="N4461" s="149"/>
    </row>
    <row r="4462" spans="9:14">
      <c r="I4462" s="2"/>
      <c r="K4462" s="149"/>
      <c r="L4462" s="149"/>
      <c r="M4462" s="149"/>
      <c r="N4462" s="149"/>
    </row>
    <row r="4463" spans="9:14">
      <c r="K4463" s="149"/>
      <c r="L4463" s="149"/>
      <c r="M4463" s="149"/>
      <c r="N4463" s="149"/>
    </row>
    <row r="4464" spans="9:14">
      <c r="K4464" s="149"/>
      <c r="L4464" s="149"/>
      <c r="M4464" s="149"/>
      <c r="N4464" s="149"/>
    </row>
    <row r="4465" spans="11:14">
      <c r="K4465" s="149"/>
      <c r="L4465" s="149"/>
      <c r="M4465" s="149"/>
      <c r="N4465" s="149"/>
    </row>
    <row r="4466" spans="11:14">
      <c r="K4466" s="149"/>
      <c r="L4466" s="149"/>
      <c r="M4466" s="149"/>
      <c r="N4466" s="149"/>
    </row>
    <row r="4467" spans="11:14">
      <c r="K4467" s="149"/>
      <c r="L4467" s="149"/>
      <c r="M4467" s="149"/>
      <c r="N4467" s="149"/>
    </row>
    <row r="4468" spans="11:14">
      <c r="K4468" s="149"/>
      <c r="L4468" s="149"/>
      <c r="M4468" s="149"/>
      <c r="N4468" s="149"/>
    </row>
    <row r="4469" spans="11:14">
      <c r="K4469" s="149"/>
      <c r="L4469" s="149"/>
      <c r="M4469" s="149"/>
      <c r="N4469" s="149"/>
    </row>
    <row r="4470" spans="11:14">
      <c r="K4470" s="149"/>
      <c r="L4470" s="149"/>
      <c r="M4470" s="149"/>
      <c r="N4470" s="149"/>
    </row>
    <row r="4471" spans="11:14">
      <c r="K4471" s="149"/>
      <c r="L4471" s="149"/>
      <c r="M4471" s="149"/>
      <c r="N4471" s="149"/>
    </row>
    <row r="4472" spans="11:14">
      <c r="K4472" s="149"/>
      <c r="L4472" s="149"/>
      <c r="M4472" s="149"/>
      <c r="N4472" s="149"/>
    </row>
    <row r="4473" spans="11:14">
      <c r="K4473" s="149"/>
      <c r="L4473" s="149"/>
      <c r="M4473" s="149"/>
      <c r="N4473" s="149"/>
    </row>
    <row r="4474" spans="11:14">
      <c r="K4474" s="149"/>
      <c r="L4474" s="149"/>
      <c r="M4474" s="149"/>
      <c r="N4474" s="149"/>
    </row>
    <row r="4475" spans="11:14">
      <c r="K4475" s="149"/>
      <c r="L4475" s="149"/>
      <c r="M4475" s="149"/>
      <c r="N4475" s="149"/>
    </row>
    <row r="4476" spans="11:14">
      <c r="K4476" s="149"/>
      <c r="L4476" s="149"/>
      <c r="M4476" s="149"/>
      <c r="N4476" s="149"/>
    </row>
    <row r="4477" spans="11:14">
      <c r="K4477" s="149"/>
      <c r="L4477" s="149"/>
      <c r="M4477" s="149"/>
      <c r="N4477" s="149"/>
    </row>
    <row r="4478" spans="11:14">
      <c r="K4478" s="149"/>
      <c r="L4478" s="149"/>
      <c r="M4478" s="149"/>
      <c r="N4478" s="149"/>
    </row>
    <row r="4479" spans="11:14">
      <c r="K4479" s="149"/>
      <c r="L4479" s="149"/>
      <c r="M4479" s="149"/>
      <c r="N4479" s="149"/>
    </row>
    <row r="4480" spans="11:14">
      <c r="K4480" s="149"/>
      <c r="L4480" s="149"/>
      <c r="M4480" s="149"/>
      <c r="N4480" s="149"/>
    </row>
    <row r="4481" spans="11:14">
      <c r="K4481" s="149"/>
      <c r="L4481" s="149"/>
      <c r="M4481" s="149"/>
      <c r="N4481" s="149"/>
    </row>
    <row r="4482" spans="11:14">
      <c r="K4482" s="149"/>
      <c r="L4482" s="149"/>
      <c r="M4482" s="149"/>
      <c r="N4482" s="149"/>
    </row>
    <row r="4483" spans="11:14">
      <c r="K4483" s="149"/>
      <c r="L4483" s="149"/>
      <c r="M4483" s="149"/>
      <c r="N4483" s="149"/>
    </row>
    <row r="4484" spans="11:14">
      <c r="K4484" s="149"/>
      <c r="L4484" s="149"/>
      <c r="M4484" s="149"/>
      <c r="N4484" s="149"/>
    </row>
    <row r="4485" spans="11:14">
      <c r="K4485" s="149"/>
      <c r="L4485" s="149"/>
      <c r="M4485" s="149"/>
      <c r="N4485" s="149"/>
    </row>
    <row r="4486" spans="11:14">
      <c r="K4486" s="149"/>
      <c r="L4486" s="149"/>
      <c r="M4486" s="149"/>
      <c r="N4486" s="149"/>
    </row>
    <row r="4487" spans="11:14">
      <c r="K4487" s="149"/>
      <c r="L4487" s="149"/>
      <c r="M4487" s="149"/>
      <c r="N4487" s="149"/>
    </row>
    <row r="4488" spans="11:14">
      <c r="K4488" s="149"/>
      <c r="L4488" s="149"/>
      <c r="M4488" s="149"/>
      <c r="N4488" s="149"/>
    </row>
    <row r="4489" spans="11:14">
      <c r="K4489" s="149"/>
      <c r="L4489" s="149"/>
      <c r="M4489" s="149"/>
      <c r="N4489" s="149"/>
    </row>
    <row r="4490" spans="11:14">
      <c r="K4490" s="149"/>
      <c r="L4490" s="149"/>
      <c r="M4490" s="149"/>
      <c r="N4490" s="149"/>
    </row>
    <row r="4491" spans="11:14">
      <c r="K4491" s="149"/>
      <c r="L4491" s="149"/>
      <c r="M4491" s="149"/>
      <c r="N4491" s="149"/>
    </row>
    <row r="4492" spans="11:14">
      <c r="K4492" s="149"/>
      <c r="L4492" s="149"/>
      <c r="M4492" s="149"/>
      <c r="N4492" s="149"/>
    </row>
    <row r="4493" spans="11:14">
      <c r="K4493" s="149"/>
      <c r="L4493" s="149"/>
      <c r="M4493" s="149"/>
      <c r="N4493" s="149"/>
    </row>
    <row r="4494" spans="11:14">
      <c r="K4494" s="149"/>
      <c r="L4494" s="149"/>
      <c r="M4494" s="149"/>
      <c r="N4494" s="149"/>
    </row>
    <row r="4495" spans="11:14">
      <c r="K4495" s="149"/>
      <c r="L4495" s="149"/>
      <c r="M4495" s="149"/>
      <c r="N4495" s="149"/>
    </row>
    <row r="4496" spans="11:14">
      <c r="K4496" s="149"/>
      <c r="L4496" s="149"/>
      <c r="M4496" s="149"/>
      <c r="N4496" s="149"/>
    </row>
    <row r="4497" spans="11:14">
      <c r="K4497" s="149"/>
      <c r="L4497" s="149"/>
      <c r="M4497" s="149"/>
      <c r="N4497" s="149"/>
    </row>
    <row r="4498" spans="11:14">
      <c r="K4498" s="149"/>
      <c r="L4498" s="149"/>
      <c r="M4498" s="149"/>
      <c r="N4498" s="149"/>
    </row>
    <row r="4499" spans="11:14">
      <c r="K4499" s="149"/>
      <c r="L4499" s="149"/>
      <c r="M4499" s="149"/>
      <c r="N4499" s="149"/>
    </row>
    <row r="4500" spans="11:14">
      <c r="K4500" s="149"/>
      <c r="L4500" s="149"/>
      <c r="M4500" s="149"/>
      <c r="N4500" s="149"/>
    </row>
    <row r="4501" spans="11:14">
      <c r="K4501" s="149"/>
      <c r="L4501" s="149"/>
      <c r="M4501" s="149"/>
      <c r="N4501" s="149"/>
    </row>
    <row r="4502" spans="11:14">
      <c r="K4502" s="149"/>
      <c r="L4502" s="149"/>
      <c r="M4502" s="149"/>
      <c r="N4502" s="149"/>
    </row>
    <row r="4503" spans="11:14">
      <c r="K4503" s="149"/>
      <c r="L4503" s="149"/>
      <c r="M4503" s="149"/>
      <c r="N4503" s="149"/>
    </row>
    <row r="4504" spans="11:14">
      <c r="K4504" s="149"/>
      <c r="L4504" s="149"/>
      <c r="M4504" s="149"/>
      <c r="N4504" s="149"/>
    </row>
    <row r="4505" spans="11:14">
      <c r="K4505" s="149"/>
      <c r="L4505" s="149"/>
      <c r="M4505" s="149"/>
      <c r="N4505" s="149"/>
    </row>
    <row r="4506" spans="11:14">
      <c r="K4506" s="149"/>
      <c r="L4506" s="149"/>
      <c r="M4506" s="149"/>
      <c r="N4506" s="149"/>
    </row>
    <row r="4507" spans="11:14">
      <c r="K4507" s="149"/>
      <c r="L4507" s="149"/>
      <c r="M4507" s="149"/>
      <c r="N4507" s="149"/>
    </row>
    <row r="4508" spans="11:14">
      <c r="K4508" s="149"/>
      <c r="L4508" s="149"/>
      <c r="M4508" s="149"/>
      <c r="N4508" s="149"/>
    </row>
    <row r="4509" spans="11:14">
      <c r="K4509" s="149"/>
      <c r="L4509" s="149"/>
      <c r="M4509" s="149"/>
      <c r="N4509" s="149"/>
    </row>
    <row r="4510" spans="11:14">
      <c r="K4510" s="149"/>
      <c r="L4510" s="149"/>
      <c r="M4510" s="149"/>
      <c r="N4510" s="149"/>
    </row>
    <row r="4511" spans="11:14">
      <c r="K4511" s="149"/>
      <c r="L4511" s="149"/>
      <c r="M4511" s="149"/>
      <c r="N4511" s="149"/>
    </row>
    <row r="4512" spans="11:14">
      <c r="K4512" s="149"/>
      <c r="L4512" s="149"/>
      <c r="M4512" s="149"/>
      <c r="N4512" s="149"/>
    </row>
    <row r="4513" spans="9:14">
      <c r="K4513" s="149"/>
      <c r="L4513" s="149"/>
      <c r="M4513" s="149"/>
      <c r="N4513" s="149"/>
    </row>
    <row r="4514" spans="9:14">
      <c r="K4514" s="149"/>
      <c r="L4514" s="149"/>
      <c r="M4514" s="149"/>
      <c r="N4514" s="149"/>
    </row>
    <row r="4515" spans="9:14">
      <c r="K4515" s="149"/>
      <c r="L4515" s="149"/>
      <c r="M4515" s="149"/>
      <c r="N4515" s="149"/>
    </row>
    <row r="4516" spans="9:14">
      <c r="I4516" s="2"/>
      <c r="K4516" s="149"/>
      <c r="L4516" s="149"/>
      <c r="M4516" s="149"/>
      <c r="N4516" s="149"/>
    </row>
    <row r="4517" spans="9:14">
      <c r="K4517" s="149"/>
      <c r="L4517" s="149"/>
      <c r="M4517" s="149"/>
      <c r="N4517" s="149"/>
    </row>
    <row r="4518" spans="9:14">
      <c r="K4518" s="149"/>
      <c r="L4518" s="149"/>
      <c r="M4518" s="149"/>
      <c r="N4518" s="149"/>
    </row>
    <row r="4519" spans="9:14">
      <c r="K4519" s="149"/>
      <c r="L4519" s="149"/>
      <c r="M4519" s="149"/>
      <c r="N4519" s="149"/>
    </row>
    <row r="4520" spans="9:14">
      <c r="K4520" s="149"/>
      <c r="L4520" s="149"/>
      <c r="M4520" s="149"/>
      <c r="N4520" s="149"/>
    </row>
    <row r="4521" spans="9:14">
      <c r="K4521" s="149"/>
      <c r="L4521" s="149"/>
      <c r="M4521" s="149"/>
      <c r="N4521" s="149"/>
    </row>
    <row r="4522" spans="9:14">
      <c r="K4522" s="149"/>
      <c r="L4522" s="149"/>
      <c r="M4522" s="149"/>
      <c r="N4522" s="149"/>
    </row>
    <row r="4523" spans="9:14">
      <c r="K4523" s="149"/>
      <c r="L4523" s="149"/>
      <c r="M4523" s="149"/>
      <c r="N4523" s="149"/>
    </row>
    <row r="4524" spans="9:14">
      <c r="K4524" s="149"/>
      <c r="L4524" s="149"/>
      <c r="M4524" s="149"/>
      <c r="N4524" s="149"/>
    </row>
    <row r="4525" spans="9:14">
      <c r="K4525" s="149"/>
      <c r="L4525" s="149"/>
      <c r="M4525" s="149"/>
      <c r="N4525" s="149"/>
    </row>
    <row r="4526" spans="9:14">
      <c r="K4526" s="149"/>
      <c r="L4526" s="149"/>
      <c r="M4526" s="149"/>
      <c r="N4526" s="149"/>
    </row>
    <row r="4527" spans="9:14">
      <c r="K4527" s="149"/>
      <c r="L4527" s="149"/>
      <c r="M4527" s="149"/>
      <c r="N4527" s="149"/>
    </row>
    <row r="4528" spans="9:14">
      <c r="K4528" s="149"/>
      <c r="L4528" s="149"/>
      <c r="M4528" s="149"/>
      <c r="N4528" s="149"/>
    </row>
    <row r="4529" spans="11:14">
      <c r="K4529" s="149"/>
      <c r="L4529" s="149"/>
      <c r="M4529" s="149"/>
      <c r="N4529" s="149"/>
    </row>
    <row r="4530" spans="11:14">
      <c r="K4530" s="149"/>
      <c r="L4530" s="149"/>
      <c r="M4530" s="149"/>
      <c r="N4530" s="149"/>
    </row>
    <row r="4531" spans="11:14">
      <c r="K4531" s="149"/>
      <c r="L4531" s="149"/>
      <c r="M4531" s="149"/>
      <c r="N4531" s="149"/>
    </row>
    <row r="4532" spans="11:14">
      <c r="K4532" s="149"/>
      <c r="L4532" s="149"/>
      <c r="M4532" s="149"/>
      <c r="N4532" s="149"/>
    </row>
    <row r="4533" spans="11:14">
      <c r="K4533" s="149"/>
      <c r="L4533" s="149"/>
      <c r="M4533" s="149"/>
      <c r="N4533" s="149"/>
    </row>
    <row r="4534" spans="11:14">
      <c r="K4534" s="149"/>
      <c r="L4534" s="149"/>
      <c r="M4534" s="149"/>
      <c r="N4534" s="149"/>
    </row>
    <row r="4535" spans="11:14">
      <c r="K4535" s="149"/>
      <c r="L4535" s="149"/>
      <c r="M4535" s="149"/>
      <c r="N4535" s="149"/>
    </row>
    <row r="4536" spans="11:14">
      <c r="K4536" s="149"/>
      <c r="L4536" s="149"/>
      <c r="M4536" s="149"/>
      <c r="N4536" s="149"/>
    </row>
    <row r="4537" spans="11:14">
      <c r="K4537" s="149"/>
      <c r="L4537" s="149"/>
      <c r="M4537" s="149"/>
      <c r="N4537" s="149"/>
    </row>
    <row r="4538" spans="11:14">
      <c r="K4538" s="149"/>
      <c r="L4538" s="149"/>
      <c r="M4538" s="149"/>
      <c r="N4538" s="149"/>
    </row>
    <row r="4539" spans="11:14">
      <c r="K4539" s="149"/>
      <c r="L4539" s="149"/>
      <c r="M4539" s="149"/>
      <c r="N4539" s="149"/>
    </row>
    <row r="4540" spans="11:14">
      <c r="K4540" s="149"/>
      <c r="L4540" s="149"/>
      <c r="M4540" s="149"/>
      <c r="N4540" s="149"/>
    </row>
    <row r="4541" spans="11:14">
      <c r="K4541" s="149"/>
      <c r="L4541" s="149"/>
      <c r="M4541" s="149"/>
      <c r="N4541" s="149"/>
    </row>
    <row r="4542" spans="11:14">
      <c r="K4542" s="149"/>
      <c r="L4542" s="149"/>
      <c r="M4542" s="149"/>
      <c r="N4542" s="149"/>
    </row>
    <row r="4543" spans="11:14">
      <c r="K4543" s="149"/>
      <c r="L4543" s="149"/>
      <c r="M4543" s="149"/>
      <c r="N4543" s="149"/>
    </row>
    <row r="4544" spans="11:14">
      <c r="K4544" s="149"/>
      <c r="L4544" s="149"/>
      <c r="M4544" s="149"/>
      <c r="N4544" s="149"/>
    </row>
    <row r="4545" spans="11:14">
      <c r="K4545" s="149"/>
      <c r="L4545" s="149"/>
      <c r="M4545" s="149"/>
      <c r="N4545" s="149"/>
    </row>
    <row r="4546" spans="11:14">
      <c r="K4546" s="149"/>
      <c r="L4546" s="149"/>
      <c r="M4546" s="149"/>
      <c r="N4546" s="149"/>
    </row>
    <row r="4547" spans="11:14">
      <c r="K4547" s="149"/>
      <c r="L4547" s="149"/>
      <c r="M4547" s="149"/>
      <c r="N4547" s="149"/>
    </row>
    <row r="4548" spans="11:14">
      <c r="K4548" s="149"/>
      <c r="L4548" s="149"/>
      <c r="M4548" s="149"/>
      <c r="N4548" s="149"/>
    </row>
    <row r="4549" spans="11:14">
      <c r="K4549" s="149"/>
      <c r="L4549" s="149"/>
      <c r="M4549" s="149"/>
      <c r="N4549" s="149"/>
    </row>
    <row r="4550" spans="11:14">
      <c r="K4550" s="149"/>
      <c r="L4550" s="149"/>
      <c r="M4550" s="149"/>
      <c r="N4550" s="149"/>
    </row>
    <row r="4551" spans="11:14">
      <c r="K4551" s="149"/>
      <c r="L4551" s="149"/>
      <c r="M4551" s="149"/>
      <c r="N4551" s="149"/>
    </row>
    <row r="4552" spans="11:14">
      <c r="K4552" s="149"/>
      <c r="L4552" s="149"/>
      <c r="M4552" s="149"/>
      <c r="N4552" s="149"/>
    </row>
    <row r="4553" spans="11:14">
      <c r="K4553" s="149"/>
      <c r="L4553" s="149"/>
      <c r="M4553" s="149"/>
      <c r="N4553" s="149"/>
    </row>
    <row r="4554" spans="11:14">
      <c r="K4554" s="149"/>
      <c r="L4554" s="149"/>
      <c r="M4554" s="149"/>
      <c r="N4554" s="149"/>
    </row>
    <row r="4555" spans="11:14">
      <c r="K4555" s="149"/>
      <c r="L4555" s="149"/>
      <c r="M4555" s="149"/>
      <c r="N4555" s="149"/>
    </row>
    <row r="4556" spans="11:14">
      <c r="K4556" s="149"/>
      <c r="L4556" s="149"/>
      <c r="M4556" s="149"/>
      <c r="N4556" s="149"/>
    </row>
    <row r="4557" spans="11:14">
      <c r="K4557" s="149"/>
      <c r="L4557" s="149"/>
      <c r="M4557" s="149"/>
      <c r="N4557" s="149"/>
    </row>
    <row r="4558" spans="11:14">
      <c r="K4558" s="149"/>
      <c r="L4558" s="149"/>
      <c r="M4558" s="149"/>
      <c r="N4558" s="149"/>
    </row>
    <row r="4559" spans="11:14">
      <c r="K4559" s="149"/>
      <c r="L4559" s="149"/>
      <c r="M4559" s="149"/>
      <c r="N4559" s="149"/>
    </row>
    <row r="4560" spans="11:14">
      <c r="K4560" s="149"/>
      <c r="L4560" s="149"/>
      <c r="M4560" s="149"/>
      <c r="N4560" s="149"/>
    </row>
    <row r="4561" spans="11:14">
      <c r="K4561" s="149"/>
      <c r="L4561" s="149"/>
      <c r="M4561" s="149"/>
      <c r="N4561" s="149"/>
    </row>
    <row r="4562" spans="11:14">
      <c r="K4562" s="149"/>
      <c r="L4562" s="149"/>
      <c r="M4562" s="149"/>
      <c r="N4562" s="149"/>
    </row>
    <row r="4563" spans="11:14">
      <c r="K4563" s="149"/>
      <c r="L4563" s="149"/>
      <c r="M4563" s="149"/>
      <c r="N4563" s="149"/>
    </row>
    <row r="4564" spans="11:14">
      <c r="K4564" s="149"/>
      <c r="L4564" s="149"/>
      <c r="M4564" s="149"/>
      <c r="N4564" s="149"/>
    </row>
    <row r="4565" spans="11:14">
      <c r="K4565" s="149"/>
      <c r="L4565" s="149"/>
      <c r="M4565" s="149"/>
      <c r="N4565" s="149"/>
    </row>
    <row r="4566" spans="11:14">
      <c r="K4566" s="149"/>
      <c r="L4566" s="149"/>
      <c r="M4566" s="149"/>
      <c r="N4566" s="149"/>
    </row>
    <row r="4567" spans="11:14">
      <c r="K4567" s="149"/>
      <c r="L4567" s="149"/>
      <c r="M4567" s="149"/>
      <c r="N4567" s="149"/>
    </row>
    <row r="4568" spans="11:14">
      <c r="K4568" s="149"/>
      <c r="L4568" s="149"/>
      <c r="M4568" s="149"/>
      <c r="N4568" s="149"/>
    </row>
    <row r="4569" spans="11:14">
      <c r="K4569" s="149"/>
      <c r="L4569" s="149"/>
      <c r="M4569" s="149"/>
      <c r="N4569" s="149"/>
    </row>
    <row r="4570" spans="11:14">
      <c r="K4570" s="149"/>
      <c r="L4570" s="149"/>
      <c r="M4570" s="149"/>
      <c r="N4570" s="149"/>
    </row>
    <row r="4571" spans="11:14">
      <c r="K4571" s="149"/>
      <c r="L4571" s="149"/>
      <c r="M4571" s="149"/>
      <c r="N4571" s="149"/>
    </row>
    <row r="4572" spans="11:14">
      <c r="K4572" s="149"/>
      <c r="L4572" s="149"/>
      <c r="M4572" s="149"/>
      <c r="N4572" s="149"/>
    </row>
    <row r="4573" spans="11:14">
      <c r="K4573" s="149"/>
      <c r="L4573" s="149"/>
      <c r="M4573" s="149"/>
      <c r="N4573" s="149"/>
    </row>
    <row r="4574" spans="11:14">
      <c r="K4574" s="149"/>
      <c r="L4574" s="149"/>
      <c r="M4574" s="149"/>
      <c r="N4574" s="149"/>
    </row>
    <row r="4575" spans="11:14">
      <c r="K4575" s="149"/>
      <c r="L4575" s="149"/>
      <c r="M4575" s="149"/>
      <c r="N4575" s="149"/>
    </row>
    <row r="4576" spans="11:14">
      <c r="K4576" s="149"/>
      <c r="L4576" s="149"/>
      <c r="M4576" s="149"/>
      <c r="N4576" s="149"/>
    </row>
    <row r="4577" spans="11:14">
      <c r="K4577" s="149"/>
      <c r="L4577" s="149"/>
      <c r="M4577" s="149"/>
      <c r="N4577" s="149"/>
    </row>
    <row r="4578" spans="11:14">
      <c r="K4578" s="149"/>
      <c r="L4578" s="149"/>
      <c r="M4578" s="149"/>
      <c r="N4578" s="149"/>
    </row>
    <row r="4579" spans="11:14">
      <c r="K4579" s="149"/>
      <c r="L4579" s="149"/>
      <c r="M4579" s="149"/>
      <c r="N4579" s="149"/>
    </row>
    <row r="4580" spans="11:14">
      <c r="K4580" s="149"/>
      <c r="L4580" s="149"/>
      <c r="M4580" s="149"/>
      <c r="N4580" s="149"/>
    </row>
    <row r="4581" spans="11:14">
      <c r="K4581" s="149"/>
      <c r="L4581" s="149"/>
      <c r="M4581" s="149"/>
      <c r="N4581" s="149"/>
    </row>
    <row r="4582" spans="11:14">
      <c r="K4582" s="149"/>
      <c r="L4582" s="149"/>
      <c r="M4582" s="149"/>
      <c r="N4582" s="149"/>
    </row>
    <row r="4583" spans="11:14">
      <c r="K4583" s="149"/>
      <c r="L4583" s="149"/>
      <c r="M4583" s="149"/>
      <c r="N4583" s="149"/>
    </row>
    <row r="4584" spans="11:14">
      <c r="K4584" s="149"/>
      <c r="L4584" s="149"/>
      <c r="M4584" s="149"/>
      <c r="N4584" s="149"/>
    </row>
    <row r="4585" spans="11:14">
      <c r="K4585" s="149"/>
      <c r="L4585" s="149"/>
      <c r="M4585" s="149"/>
      <c r="N4585" s="149"/>
    </row>
    <row r="4586" spans="11:14">
      <c r="K4586" s="149"/>
      <c r="L4586" s="149"/>
      <c r="M4586" s="149"/>
      <c r="N4586" s="149"/>
    </row>
    <row r="4587" spans="11:14">
      <c r="K4587" s="149"/>
      <c r="L4587" s="149"/>
      <c r="M4587" s="149"/>
      <c r="N4587" s="149"/>
    </row>
    <row r="4588" spans="11:14">
      <c r="K4588" s="149"/>
      <c r="L4588" s="149"/>
      <c r="M4588" s="149"/>
      <c r="N4588" s="149"/>
    </row>
    <row r="4589" spans="11:14">
      <c r="K4589" s="149"/>
      <c r="L4589" s="149"/>
      <c r="M4589" s="149"/>
      <c r="N4589" s="149"/>
    </row>
    <row r="4590" spans="11:14">
      <c r="K4590" s="149"/>
      <c r="L4590" s="149"/>
      <c r="M4590" s="149"/>
      <c r="N4590" s="149"/>
    </row>
    <row r="4591" spans="11:14">
      <c r="K4591" s="149"/>
      <c r="L4591" s="149"/>
      <c r="M4591" s="149"/>
      <c r="N4591" s="149"/>
    </row>
    <row r="4592" spans="11:14">
      <c r="K4592" s="149"/>
      <c r="L4592" s="149"/>
      <c r="M4592" s="149"/>
      <c r="N4592" s="149"/>
    </row>
    <row r="4593" spans="11:14">
      <c r="K4593" s="149"/>
      <c r="L4593" s="149"/>
      <c r="M4593" s="149"/>
      <c r="N4593" s="149"/>
    </row>
    <row r="4594" spans="11:14">
      <c r="K4594" s="149"/>
      <c r="L4594" s="149"/>
      <c r="M4594" s="149"/>
      <c r="N4594" s="149"/>
    </row>
    <row r="4595" spans="11:14">
      <c r="K4595" s="149"/>
      <c r="L4595" s="149"/>
      <c r="M4595" s="149"/>
      <c r="N4595" s="149"/>
    </row>
    <row r="4596" spans="11:14">
      <c r="K4596" s="149"/>
      <c r="L4596" s="149"/>
      <c r="M4596" s="149"/>
      <c r="N4596" s="149"/>
    </row>
    <row r="4597" spans="11:14">
      <c r="K4597" s="149"/>
      <c r="L4597" s="149"/>
      <c r="M4597" s="149"/>
      <c r="N4597" s="149"/>
    </row>
    <row r="4598" spans="11:14">
      <c r="K4598" s="149"/>
      <c r="L4598" s="149"/>
      <c r="M4598" s="149"/>
      <c r="N4598" s="149"/>
    </row>
    <row r="4599" spans="11:14">
      <c r="K4599" s="149"/>
      <c r="L4599" s="149"/>
      <c r="M4599" s="149"/>
      <c r="N4599" s="149"/>
    </row>
    <row r="4600" spans="11:14">
      <c r="K4600" s="149"/>
      <c r="L4600" s="149"/>
      <c r="M4600" s="149"/>
      <c r="N4600" s="149"/>
    </row>
    <row r="4601" spans="11:14">
      <c r="K4601" s="149"/>
      <c r="L4601" s="149"/>
      <c r="M4601" s="149"/>
      <c r="N4601" s="149"/>
    </row>
    <row r="4602" spans="11:14">
      <c r="K4602" s="149"/>
      <c r="L4602" s="149"/>
      <c r="M4602" s="149"/>
      <c r="N4602" s="149"/>
    </row>
    <row r="4603" spans="11:14">
      <c r="K4603" s="149"/>
      <c r="L4603" s="149"/>
      <c r="M4603" s="149"/>
      <c r="N4603" s="149"/>
    </row>
    <row r="4604" spans="11:14">
      <c r="K4604" s="149"/>
      <c r="L4604" s="149"/>
      <c r="M4604" s="149"/>
      <c r="N4604" s="149"/>
    </row>
    <row r="4605" spans="11:14">
      <c r="K4605" s="149"/>
      <c r="L4605" s="149"/>
      <c r="M4605" s="149"/>
      <c r="N4605" s="149"/>
    </row>
    <row r="4606" spans="11:14">
      <c r="K4606" s="149"/>
      <c r="L4606" s="149"/>
      <c r="M4606" s="149"/>
      <c r="N4606" s="149"/>
    </row>
    <row r="4607" spans="11:14">
      <c r="K4607" s="149"/>
      <c r="L4607" s="149"/>
      <c r="M4607" s="149"/>
      <c r="N4607" s="149"/>
    </row>
    <row r="4608" spans="11:14">
      <c r="K4608" s="149"/>
      <c r="L4608" s="149"/>
      <c r="M4608" s="149"/>
      <c r="N4608" s="149"/>
    </row>
    <row r="4609" spans="11:14">
      <c r="K4609" s="149"/>
      <c r="L4609" s="149"/>
      <c r="M4609" s="149"/>
      <c r="N4609" s="149"/>
    </row>
    <row r="4610" spans="11:14">
      <c r="K4610" s="149"/>
      <c r="L4610" s="149"/>
      <c r="M4610" s="149"/>
      <c r="N4610" s="149"/>
    </row>
    <row r="4611" spans="11:14">
      <c r="K4611" s="149"/>
      <c r="L4611" s="149"/>
      <c r="M4611" s="149"/>
      <c r="N4611" s="149"/>
    </row>
    <row r="4612" spans="11:14">
      <c r="K4612" s="149"/>
      <c r="L4612" s="149"/>
      <c r="M4612" s="149"/>
      <c r="N4612" s="149"/>
    </row>
    <row r="4613" spans="11:14">
      <c r="K4613" s="149"/>
      <c r="L4613" s="149"/>
      <c r="M4613" s="149"/>
      <c r="N4613" s="149"/>
    </row>
    <row r="4614" spans="11:14">
      <c r="K4614" s="149"/>
      <c r="L4614" s="149"/>
      <c r="M4614" s="149"/>
      <c r="N4614" s="149"/>
    </row>
    <row r="4615" spans="11:14">
      <c r="K4615" s="149"/>
      <c r="L4615" s="149"/>
      <c r="M4615" s="149"/>
      <c r="N4615" s="149"/>
    </row>
    <row r="4616" spans="11:14">
      <c r="K4616" s="149"/>
      <c r="L4616" s="149"/>
      <c r="M4616" s="149"/>
      <c r="N4616" s="149"/>
    </row>
    <row r="4617" spans="11:14">
      <c r="K4617" s="149"/>
      <c r="L4617" s="149"/>
      <c r="M4617" s="149"/>
      <c r="N4617" s="149"/>
    </row>
    <row r="4618" spans="11:14">
      <c r="K4618" s="149"/>
      <c r="L4618" s="149"/>
      <c r="M4618" s="149"/>
      <c r="N4618" s="149"/>
    </row>
    <row r="4619" spans="11:14">
      <c r="K4619" s="149"/>
      <c r="L4619" s="149"/>
      <c r="M4619" s="149"/>
      <c r="N4619" s="149"/>
    </row>
    <row r="4620" spans="11:14">
      <c r="K4620" s="149"/>
      <c r="L4620" s="149"/>
      <c r="M4620" s="149"/>
      <c r="N4620" s="149"/>
    </row>
    <row r="4621" spans="11:14">
      <c r="K4621" s="149"/>
      <c r="L4621" s="149"/>
      <c r="M4621" s="149"/>
      <c r="N4621" s="149"/>
    </row>
    <row r="4622" spans="11:14">
      <c r="K4622" s="149"/>
      <c r="L4622" s="149"/>
      <c r="M4622" s="149"/>
      <c r="N4622" s="149"/>
    </row>
    <row r="4623" spans="11:14">
      <c r="K4623" s="149"/>
      <c r="L4623" s="149"/>
      <c r="M4623" s="149"/>
      <c r="N4623" s="149"/>
    </row>
    <row r="4624" spans="11:14">
      <c r="K4624" s="149"/>
      <c r="L4624" s="149"/>
      <c r="M4624" s="149"/>
      <c r="N4624" s="149"/>
    </row>
    <row r="4625" spans="10:14">
      <c r="K4625" s="149"/>
      <c r="L4625" s="149"/>
      <c r="M4625" s="149"/>
      <c r="N4625" s="149"/>
    </row>
    <row r="4626" spans="10:14">
      <c r="K4626" s="149"/>
      <c r="L4626" s="149"/>
      <c r="M4626" s="149"/>
      <c r="N4626" s="149"/>
    </row>
    <row r="4627" spans="10:14">
      <c r="K4627" s="149"/>
      <c r="L4627" s="149"/>
      <c r="M4627" s="149"/>
      <c r="N4627" s="149"/>
    </row>
    <row r="4628" spans="10:14">
      <c r="K4628" s="149"/>
      <c r="L4628" s="149"/>
      <c r="M4628" s="149"/>
      <c r="N4628" s="149"/>
    </row>
    <row r="4629" spans="10:14">
      <c r="K4629" s="149"/>
      <c r="L4629" s="149"/>
      <c r="M4629" s="149"/>
      <c r="N4629" s="149"/>
    </row>
    <row r="4630" spans="10:14">
      <c r="K4630" s="149"/>
      <c r="L4630" s="149"/>
      <c r="M4630" s="149"/>
      <c r="N4630" s="149"/>
    </row>
    <row r="4631" spans="10:14">
      <c r="K4631" s="149"/>
      <c r="L4631" s="149"/>
      <c r="M4631" s="149"/>
      <c r="N4631" s="149"/>
    </row>
    <row r="4632" spans="10:14">
      <c r="J4632" s="2"/>
      <c r="K4632" s="149"/>
      <c r="L4632" s="149"/>
      <c r="M4632" s="149"/>
      <c r="N4632" s="149"/>
    </row>
    <row r="4633" spans="10:14">
      <c r="K4633" s="149"/>
      <c r="L4633" s="149"/>
      <c r="M4633" s="149"/>
      <c r="N4633" s="149"/>
    </row>
    <row r="4634" spans="10:14">
      <c r="K4634" s="149"/>
      <c r="L4634" s="149"/>
      <c r="M4634" s="149"/>
      <c r="N4634" s="149"/>
    </row>
    <row r="4635" spans="10:14">
      <c r="K4635" s="149"/>
      <c r="L4635" s="149"/>
      <c r="M4635" s="149"/>
      <c r="N4635" s="149"/>
    </row>
    <row r="4636" spans="10:14">
      <c r="K4636" s="149"/>
      <c r="L4636" s="149"/>
      <c r="M4636" s="149"/>
      <c r="N4636" s="149"/>
    </row>
    <row r="4637" spans="10:14">
      <c r="K4637" s="149"/>
      <c r="L4637" s="149"/>
      <c r="M4637" s="149"/>
      <c r="N4637" s="149"/>
    </row>
    <row r="4638" spans="10:14">
      <c r="K4638" s="149"/>
      <c r="L4638" s="149"/>
      <c r="M4638" s="149"/>
      <c r="N4638" s="149"/>
    </row>
    <row r="4639" spans="10:14">
      <c r="K4639" s="149"/>
      <c r="L4639" s="149"/>
      <c r="M4639" s="149"/>
      <c r="N4639" s="149"/>
    </row>
    <row r="4640" spans="10:14">
      <c r="K4640" s="149"/>
      <c r="L4640" s="149"/>
      <c r="M4640" s="149"/>
      <c r="N4640" s="149"/>
    </row>
    <row r="4641" spans="9:14">
      <c r="K4641" s="149"/>
      <c r="L4641" s="149"/>
      <c r="M4641" s="149"/>
      <c r="N4641" s="149"/>
    </row>
    <row r="4642" spans="9:14">
      <c r="K4642" s="149"/>
      <c r="L4642" s="149"/>
      <c r="M4642" s="149"/>
      <c r="N4642" s="149"/>
    </row>
    <row r="4643" spans="9:14">
      <c r="I4643" s="2"/>
      <c r="K4643" s="149"/>
      <c r="L4643" s="149"/>
      <c r="M4643" s="149"/>
      <c r="N4643" s="149"/>
    </row>
    <row r="4644" spans="9:14">
      <c r="K4644" s="149"/>
      <c r="L4644" s="149"/>
      <c r="M4644" s="149"/>
      <c r="N4644" s="149"/>
    </row>
    <row r="4645" spans="9:14">
      <c r="K4645" s="149"/>
      <c r="L4645" s="149"/>
      <c r="M4645" s="149"/>
      <c r="N4645" s="149"/>
    </row>
    <row r="4646" spans="9:14">
      <c r="K4646" s="149"/>
      <c r="L4646" s="149"/>
      <c r="M4646" s="149"/>
      <c r="N4646" s="149"/>
    </row>
    <row r="4647" spans="9:14">
      <c r="K4647" s="149"/>
      <c r="L4647" s="149"/>
      <c r="M4647" s="149"/>
      <c r="N4647" s="149"/>
    </row>
    <row r="4648" spans="9:14">
      <c r="K4648" s="149"/>
      <c r="L4648" s="149"/>
      <c r="M4648" s="149"/>
      <c r="N4648" s="149"/>
    </row>
    <row r="4649" spans="9:14">
      <c r="K4649" s="149"/>
      <c r="L4649" s="149"/>
      <c r="M4649" s="149"/>
      <c r="N4649" s="149"/>
    </row>
    <row r="4650" spans="9:14">
      <c r="I4650" s="2"/>
      <c r="K4650" s="149"/>
      <c r="L4650" s="149"/>
      <c r="M4650" s="149"/>
      <c r="N4650" s="149"/>
    </row>
    <row r="4651" spans="9:14">
      <c r="K4651" s="149"/>
      <c r="L4651" s="149"/>
      <c r="M4651" s="149"/>
      <c r="N4651" s="149"/>
    </row>
    <row r="4652" spans="9:14">
      <c r="K4652" s="149"/>
      <c r="L4652" s="149"/>
      <c r="M4652" s="149"/>
      <c r="N4652" s="149"/>
    </row>
    <row r="4653" spans="9:14">
      <c r="K4653" s="149"/>
      <c r="L4653" s="149"/>
      <c r="M4653" s="149"/>
      <c r="N4653" s="149"/>
    </row>
    <row r="4654" spans="9:14">
      <c r="K4654" s="149"/>
      <c r="L4654" s="149"/>
      <c r="M4654" s="149"/>
      <c r="N4654" s="149"/>
    </row>
    <row r="4655" spans="9:14">
      <c r="K4655" s="149"/>
      <c r="L4655" s="149"/>
      <c r="M4655" s="149"/>
      <c r="N4655" s="149"/>
    </row>
    <row r="4656" spans="9:14">
      <c r="K4656" s="149"/>
      <c r="L4656" s="149"/>
      <c r="M4656" s="149"/>
      <c r="N4656" s="149"/>
    </row>
    <row r="4657" spans="9:14">
      <c r="K4657" s="149"/>
      <c r="L4657" s="149"/>
      <c r="M4657" s="149"/>
      <c r="N4657" s="149"/>
    </row>
    <row r="4658" spans="9:14">
      <c r="K4658" s="149"/>
      <c r="L4658" s="149"/>
      <c r="M4658" s="149"/>
      <c r="N4658" s="149"/>
    </row>
    <row r="4659" spans="9:14">
      <c r="K4659" s="149"/>
      <c r="L4659" s="149"/>
      <c r="M4659" s="149"/>
      <c r="N4659" s="149"/>
    </row>
    <row r="4660" spans="9:14">
      <c r="K4660" s="149"/>
      <c r="L4660" s="149"/>
      <c r="M4660" s="149"/>
      <c r="N4660" s="149"/>
    </row>
    <row r="4661" spans="9:14">
      <c r="K4661" s="149"/>
      <c r="L4661" s="149"/>
      <c r="M4661" s="149"/>
      <c r="N4661" s="149"/>
    </row>
    <row r="4662" spans="9:14">
      <c r="K4662" s="149"/>
      <c r="L4662" s="149"/>
      <c r="M4662" s="149"/>
      <c r="N4662" s="149"/>
    </row>
    <row r="4663" spans="9:14">
      <c r="K4663" s="149"/>
      <c r="L4663" s="149"/>
      <c r="M4663" s="149"/>
      <c r="N4663" s="149"/>
    </row>
    <row r="4664" spans="9:14">
      <c r="K4664" s="149"/>
      <c r="L4664" s="149"/>
      <c r="M4664" s="149"/>
      <c r="N4664" s="149"/>
    </row>
    <row r="4665" spans="9:14">
      <c r="K4665" s="149"/>
      <c r="L4665" s="149"/>
      <c r="M4665" s="149"/>
      <c r="N4665" s="149"/>
    </row>
    <row r="4666" spans="9:14">
      <c r="K4666" s="149"/>
      <c r="L4666" s="149"/>
      <c r="M4666" s="149"/>
      <c r="N4666" s="149"/>
    </row>
    <row r="4667" spans="9:14">
      <c r="K4667" s="149"/>
      <c r="L4667" s="149"/>
      <c r="M4667" s="149"/>
      <c r="N4667" s="149"/>
    </row>
    <row r="4668" spans="9:14">
      <c r="K4668" s="149"/>
      <c r="L4668" s="149"/>
      <c r="M4668" s="149"/>
      <c r="N4668" s="149"/>
    </row>
    <row r="4669" spans="9:14">
      <c r="K4669" s="149"/>
      <c r="L4669" s="149"/>
      <c r="M4669" s="149"/>
      <c r="N4669" s="149"/>
    </row>
    <row r="4670" spans="9:14">
      <c r="K4670" s="149"/>
      <c r="L4670" s="149"/>
      <c r="M4670" s="149"/>
      <c r="N4670" s="149"/>
    </row>
    <row r="4671" spans="9:14">
      <c r="K4671" s="149"/>
      <c r="L4671" s="149"/>
      <c r="M4671" s="149"/>
      <c r="N4671" s="149"/>
    </row>
    <row r="4672" spans="9:14">
      <c r="I4672" s="2"/>
      <c r="K4672" s="149"/>
      <c r="L4672" s="149"/>
      <c r="M4672" s="149"/>
      <c r="N4672" s="149"/>
    </row>
    <row r="4673" spans="9:14">
      <c r="I4673" s="2"/>
      <c r="K4673" s="149"/>
      <c r="L4673" s="149"/>
      <c r="M4673" s="149"/>
      <c r="N4673" s="149"/>
    </row>
    <row r="4674" spans="9:14">
      <c r="I4674" s="2"/>
      <c r="K4674" s="149"/>
      <c r="L4674" s="149"/>
      <c r="M4674" s="149"/>
      <c r="N4674" s="149"/>
    </row>
    <row r="4675" spans="9:14">
      <c r="I4675" s="2"/>
      <c r="K4675" s="149"/>
      <c r="L4675" s="149"/>
      <c r="M4675" s="149"/>
      <c r="N4675" s="149"/>
    </row>
    <row r="4676" spans="9:14">
      <c r="K4676" s="149"/>
      <c r="L4676" s="149"/>
      <c r="M4676" s="149"/>
      <c r="N4676" s="149"/>
    </row>
    <row r="4677" spans="9:14">
      <c r="K4677" s="149"/>
      <c r="L4677" s="149"/>
      <c r="M4677" s="149"/>
      <c r="N4677" s="149"/>
    </row>
    <row r="4678" spans="9:14">
      <c r="K4678" s="149"/>
      <c r="L4678" s="149"/>
      <c r="M4678" s="149"/>
      <c r="N4678" s="149"/>
    </row>
    <row r="4679" spans="9:14">
      <c r="K4679" s="149"/>
      <c r="L4679" s="149"/>
      <c r="M4679" s="149"/>
      <c r="N4679" s="149"/>
    </row>
    <row r="4680" spans="9:14">
      <c r="K4680" s="149"/>
      <c r="L4680" s="149"/>
      <c r="M4680" s="149"/>
      <c r="N4680" s="149"/>
    </row>
    <row r="4681" spans="9:14">
      <c r="K4681" s="149"/>
      <c r="L4681" s="149"/>
      <c r="M4681" s="149"/>
      <c r="N4681" s="149"/>
    </row>
    <row r="4682" spans="9:14">
      <c r="K4682" s="149"/>
      <c r="L4682" s="149"/>
      <c r="M4682" s="149"/>
      <c r="N4682" s="149"/>
    </row>
    <row r="4683" spans="9:14">
      <c r="K4683" s="149"/>
      <c r="L4683" s="149"/>
      <c r="M4683" s="149"/>
      <c r="N4683" s="149"/>
    </row>
    <row r="4684" spans="9:14">
      <c r="K4684" s="149"/>
      <c r="L4684" s="149"/>
      <c r="M4684" s="149"/>
      <c r="N4684" s="149"/>
    </row>
    <row r="4685" spans="9:14">
      <c r="K4685" s="149"/>
      <c r="L4685" s="149"/>
      <c r="M4685" s="149"/>
      <c r="N4685" s="149"/>
    </row>
    <row r="4686" spans="9:14">
      <c r="K4686" s="149"/>
      <c r="L4686" s="149"/>
      <c r="M4686" s="149"/>
      <c r="N4686" s="149"/>
    </row>
    <row r="4687" spans="9:14">
      <c r="J4687" s="2"/>
      <c r="K4687" s="149"/>
      <c r="L4687" s="149"/>
      <c r="M4687" s="149"/>
      <c r="N4687" s="149"/>
    </row>
    <row r="4688" spans="9:14">
      <c r="K4688" s="149"/>
      <c r="L4688" s="149"/>
      <c r="M4688" s="149"/>
      <c r="N4688" s="149"/>
    </row>
    <row r="4689" spans="9:14">
      <c r="K4689" s="149"/>
      <c r="L4689" s="149"/>
      <c r="M4689" s="149"/>
      <c r="N4689" s="149"/>
    </row>
    <row r="4690" spans="9:14">
      <c r="K4690" s="149"/>
      <c r="L4690" s="149"/>
      <c r="M4690" s="149"/>
      <c r="N4690" s="149"/>
    </row>
    <row r="4691" spans="9:14">
      <c r="I4691" s="2"/>
      <c r="K4691" s="149"/>
      <c r="L4691" s="149"/>
      <c r="M4691" s="149"/>
      <c r="N4691" s="149"/>
    </row>
    <row r="4692" spans="9:14">
      <c r="I4692" s="2"/>
      <c r="K4692" s="149"/>
      <c r="L4692" s="149"/>
      <c r="M4692" s="149"/>
      <c r="N4692" s="149"/>
    </row>
    <row r="4693" spans="9:14">
      <c r="K4693" s="149"/>
      <c r="L4693" s="149"/>
      <c r="M4693" s="149"/>
      <c r="N4693" s="149"/>
    </row>
    <row r="4694" spans="9:14">
      <c r="K4694" s="149"/>
      <c r="L4694" s="149"/>
      <c r="M4694" s="149"/>
      <c r="N4694" s="149"/>
    </row>
    <row r="4695" spans="9:14">
      <c r="I4695" s="2"/>
      <c r="K4695" s="149"/>
      <c r="L4695" s="149"/>
      <c r="M4695" s="149"/>
      <c r="N4695" s="149"/>
    </row>
    <row r="4696" spans="9:14">
      <c r="K4696" s="149"/>
      <c r="L4696" s="149"/>
      <c r="M4696" s="149"/>
      <c r="N4696" s="149"/>
    </row>
    <row r="4697" spans="9:14">
      <c r="K4697" s="149"/>
      <c r="L4697" s="149"/>
      <c r="M4697" s="149"/>
      <c r="N4697" s="149"/>
    </row>
    <row r="4698" spans="9:14">
      <c r="K4698" s="149"/>
      <c r="L4698" s="149"/>
      <c r="M4698" s="149"/>
      <c r="N4698" s="149"/>
    </row>
    <row r="4699" spans="9:14">
      <c r="K4699" s="149"/>
      <c r="L4699" s="149"/>
      <c r="M4699" s="149"/>
      <c r="N4699" s="149"/>
    </row>
    <row r="4700" spans="9:14">
      <c r="K4700" s="149"/>
      <c r="L4700" s="149"/>
      <c r="M4700" s="149"/>
      <c r="N4700" s="149"/>
    </row>
    <row r="4701" spans="9:14">
      <c r="J4701" s="2"/>
      <c r="K4701" s="149"/>
      <c r="L4701" s="149"/>
      <c r="M4701" s="149"/>
      <c r="N4701" s="149"/>
    </row>
    <row r="4702" spans="9:14">
      <c r="I4702" s="2"/>
      <c r="K4702" s="149"/>
      <c r="L4702" s="149"/>
      <c r="M4702" s="149"/>
      <c r="N4702" s="149"/>
    </row>
    <row r="4703" spans="9:14">
      <c r="K4703" s="149"/>
      <c r="L4703" s="149"/>
      <c r="M4703" s="149"/>
      <c r="N4703" s="149"/>
    </row>
    <row r="4704" spans="9:14">
      <c r="K4704" s="149"/>
      <c r="L4704" s="149"/>
      <c r="M4704" s="149"/>
      <c r="N4704" s="149"/>
    </row>
    <row r="4705" spans="9:14">
      <c r="K4705" s="149"/>
      <c r="L4705" s="149"/>
      <c r="M4705" s="149"/>
      <c r="N4705" s="149"/>
    </row>
    <row r="4706" spans="9:14">
      <c r="K4706" s="149"/>
      <c r="L4706" s="149"/>
      <c r="M4706" s="149"/>
      <c r="N4706" s="149"/>
    </row>
    <row r="4707" spans="9:14">
      <c r="K4707" s="149"/>
      <c r="L4707" s="149"/>
      <c r="M4707" s="149"/>
      <c r="N4707" s="149"/>
    </row>
    <row r="4708" spans="9:14">
      <c r="K4708" s="149"/>
      <c r="L4708" s="149"/>
      <c r="M4708" s="149"/>
      <c r="N4708" s="149"/>
    </row>
    <row r="4709" spans="9:14">
      <c r="K4709" s="149"/>
      <c r="L4709" s="149"/>
      <c r="M4709" s="149"/>
      <c r="N4709" s="149"/>
    </row>
    <row r="4710" spans="9:14">
      <c r="K4710" s="149"/>
      <c r="L4710" s="149"/>
      <c r="M4710" s="149"/>
      <c r="N4710" s="149"/>
    </row>
    <row r="4711" spans="9:14">
      <c r="K4711" s="149"/>
      <c r="L4711" s="149"/>
      <c r="M4711" s="149"/>
      <c r="N4711" s="149"/>
    </row>
    <row r="4712" spans="9:14">
      <c r="K4712" s="149"/>
      <c r="L4712" s="149"/>
      <c r="M4712" s="149"/>
      <c r="N4712" s="149"/>
    </row>
    <row r="4713" spans="9:14">
      <c r="K4713" s="149"/>
      <c r="L4713" s="149"/>
      <c r="M4713" s="149"/>
      <c r="N4713" s="149"/>
    </row>
    <row r="4714" spans="9:14">
      <c r="J4714" s="2"/>
      <c r="K4714" s="149"/>
      <c r="L4714" s="149"/>
      <c r="M4714" s="149"/>
      <c r="N4714" s="149"/>
    </row>
    <row r="4715" spans="9:14">
      <c r="K4715" s="149"/>
      <c r="L4715" s="149"/>
      <c r="M4715" s="149"/>
      <c r="N4715" s="149"/>
    </row>
    <row r="4716" spans="9:14">
      <c r="K4716" s="149"/>
      <c r="L4716" s="149"/>
      <c r="M4716" s="149"/>
      <c r="N4716" s="149"/>
    </row>
    <row r="4717" spans="9:14">
      <c r="I4717" s="2"/>
      <c r="K4717" s="149"/>
      <c r="L4717" s="149"/>
      <c r="M4717" s="149"/>
      <c r="N4717" s="149"/>
    </row>
    <row r="4718" spans="9:14">
      <c r="I4718" s="2"/>
      <c r="K4718" s="149"/>
      <c r="L4718" s="149"/>
      <c r="M4718" s="149"/>
      <c r="N4718" s="149"/>
    </row>
    <row r="4719" spans="9:14">
      <c r="K4719" s="149"/>
      <c r="L4719" s="149"/>
      <c r="M4719" s="149"/>
      <c r="N4719" s="149"/>
    </row>
    <row r="4720" spans="9:14">
      <c r="K4720" s="149"/>
      <c r="L4720" s="149"/>
      <c r="M4720" s="149"/>
      <c r="N4720" s="149"/>
    </row>
    <row r="4721" spans="9:14">
      <c r="K4721" s="149"/>
      <c r="L4721" s="149"/>
      <c r="M4721" s="149"/>
      <c r="N4721" s="149"/>
    </row>
    <row r="4722" spans="9:14">
      <c r="I4722" s="2"/>
      <c r="K4722" s="149"/>
      <c r="L4722" s="149"/>
      <c r="M4722" s="149"/>
      <c r="N4722" s="149"/>
    </row>
    <row r="4723" spans="9:14">
      <c r="I4723" s="2"/>
      <c r="K4723" s="149"/>
      <c r="L4723" s="149"/>
      <c r="M4723" s="149"/>
      <c r="N4723" s="149"/>
    </row>
    <row r="4724" spans="9:14">
      <c r="K4724" s="149"/>
      <c r="L4724" s="149"/>
      <c r="M4724" s="149"/>
      <c r="N4724" s="149"/>
    </row>
    <row r="4725" spans="9:14">
      <c r="K4725" s="149"/>
      <c r="L4725" s="149"/>
      <c r="M4725" s="149"/>
      <c r="N4725" s="149"/>
    </row>
    <row r="4726" spans="9:14">
      <c r="K4726" s="149"/>
      <c r="L4726" s="149"/>
      <c r="M4726" s="149"/>
      <c r="N4726" s="149"/>
    </row>
    <row r="4727" spans="9:14">
      <c r="K4727" s="149"/>
      <c r="L4727" s="149"/>
      <c r="M4727" s="149"/>
      <c r="N4727" s="149"/>
    </row>
    <row r="4728" spans="9:14">
      <c r="K4728" s="149"/>
      <c r="L4728" s="149"/>
      <c r="M4728" s="149"/>
      <c r="N4728" s="149"/>
    </row>
    <row r="4729" spans="9:14">
      <c r="K4729" s="149"/>
      <c r="L4729" s="149"/>
      <c r="M4729" s="149"/>
      <c r="N4729" s="149"/>
    </row>
    <row r="4730" spans="9:14">
      <c r="K4730" s="149"/>
      <c r="L4730" s="149"/>
      <c r="M4730" s="149"/>
      <c r="N4730" s="149"/>
    </row>
    <row r="4731" spans="9:14">
      <c r="K4731" s="149"/>
      <c r="L4731" s="149"/>
      <c r="M4731" s="149"/>
      <c r="N4731" s="149"/>
    </row>
    <row r="4732" spans="9:14">
      <c r="K4732" s="149"/>
      <c r="L4732" s="149"/>
      <c r="M4732" s="149"/>
      <c r="N4732" s="149"/>
    </row>
    <row r="4733" spans="9:14">
      <c r="K4733" s="149"/>
      <c r="L4733" s="149"/>
      <c r="M4733" s="149"/>
      <c r="N4733" s="149"/>
    </row>
    <row r="4734" spans="9:14">
      <c r="K4734" s="149"/>
      <c r="L4734" s="149"/>
      <c r="M4734" s="149"/>
      <c r="N4734" s="149"/>
    </row>
    <row r="4735" spans="9:14">
      <c r="K4735" s="149"/>
      <c r="L4735" s="149"/>
      <c r="M4735" s="149"/>
      <c r="N4735" s="149"/>
    </row>
    <row r="4736" spans="9:14">
      <c r="K4736" s="149"/>
      <c r="L4736" s="149"/>
      <c r="M4736" s="149"/>
      <c r="N4736" s="149"/>
    </row>
    <row r="4737" spans="9:14">
      <c r="K4737" s="149"/>
      <c r="L4737" s="149"/>
      <c r="M4737" s="149"/>
      <c r="N4737" s="149"/>
    </row>
    <row r="4738" spans="9:14">
      <c r="K4738" s="149"/>
      <c r="L4738" s="149"/>
      <c r="M4738" s="149"/>
      <c r="N4738" s="149"/>
    </row>
    <row r="4739" spans="9:14">
      <c r="K4739" s="149"/>
      <c r="L4739" s="149"/>
      <c r="M4739" s="149"/>
      <c r="N4739" s="149"/>
    </row>
    <row r="4740" spans="9:14">
      <c r="K4740" s="149"/>
      <c r="L4740" s="149"/>
      <c r="M4740" s="149"/>
      <c r="N4740" s="149"/>
    </row>
    <row r="4741" spans="9:14">
      <c r="K4741" s="149"/>
      <c r="L4741" s="149"/>
      <c r="M4741" s="149"/>
      <c r="N4741" s="149"/>
    </row>
    <row r="4742" spans="9:14">
      <c r="K4742" s="149"/>
      <c r="L4742" s="149"/>
      <c r="M4742" s="149"/>
      <c r="N4742" s="149"/>
    </row>
    <row r="4743" spans="9:14">
      <c r="K4743" s="149"/>
      <c r="L4743" s="149"/>
      <c r="M4743" s="149"/>
      <c r="N4743" s="149"/>
    </row>
    <row r="4744" spans="9:14">
      <c r="K4744" s="149"/>
      <c r="L4744" s="149"/>
      <c r="M4744" s="149"/>
      <c r="N4744" s="149"/>
    </row>
    <row r="4745" spans="9:14">
      <c r="K4745" s="149"/>
      <c r="L4745" s="149"/>
      <c r="M4745" s="149"/>
      <c r="N4745" s="149"/>
    </row>
    <row r="4746" spans="9:14">
      <c r="K4746" s="149"/>
      <c r="L4746" s="149"/>
      <c r="M4746" s="149"/>
      <c r="N4746" s="149"/>
    </row>
    <row r="4747" spans="9:14">
      <c r="I4747" s="2"/>
      <c r="K4747" s="149"/>
      <c r="L4747" s="149"/>
      <c r="M4747" s="149"/>
      <c r="N4747" s="149"/>
    </row>
    <row r="4748" spans="9:14">
      <c r="J4748" s="2"/>
      <c r="K4748" s="149"/>
      <c r="L4748" s="149"/>
      <c r="M4748" s="149"/>
      <c r="N4748" s="149"/>
    </row>
    <row r="4749" spans="9:14">
      <c r="J4749" s="2"/>
      <c r="K4749" s="149"/>
      <c r="L4749" s="149"/>
      <c r="M4749" s="149"/>
      <c r="N4749" s="149"/>
    </row>
    <row r="4750" spans="9:14">
      <c r="I4750" s="2"/>
      <c r="K4750" s="149"/>
      <c r="L4750" s="149"/>
      <c r="M4750" s="149"/>
      <c r="N4750" s="149"/>
    </row>
    <row r="4751" spans="9:14">
      <c r="I4751" s="2"/>
      <c r="K4751" s="149"/>
      <c r="L4751" s="149"/>
      <c r="M4751" s="149"/>
      <c r="N4751" s="149"/>
    </row>
    <row r="4752" spans="9:14">
      <c r="I4752" s="2"/>
      <c r="K4752" s="149"/>
      <c r="L4752" s="149"/>
      <c r="M4752" s="149"/>
      <c r="N4752" s="149"/>
    </row>
    <row r="4753" spans="9:14">
      <c r="K4753" s="149"/>
      <c r="L4753" s="149"/>
      <c r="M4753" s="149"/>
      <c r="N4753" s="149"/>
    </row>
    <row r="4754" spans="9:14">
      <c r="I4754" s="2"/>
      <c r="K4754" s="149"/>
      <c r="L4754" s="149"/>
      <c r="M4754" s="149"/>
      <c r="N4754" s="149"/>
    </row>
    <row r="4755" spans="9:14">
      <c r="I4755" s="2"/>
      <c r="K4755" s="149"/>
      <c r="L4755" s="149"/>
      <c r="M4755" s="149"/>
      <c r="N4755" s="149"/>
    </row>
    <row r="4756" spans="9:14">
      <c r="K4756" s="149"/>
      <c r="L4756" s="149"/>
      <c r="M4756" s="149"/>
      <c r="N4756" s="149"/>
    </row>
    <row r="4757" spans="9:14">
      <c r="I4757" s="2"/>
      <c r="K4757" s="149"/>
      <c r="L4757" s="149"/>
      <c r="M4757" s="149"/>
      <c r="N4757" s="149"/>
    </row>
    <row r="4758" spans="9:14">
      <c r="K4758" s="149"/>
      <c r="L4758" s="149"/>
      <c r="M4758" s="149"/>
      <c r="N4758" s="149"/>
    </row>
    <row r="4759" spans="9:14">
      <c r="K4759" s="149"/>
      <c r="L4759" s="149"/>
      <c r="M4759" s="149"/>
      <c r="N4759" s="149"/>
    </row>
    <row r="4760" spans="9:14">
      <c r="K4760" s="149"/>
      <c r="L4760" s="149"/>
      <c r="M4760" s="149"/>
      <c r="N4760" s="149"/>
    </row>
    <row r="4761" spans="9:14">
      <c r="K4761" s="149"/>
      <c r="L4761" s="149"/>
      <c r="M4761" s="149"/>
      <c r="N4761" s="149"/>
    </row>
    <row r="4762" spans="9:14">
      <c r="K4762" s="149"/>
      <c r="L4762" s="149"/>
      <c r="M4762" s="149"/>
      <c r="N4762" s="149"/>
    </row>
    <row r="4763" spans="9:14">
      <c r="K4763" s="149"/>
      <c r="L4763" s="149"/>
      <c r="M4763" s="149"/>
      <c r="N4763" s="149"/>
    </row>
    <row r="4764" spans="9:14">
      <c r="K4764" s="149"/>
      <c r="L4764" s="149"/>
      <c r="M4764" s="149"/>
      <c r="N4764" s="149"/>
    </row>
    <row r="4765" spans="9:14">
      <c r="K4765" s="149"/>
      <c r="L4765" s="149"/>
      <c r="M4765" s="149"/>
      <c r="N4765" s="149"/>
    </row>
    <row r="4766" spans="9:14">
      <c r="I4766" s="2"/>
      <c r="K4766" s="149"/>
      <c r="L4766" s="149"/>
      <c r="M4766" s="149"/>
      <c r="N4766" s="149"/>
    </row>
    <row r="4767" spans="9:14">
      <c r="J4767" s="2"/>
      <c r="K4767" s="149"/>
      <c r="L4767" s="149"/>
      <c r="M4767" s="149"/>
      <c r="N4767" s="149"/>
    </row>
    <row r="4768" spans="9:14">
      <c r="I4768" s="2"/>
      <c r="K4768" s="149"/>
      <c r="L4768" s="149"/>
      <c r="M4768" s="149"/>
      <c r="N4768" s="149"/>
    </row>
    <row r="4769" spans="9:14">
      <c r="K4769" s="149"/>
      <c r="L4769" s="149"/>
      <c r="M4769" s="149"/>
      <c r="N4769" s="149"/>
    </row>
    <row r="4770" spans="9:14">
      <c r="K4770" s="149"/>
      <c r="L4770" s="149"/>
      <c r="M4770" s="149"/>
      <c r="N4770" s="149"/>
    </row>
    <row r="4771" spans="9:14">
      <c r="K4771" s="149"/>
      <c r="L4771" s="149"/>
      <c r="M4771" s="149"/>
      <c r="N4771" s="149"/>
    </row>
    <row r="4772" spans="9:14">
      <c r="K4772" s="149"/>
      <c r="L4772" s="149"/>
      <c r="M4772" s="149"/>
      <c r="N4772" s="149"/>
    </row>
    <row r="4773" spans="9:14">
      <c r="K4773" s="149"/>
      <c r="L4773" s="149"/>
      <c r="M4773" s="149"/>
      <c r="N4773" s="149"/>
    </row>
    <row r="4774" spans="9:14">
      <c r="K4774" s="149"/>
      <c r="L4774" s="149"/>
      <c r="M4774" s="149"/>
      <c r="N4774" s="149"/>
    </row>
    <row r="4775" spans="9:14">
      <c r="K4775" s="149"/>
      <c r="L4775" s="149"/>
      <c r="M4775" s="149"/>
      <c r="N4775" s="149"/>
    </row>
    <row r="4776" spans="9:14">
      <c r="K4776" s="149"/>
      <c r="L4776" s="149"/>
      <c r="M4776" s="149"/>
      <c r="N4776" s="149"/>
    </row>
    <row r="4777" spans="9:14">
      <c r="K4777" s="149"/>
      <c r="L4777" s="149"/>
      <c r="M4777" s="149"/>
      <c r="N4777" s="149"/>
    </row>
    <row r="4778" spans="9:14">
      <c r="K4778" s="149"/>
      <c r="L4778" s="149"/>
      <c r="M4778" s="149"/>
      <c r="N4778" s="149"/>
    </row>
    <row r="4779" spans="9:14">
      <c r="K4779" s="149"/>
      <c r="L4779" s="149"/>
      <c r="M4779" s="149"/>
      <c r="N4779" s="149"/>
    </row>
    <row r="4780" spans="9:14">
      <c r="K4780" s="149"/>
      <c r="L4780" s="149"/>
      <c r="M4780" s="149"/>
      <c r="N4780" s="149"/>
    </row>
    <row r="4781" spans="9:14">
      <c r="I4781" s="2"/>
      <c r="K4781" s="149"/>
      <c r="L4781" s="149"/>
      <c r="M4781" s="149"/>
      <c r="N4781" s="149"/>
    </row>
    <row r="4782" spans="9:14">
      <c r="K4782" s="149"/>
      <c r="L4782" s="149"/>
      <c r="M4782" s="149"/>
      <c r="N4782" s="149"/>
    </row>
    <row r="4783" spans="9:14">
      <c r="K4783" s="149"/>
      <c r="L4783" s="149"/>
      <c r="M4783" s="149"/>
      <c r="N4783" s="149"/>
    </row>
    <row r="4784" spans="9:14">
      <c r="K4784" s="149"/>
      <c r="L4784" s="149"/>
      <c r="M4784" s="149"/>
      <c r="N4784" s="149"/>
    </row>
    <row r="4785" spans="9:14">
      <c r="K4785" s="149"/>
      <c r="L4785" s="149"/>
      <c r="M4785" s="149"/>
      <c r="N4785" s="149"/>
    </row>
    <row r="4786" spans="9:14">
      <c r="K4786" s="149"/>
      <c r="L4786" s="149"/>
      <c r="M4786" s="149"/>
      <c r="N4786" s="149"/>
    </row>
    <row r="4787" spans="9:14">
      <c r="K4787" s="149"/>
      <c r="L4787" s="149"/>
      <c r="M4787" s="149"/>
      <c r="N4787" s="149"/>
    </row>
    <row r="4788" spans="9:14">
      <c r="K4788" s="149"/>
      <c r="L4788" s="149"/>
      <c r="M4788" s="149"/>
      <c r="N4788" s="149"/>
    </row>
    <row r="4789" spans="9:14">
      <c r="K4789" s="149"/>
      <c r="L4789" s="149"/>
      <c r="M4789" s="149"/>
      <c r="N4789" s="149"/>
    </row>
    <row r="4790" spans="9:14">
      <c r="I4790" s="2"/>
      <c r="K4790" s="149"/>
      <c r="L4790" s="149"/>
      <c r="M4790" s="149"/>
      <c r="N4790" s="149"/>
    </row>
    <row r="4791" spans="9:14">
      <c r="I4791" s="2"/>
      <c r="K4791" s="149"/>
      <c r="L4791" s="149"/>
      <c r="M4791" s="149"/>
      <c r="N4791" s="149"/>
    </row>
    <row r="4792" spans="9:14">
      <c r="I4792" s="2"/>
      <c r="K4792" s="149"/>
      <c r="L4792" s="149"/>
      <c r="M4792" s="149"/>
      <c r="N4792" s="149"/>
    </row>
    <row r="4793" spans="9:14">
      <c r="I4793" s="2"/>
      <c r="K4793" s="149"/>
      <c r="L4793" s="149"/>
      <c r="M4793" s="149"/>
      <c r="N4793" s="149"/>
    </row>
    <row r="4794" spans="9:14">
      <c r="K4794" s="149"/>
      <c r="L4794" s="149"/>
      <c r="M4794" s="149"/>
      <c r="N4794" s="149"/>
    </row>
    <row r="4795" spans="9:14">
      <c r="K4795" s="149"/>
      <c r="L4795" s="149"/>
      <c r="M4795" s="149"/>
      <c r="N4795" s="149"/>
    </row>
    <row r="4796" spans="9:14">
      <c r="K4796" s="149"/>
      <c r="L4796" s="149"/>
      <c r="M4796" s="149"/>
      <c r="N4796" s="149"/>
    </row>
    <row r="4797" spans="9:14">
      <c r="K4797" s="149"/>
      <c r="L4797" s="149"/>
      <c r="M4797" s="149"/>
      <c r="N4797" s="149"/>
    </row>
    <row r="4798" spans="9:14">
      <c r="J4798" s="2"/>
      <c r="K4798" s="149"/>
      <c r="L4798" s="149"/>
      <c r="M4798" s="149"/>
      <c r="N4798" s="149"/>
    </row>
    <row r="4799" spans="9:14">
      <c r="J4799" s="2"/>
      <c r="K4799" s="149"/>
      <c r="L4799" s="149"/>
      <c r="M4799" s="149"/>
      <c r="N4799" s="149"/>
    </row>
    <row r="4800" spans="9:14">
      <c r="K4800" s="149"/>
      <c r="L4800" s="149"/>
      <c r="M4800" s="149"/>
      <c r="N4800" s="149"/>
    </row>
    <row r="4801" spans="9:14">
      <c r="K4801" s="149"/>
      <c r="L4801" s="149"/>
      <c r="M4801" s="149"/>
      <c r="N4801" s="149"/>
    </row>
    <row r="4802" spans="9:14">
      <c r="I4802" s="2"/>
      <c r="K4802" s="149"/>
      <c r="L4802" s="149"/>
      <c r="M4802" s="149"/>
      <c r="N4802" s="149"/>
    </row>
    <row r="4803" spans="9:14">
      <c r="K4803" s="149"/>
      <c r="L4803" s="149"/>
      <c r="M4803" s="149"/>
      <c r="N4803" s="149"/>
    </row>
    <row r="4804" spans="9:14">
      <c r="K4804" s="149"/>
      <c r="L4804" s="149"/>
      <c r="M4804" s="149"/>
      <c r="N4804" s="149"/>
    </row>
    <row r="4805" spans="9:14">
      <c r="K4805" s="149"/>
      <c r="L4805" s="149"/>
      <c r="M4805" s="149"/>
      <c r="N4805" s="149"/>
    </row>
    <row r="4806" spans="9:14">
      <c r="J4806" s="2"/>
      <c r="K4806" s="149"/>
      <c r="L4806" s="149"/>
      <c r="M4806" s="149"/>
      <c r="N4806" s="149"/>
    </row>
    <row r="4807" spans="9:14">
      <c r="K4807" s="149"/>
      <c r="L4807" s="149"/>
      <c r="M4807" s="149"/>
      <c r="N4807" s="149"/>
    </row>
    <row r="4808" spans="9:14">
      <c r="I4808" s="2"/>
      <c r="K4808" s="149"/>
      <c r="L4808" s="149"/>
      <c r="M4808" s="149"/>
      <c r="N4808" s="149"/>
    </row>
    <row r="4809" spans="9:14">
      <c r="I4809" s="2"/>
      <c r="K4809" s="149"/>
      <c r="L4809" s="149"/>
      <c r="M4809" s="149"/>
      <c r="N4809" s="149"/>
    </row>
    <row r="4810" spans="9:14">
      <c r="I4810" s="2"/>
      <c r="K4810" s="149"/>
      <c r="L4810" s="149"/>
      <c r="M4810" s="149"/>
      <c r="N4810" s="149"/>
    </row>
    <row r="4811" spans="9:14">
      <c r="J4811" s="2"/>
      <c r="K4811" s="149"/>
      <c r="L4811" s="149"/>
      <c r="M4811" s="149"/>
      <c r="N4811" s="149"/>
    </row>
    <row r="4812" spans="9:14">
      <c r="K4812" s="149"/>
      <c r="L4812" s="149"/>
      <c r="M4812" s="149"/>
      <c r="N4812" s="149"/>
    </row>
    <row r="4813" spans="9:14">
      <c r="K4813" s="149"/>
      <c r="L4813" s="149"/>
      <c r="M4813" s="149"/>
      <c r="N4813" s="149"/>
    </row>
    <row r="4814" spans="9:14">
      <c r="K4814" s="149"/>
      <c r="L4814" s="149"/>
      <c r="M4814" s="149"/>
      <c r="N4814" s="149"/>
    </row>
    <row r="4815" spans="9:14">
      <c r="K4815" s="149"/>
      <c r="L4815" s="149"/>
      <c r="M4815" s="149"/>
      <c r="N4815" s="149"/>
    </row>
    <row r="4816" spans="9:14">
      <c r="K4816" s="149"/>
      <c r="L4816" s="149"/>
      <c r="M4816" s="149"/>
      <c r="N4816" s="149"/>
    </row>
    <row r="4817" spans="9:14">
      <c r="K4817" s="149"/>
      <c r="L4817" s="149"/>
      <c r="M4817" s="149"/>
      <c r="N4817" s="149"/>
    </row>
    <row r="4818" spans="9:14">
      <c r="K4818" s="149"/>
      <c r="L4818" s="149"/>
      <c r="M4818" s="149"/>
      <c r="N4818" s="149"/>
    </row>
    <row r="4819" spans="9:14">
      <c r="K4819" s="149"/>
      <c r="L4819" s="149"/>
      <c r="M4819" s="149"/>
      <c r="N4819" s="149"/>
    </row>
    <row r="4820" spans="9:14">
      <c r="K4820" s="149"/>
      <c r="L4820" s="149"/>
      <c r="M4820" s="149"/>
      <c r="N4820" s="149"/>
    </row>
    <row r="4821" spans="9:14">
      <c r="K4821" s="149"/>
      <c r="L4821" s="149"/>
      <c r="M4821" s="149"/>
      <c r="N4821" s="149"/>
    </row>
    <row r="4822" spans="9:14">
      <c r="K4822" s="149"/>
      <c r="L4822" s="149"/>
      <c r="M4822" s="149"/>
      <c r="N4822" s="149"/>
    </row>
    <row r="4823" spans="9:14">
      <c r="K4823" s="149"/>
      <c r="L4823" s="149"/>
      <c r="M4823" s="149"/>
      <c r="N4823" s="149"/>
    </row>
    <row r="4824" spans="9:14">
      <c r="K4824" s="149"/>
      <c r="L4824" s="149"/>
      <c r="M4824" s="149"/>
      <c r="N4824" s="149"/>
    </row>
    <row r="4825" spans="9:14">
      <c r="K4825" s="149"/>
      <c r="L4825" s="149"/>
      <c r="M4825" s="149"/>
      <c r="N4825" s="149"/>
    </row>
    <row r="4826" spans="9:14">
      <c r="I4826" s="2"/>
      <c r="K4826" s="149"/>
      <c r="L4826" s="149"/>
      <c r="M4826" s="149"/>
      <c r="N4826" s="149"/>
    </row>
    <row r="4827" spans="9:14">
      <c r="I4827" s="2"/>
      <c r="K4827" s="149"/>
      <c r="L4827" s="149"/>
      <c r="M4827" s="149"/>
      <c r="N4827" s="149"/>
    </row>
    <row r="4828" spans="9:14">
      <c r="I4828" s="2"/>
      <c r="K4828" s="149"/>
      <c r="L4828" s="149"/>
      <c r="M4828" s="149"/>
      <c r="N4828" s="149"/>
    </row>
    <row r="4829" spans="9:14">
      <c r="I4829" s="2"/>
      <c r="K4829" s="149"/>
      <c r="L4829" s="149"/>
      <c r="M4829" s="149"/>
      <c r="N4829" s="149"/>
    </row>
    <row r="4830" spans="9:14">
      <c r="K4830" s="149"/>
      <c r="L4830" s="149"/>
      <c r="M4830" s="149"/>
      <c r="N4830" s="149"/>
    </row>
    <row r="4831" spans="9:14">
      <c r="K4831" s="149"/>
      <c r="L4831" s="149"/>
      <c r="M4831" s="149"/>
      <c r="N4831" s="149"/>
    </row>
    <row r="4832" spans="9:14">
      <c r="I4832" s="2"/>
      <c r="K4832" s="149"/>
      <c r="L4832" s="149"/>
      <c r="M4832" s="149"/>
      <c r="N4832" s="149"/>
    </row>
    <row r="4833" spans="9:14">
      <c r="I4833" s="2"/>
      <c r="K4833" s="149"/>
      <c r="L4833" s="149"/>
      <c r="M4833" s="149"/>
      <c r="N4833" s="149"/>
    </row>
    <row r="4834" spans="9:14">
      <c r="I4834" s="2"/>
      <c r="K4834" s="149"/>
      <c r="L4834" s="149"/>
      <c r="M4834" s="149"/>
      <c r="N4834" s="149"/>
    </row>
    <row r="4835" spans="9:14">
      <c r="I4835" s="2"/>
      <c r="K4835" s="149"/>
      <c r="L4835" s="149"/>
      <c r="M4835" s="149"/>
      <c r="N4835" s="149"/>
    </row>
    <row r="4836" spans="9:14">
      <c r="K4836" s="149"/>
      <c r="L4836" s="149"/>
      <c r="M4836" s="149"/>
      <c r="N4836" s="149"/>
    </row>
    <row r="4837" spans="9:14">
      <c r="K4837" s="149"/>
      <c r="L4837" s="149"/>
      <c r="M4837" s="149"/>
      <c r="N4837" s="149"/>
    </row>
    <row r="4838" spans="9:14">
      <c r="K4838" s="149"/>
      <c r="L4838" s="149"/>
      <c r="M4838" s="149"/>
      <c r="N4838" s="149"/>
    </row>
    <row r="4839" spans="9:14">
      <c r="K4839" s="149"/>
      <c r="L4839" s="149"/>
      <c r="M4839" s="149"/>
      <c r="N4839" s="149"/>
    </row>
    <row r="4840" spans="9:14">
      <c r="K4840" s="149"/>
      <c r="L4840" s="149"/>
      <c r="M4840" s="149"/>
      <c r="N4840" s="149"/>
    </row>
    <row r="4841" spans="9:14">
      <c r="I4841" s="2"/>
      <c r="K4841" s="149"/>
      <c r="L4841" s="149"/>
      <c r="M4841" s="149"/>
      <c r="N4841" s="149"/>
    </row>
    <row r="4842" spans="9:14">
      <c r="I4842" s="2"/>
      <c r="K4842" s="149"/>
      <c r="L4842" s="149"/>
      <c r="M4842" s="149"/>
      <c r="N4842" s="149"/>
    </row>
    <row r="4843" spans="9:14">
      <c r="K4843" s="149"/>
      <c r="L4843" s="149"/>
      <c r="M4843" s="149"/>
      <c r="N4843" s="149"/>
    </row>
    <row r="4844" spans="9:14">
      <c r="I4844" s="2"/>
      <c r="K4844" s="149"/>
      <c r="L4844" s="149"/>
      <c r="M4844" s="149"/>
      <c r="N4844" s="149"/>
    </row>
    <row r="4845" spans="9:14">
      <c r="J4845" s="2"/>
      <c r="K4845" s="149"/>
      <c r="L4845" s="149"/>
      <c r="M4845" s="149"/>
      <c r="N4845" s="149"/>
    </row>
    <row r="4846" spans="9:14">
      <c r="K4846" s="149"/>
      <c r="L4846" s="149"/>
      <c r="M4846" s="149"/>
      <c r="N4846" s="149"/>
    </row>
    <row r="4847" spans="9:14">
      <c r="I4847" s="2"/>
      <c r="K4847" s="149"/>
      <c r="L4847" s="149"/>
      <c r="M4847" s="149"/>
      <c r="N4847" s="149"/>
    </row>
    <row r="4848" spans="9:14">
      <c r="K4848" s="149"/>
      <c r="L4848" s="149"/>
      <c r="M4848" s="149"/>
      <c r="N4848" s="149"/>
    </row>
    <row r="4849" spans="9:14">
      <c r="K4849" s="149"/>
      <c r="L4849" s="149"/>
      <c r="M4849" s="149"/>
      <c r="N4849" s="149"/>
    </row>
    <row r="4850" spans="9:14">
      <c r="K4850" s="149"/>
      <c r="L4850" s="149"/>
      <c r="M4850" s="149"/>
      <c r="N4850" s="149"/>
    </row>
    <row r="4851" spans="9:14">
      <c r="K4851" s="149"/>
      <c r="L4851" s="149"/>
      <c r="M4851" s="149"/>
      <c r="N4851" s="149"/>
    </row>
    <row r="4852" spans="9:14">
      <c r="K4852" s="149"/>
      <c r="L4852" s="149"/>
      <c r="M4852" s="149"/>
      <c r="N4852" s="149"/>
    </row>
    <row r="4853" spans="9:14">
      <c r="K4853" s="149"/>
      <c r="L4853" s="149"/>
      <c r="M4853" s="149"/>
      <c r="N4853" s="149"/>
    </row>
    <row r="4854" spans="9:14">
      <c r="K4854" s="149"/>
      <c r="L4854" s="149"/>
      <c r="M4854" s="149"/>
      <c r="N4854" s="149"/>
    </row>
    <row r="4855" spans="9:14">
      <c r="I4855" s="2"/>
      <c r="K4855" s="149"/>
      <c r="L4855" s="149"/>
      <c r="M4855" s="149"/>
      <c r="N4855" s="149"/>
    </row>
    <row r="4856" spans="9:14">
      <c r="K4856" s="149"/>
      <c r="L4856" s="149"/>
      <c r="M4856" s="149"/>
      <c r="N4856" s="149"/>
    </row>
    <row r="4857" spans="9:14">
      <c r="K4857" s="149"/>
      <c r="L4857" s="149"/>
      <c r="M4857" s="149"/>
      <c r="N4857" s="149"/>
    </row>
    <row r="4858" spans="9:14">
      <c r="K4858" s="149"/>
      <c r="L4858" s="149"/>
      <c r="M4858" s="149"/>
      <c r="N4858" s="149"/>
    </row>
    <row r="4859" spans="9:14">
      <c r="K4859" s="149"/>
      <c r="L4859" s="149"/>
      <c r="M4859" s="149"/>
      <c r="N4859" s="149"/>
    </row>
    <row r="4860" spans="9:14">
      <c r="K4860" s="149"/>
      <c r="L4860" s="149"/>
      <c r="M4860" s="149"/>
      <c r="N4860" s="149"/>
    </row>
    <row r="4861" spans="9:14">
      <c r="K4861" s="149"/>
      <c r="L4861" s="149"/>
      <c r="M4861" s="149"/>
      <c r="N4861" s="149"/>
    </row>
    <row r="4862" spans="9:14">
      <c r="K4862" s="149"/>
      <c r="L4862" s="149"/>
      <c r="M4862" s="149"/>
      <c r="N4862" s="149"/>
    </row>
    <row r="4863" spans="9:14">
      <c r="K4863" s="149"/>
      <c r="L4863" s="149"/>
      <c r="M4863" s="149"/>
      <c r="N4863" s="149"/>
    </row>
    <row r="4864" spans="9:14">
      <c r="J4864" s="2"/>
      <c r="K4864" s="149"/>
      <c r="L4864" s="149"/>
      <c r="M4864" s="149"/>
      <c r="N4864" s="149"/>
    </row>
    <row r="4865" spans="9:14">
      <c r="K4865" s="149"/>
      <c r="L4865" s="149"/>
      <c r="M4865" s="149"/>
      <c r="N4865" s="149"/>
    </row>
    <row r="4866" spans="9:14">
      <c r="K4866" s="149"/>
      <c r="L4866" s="149"/>
      <c r="M4866" s="149"/>
      <c r="N4866" s="149"/>
    </row>
    <row r="4867" spans="9:14">
      <c r="I4867" s="2"/>
      <c r="K4867" s="149"/>
      <c r="L4867" s="149"/>
      <c r="M4867" s="149"/>
      <c r="N4867" s="149"/>
    </row>
    <row r="4868" spans="9:14">
      <c r="K4868" s="149"/>
      <c r="L4868" s="149"/>
      <c r="M4868" s="149"/>
      <c r="N4868" s="149"/>
    </row>
    <row r="4869" spans="9:14">
      <c r="K4869" s="149"/>
      <c r="L4869" s="149"/>
      <c r="M4869" s="149"/>
      <c r="N4869" s="149"/>
    </row>
    <row r="4870" spans="9:14">
      <c r="K4870" s="149"/>
      <c r="L4870" s="149"/>
      <c r="M4870" s="149"/>
      <c r="N4870" s="149"/>
    </row>
    <row r="4871" spans="9:14">
      <c r="K4871" s="149"/>
      <c r="L4871" s="149"/>
      <c r="M4871" s="149"/>
      <c r="N4871" s="149"/>
    </row>
    <row r="4872" spans="9:14">
      <c r="K4872" s="149"/>
      <c r="L4872" s="149"/>
      <c r="M4872" s="149"/>
      <c r="N4872" s="149"/>
    </row>
    <row r="4873" spans="9:14">
      <c r="K4873" s="149"/>
      <c r="L4873" s="149"/>
      <c r="M4873" s="149"/>
      <c r="N4873" s="149"/>
    </row>
    <row r="4874" spans="9:14">
      <c r="I4874" s="2"/>
      <c r="K4874" s="149"/>
      <c r="L4874" s="149"/>
      <c r="M4874" s="149"/>
      <c r="N4874" s="149"/>
    </row>
    <row r="4875" spans="9:14">
      <c r="J4875" s="2"/>
      <c r="K4875" s="149"/>
      <c r="L4875" s="149"/>
      <c r="M4875" s="149"/>
      <c r="N4875" s="149"/>
    </row>
    <row r="4876" spans="9:14">
      <c r="K4876" s="149"/>
      <c r="L4876" s="149"/>
      <c r="M4876" s="149"/>
      <c r="N4876" s="149"/>
    </row>
    <row r="4877" spans="9:14">
      <c r="K4877" s="149"/>
      <c r="L4877" s="149"/>
      <c r="M4877" s="149"/>
      <c r="N4877" s="149"/>
    </row>
    <row r="4878" spans="9:14">
      <c r="K4878" s="149"/>
      <c r="L4878" s="149"/>
      <c r="M4878" s="149"/>
      <c r="N4878" s="149"/>
    </row>
    <row r="4879" spans="9:14">
      <c r="K4879" s="149"/>
      <c r="L4879" s="149"/>
      <c r="M4879" s="149"/>
      <c r="N4879" s="149"/>
    </row>
    <row r="4880" spans="9:14">
      <c r="K4880" s="149"/>
      <c r="L4880" s="149"/>
      <c r="M4880" s="149"/>
      <c r="N4880" s="149"/>
    </row>
    <row r="4881" spans="9:14">
      <c r="K4881" s="149"/>
      <c r="L4881" s="149"/>
      <c r="M4881" s="149"/>
      <c r="N4881" s="149"/>
    </row>
    <row r="4882" spans="9:14">
      <c r="I4882" s="2"/>
      <c r="K4882" s="149"/>
      <c r="L4882" s="149"/>
      <c r="M4882" s="149"/>
      <c r="N4882" s="149"/>
    </row>
    <row r="4883" spans="9:14">
      <c r="K4883" s="149"/>
      <c r="L4883" s="149"/>
      <c r="M4883" s="149"/>
      <c r="N4883" s="149"/>
    </row>
    <row r="4884" spans="9:14">
      <c r="K4884" s="149"/>
      <c r="L4884" s="149"/>
      <c r="M4884" s="149"/>
      <c r="N4884" s="149"/>
    </row>
    <row r="4885" spans="9:14">
      <c r="J4885" s="2"/>
      <c r="K4885" s="149"/>
      <c r="L4885" s="149"/>
      <c r="M4885" s="149"/>
      <c r="N4885" s="149"/>
    </row>
    <row r="4886" spans="9:14">
      <c r="I4886" s="2"/>
      <c r="K4886" s="149"/>
      <c r="L4886" s="149"/>
      <c r="M4886" s="149"/>
      <c r="N4886" s="149"/>
    </row>
    <row r="4887" spans="9:14">
      <c r="I4887" s="2"/>
      <c r="K4887" s="149"/>
      <c r="L4887" s="149"/>
      <c r="M4887" s="149"/>
      <c r="N4887" s="149"/>
    </row>
    <row r="4888" spans="9:14">
      <c r="J4888" s="2"/>
      <c r="K4888" s="149"/>
      <c r="L4888" s="149"/>
      <c r="M4888" s="149"/>
      <c r="N4888" s="149"/>
    </row>
    <row r="4889" spans="9:14">
      <c r="I4889" s="2"/>
      <c r="K4889" s="149"/>
      <c r="L4889" s="149"/>
      <c r="M4889" s="149"/>
      <c r="N4889" s="149"/>
    </row>
    <row r="4890" spans="9:14">
      <c r="I4890" s="2"/>
      <c r="K4890" s="149"/>
      <c r="L4890" s="149"/>
      <c r="M4890" s="149"/>
      <c r="N4890" s="149"/>
    </row>
    <row r="4891" spans="9:14">
      <c r="J4891" s="2"/>
      <c r="K4891" s="149"/>
      <c r="L4891" s="149"/>
      <c r="M4891" s="149"/>
      <c r="N4891" s="149"/>
    </row>
    <row r="4892" spans="9:14">
      <c r="I4892" s="2"/>
      <c r="K4892" s="149"/>
      <c r="L4892" s="149"/>
      <c r="M4892" s="149"/>
      <c r="N4892" s="149"/>
    </row>
    <row r="4893" spans="9:14">
      <c r="K4893" s="149"/>
      <c r="L4893" s="149"/>
      <c r="M4893" s="149"/>
      <c r="N4893" s="149"/>
    </row>
    <row r="4894" spans="9:14">
      <c r="K4894" s="149"/>
      <c r="L4894" s="149"/>
      <c r="M4894" s="149"/>
      <c r="N4894" s="149"/>
    </row>
    <row r="4895" spans="9:14">
      <c r="K4895" s="149"/>
      <c r="L4895" s="149"/>
      <c r="M4895" s="149"/>
      <c r="N4895" s="149"/>
    </row>
    <row r="4896" spans="9:14">
      <c r="K4896" s="149"/>
      <c r="L4896" s="149"/>
      <c r="M4896" s="149"/>
      <c r="N4896" s="149"/>
    </row>
    <row r="4897" spans="9:14">
      <c r="K4897" s="149"/>
      <c r="L4897" s="149"/>
      <c r="M4897" s="149"/>
      <c r="N4897" s="149"/>
    </row>
    <row r="4898" spans="9:14">
      <c r="K4898" s="149"/>
      <c r="L4898" s="149"/>
      <c r="M4898" s="149"/>
      <c r="N4898" s="149"/>
    </row>
    <row r="4899" spans="9:14">
      <c r="K4899" s="149"/>
      <c r="L4899" s="149"/>
      <c r="M4899" s="149"/>
      <c r="N4899" s="149"/>
    </row>
    <row r="4900" spans="9:14">
      <c r="K4900" s="149"/>
      <c r="L4900" s="149"/>
      <c r="M4900" s="149"/>
      <c r="N4900" s="149"/>
    </row>
    <row r="4901" spans="9:14">
      <c r="K4901" s="149"/>
      <c r="L4901" s="149"/>
      <c r="M4901" s="149"/>
      <c r="N4901" s="149"/>
    </row>
    <row r="4902" spans="9:14">
      <c r="K4902" s="149"/>
      <c r="L4902" s="149"/>
      <c r="M4902" s="149"/>
      <c r="N4902" s="149"/>
    </row>
    <row r="4903" spans="9:14">
      <c r="K4903" s="149"/>
      <c r="L4903" s="149"/>
      <c r="M4903" s="149"/>
      <c r="N4903" s="149"/>
    </row>
    <row r="4904" spans="9:14">
      <c r="K4904" s="149"/>
      <c r="L4904" s="149"/>
      <c r="M4904" s="149"/>
      <c r="N4904" s="149"/>
    </row>
    <row r="4905" spans="9:14">
      <c r="K4905" s="149"/>
      <c r="L4905" s="149"/>
      <c r="M4905" s="149"/>
      <c r="N4905" s="149"/>
    </row>
    <row r="4906" spans="9:14">
      <c r="K4906" s="149"/>
      <c r="L4906" s="149"/>
      <c r="M4906" s="149"/>
      <c r="N4906" s="149"/>
    </row>
    <row r="4907" spans="9:14">
      <c r="K4907" s="149"/>
      <c r="L4907" s="149"/>
      <c r="M4907" s="149"/>
      <c r="N4907" s="149"/>
    </row>
    <row r="4908" spans="9:14">
      <c r="K4908" s="149"/>
      <c r="L4908" s="149"/>
      <c r="M4908" s="149"/>
      <c r="N4908" s="149"/>
    </row>
    <row r="4909" spans="9:14">
      <c r="I4909" s="2"/>
      <c r="K4909" s="149"/>
      <c r="L4909" s="149"/>
      <c r="M4909" s="149"/>
      <c r="N4909" s="149"/>
    </row>
    <row r="4910" spans="9:14">
      <c r="K4910" s="149"/>
      <c r="L4910" s="149"/>
      <c r="M4910" s="149"/>
      <c r="N4910" s="149"/>
    </row>
    <row r="4911" spans="9:14">
      <c r="K4911" s="149"/>
      <c r="L4911" s="149"/>
      <c r="M4911" s="149"/>
      <c r="N4911" s="149"/>
    </row>
    <row r="4912" spans="9:14">
      <c r="K4912" s="149"/>
      <c r="L4912" s="149"/>
      <c r="M4912" s="149"/>
      <c r="N4912" s="149"/>
    </row>
    <row r="4913" spans="8:14">
      <c r="I4913" s="2"/>
      <c r="K4913" s="149"/>
      <c r="L4913" s="149"/>
      <c r="M4913" s="149"/>
      <c r="N4913" s="149"/>
    </row>
    <row r="4914" spans="8:14">
      <c r="K4914" s="149"/>
      <c r="L4914" s="149"/>
      <c r="M4914" s="149"/>
      <c r="N4914" s="149"/>
    </row>
    <row r="4915" spans="8:14">
      <c r="I4915" s="2"/>
      <c r="K4915" s="149"/>
      <c r="L4915" s="149"/>
      <c r="M4915" s="149"/>
      <c r="N4915" s="149"/>
    </row>
    <row r="4916" spans="8:14">
      <c r="I4916" s="2"/>
      <c r="K4916" s="149"/>
      <c r="L4916" s="149"/>
      <c r="M4916" s="149"/>
      <c r="N4916" s="149"/>
    </row>
    <row r="4917" spans="8:14">
      <c r="K4917" s="149"/>
      <c r="L4917" s="149"/>
      <c r="M4917" s="149"/>
      <c r="N4917" s="149"/>
    </row>
    <row r="4918" spans="8:14">
      <c r="I4918" s="2"/>
      <c r="K4918" s="149"/>
      <c r="L4918" s="149"/>
      <c r="M4918" s="149"/>
      <c r="N4918" s="149"/>
    </row>
    <row r="4919" spans="8:14">
      <c r="K4919" s="149"/>
      <c r="L4919" s="149"/>
      <c r="M4919" s="149"/>
      <c r="N4919" s="149"/>
    </row>
    <row r="4920" spans="8:14">
      <c r="K4920" s="149"/>
      <c r="L4920" s="149"/>
      <c r="M4920" s="149"/>
      <c r="N4920" s="149"/>
    </row>
    <row r="4921" spans="8:14">
      <c r="K4921" s="149"/>
      <c r="L4921" s="149"/>
      <c r="M4921" s="149"/>
      <c r="N4921" s="149"/>
    </row>
    <row r="4922" spans="8:14">
      <c r="K4922" s="149"/>
      <c r="L4922" s="149"/>
      <c r="M4922" s="149"/>
      <c r="N4922" s="149"/>
    </row>
    <row r="4923" spans="8:14">
      <c r="I4923" s="2"/>
      <c r="K4923" s="149"/>
      <c r="L4923" s="149"/>
      <c r="M4923" s="149"/>
      <c r="N4923" s="149"/>
    </row>
    <row r="4924" spans="8:14">
      <c r="I4924" s="2"/>
      <c r="K4924" s="149"/>
      <c r="L4924" s="149"/>
      <c r="M4924" s="149"/>
      <c r="N4924" s="149"/>
    </row>
    <row r="4925" spans="8:14">
      <c r="H4925" s="2"/>
      <c r="K4925" s="149"/>
      <c r="L4925" s="149"/>
      <c r="M4925" s="149"/>
      <c r="N4925" s="149"/>
    </row>
    <row r="4926" spans="8:14">
      <c r="H4926" s="2"/>
      <c r="K4926" s="149"/>
      <c r="L4926" s="149"/>
      <c r="M4926" s="149"/>
      <c r="N4926" s="149"/>
    </row>
    <row r="4927" spans="8:14">
      <c r="H4927" s="2"/>
      <c r="K4927" s="149"/>
      <c r="L4927" s="149"/>
      <c r="M4927" s="149"/>
      <c r="N4927" s="149"/>
    </row>
    <row r="4928" spans="8:14">
      <c r="K4928" s="149"/>
      <c r="L4928" s="149"/>
      <c r="M4928" s="149"/>
      <c r="N4928" s="149"/>
    </row>
    <row r="4929" spans="11:14">
      <c r="K4929" s="149"/>
      <c r="L4929" s="149"/>
      <c r="M4929" s="149"/>
      <c r="N4929" s="149"/>
    </row>
    <row r="4930" spans="11:14">
      <c r="K4930" s="149"/>
      <c r="L4930" s="149"/>
      <c r="M4930" s="149"/>
      <c r="N4930" s="149"/>
    </row>
    <row r="4931" spans="11:14">
      <c r="K4931" s="149"/>
      <c r="L4931" s="149"/>
      <c r="M4931" s="149"/>
      <c r="N4931" s="149"/>
    </row>
    <row r="4932" spans="11:14">
      <c r="K4932" s="149"/>
      <c r="L4932" s="149"/>
      <c r="M4932" s="149"/>
      <c r="N4932" s="149"/>
    </row>
    <row r="4933" spans="11:14">
      <c r="K4933" s="149"/>
      <c r="L4933" s="149"/>
      <c r="M4933" s="149"/>
      <c r="N4933" s="149"/>
    </row>
    <row r="4934" spans="11:14">
      <c r="K4934" s="149"/>
      <c r="L4934" s="149"/>
      <c r="M4934" s="149"/>
      <c r="N4934" s="149"/>
    </row>
    <row r="4935" spans="11:14">
      <c r="K4935" s="149"/>
      <c r="L4935" s="149"/>
      <c r="M4935" s="149"/>
      <c r="N4935" s="149"/>
    </row>
    <row r="4936" spans="11:14">
      <c r="K4936" s="149"/>
      <c r="L4936" s="149"/>
      <c r="M4936" s="149"/>
      <c r="N4936" s="149"/>
    </row>
    <row r="4937" spans="11:14">
      <c r="K4937" s="149"/>
      <c r="L4937" s="149"/>
      <c r="M4937" s="149"/>
      <c r="N4937" s="149"/>
    </row>
    <row r="4938" spans="11:14">
      <c r="K4938" s="149"/>
      <c r="L4938" s="149"/>
      <c r="M4938" s="149"/>
      <c r="N4938" s="149"/>
    </row>
    <row r="4939" spans="11:14">
      <c r="K4939" s="149"/>
      <c r="L4939" s="149"/>
      <c r="M4939" s="149"/>
      <c r="N4939" s="149"/>
    </row>
    <row r="4940" spans="11:14">
      <c r="K4940" s="149"/>
      <c r="L4940" s="149"/>
      <c r="M4940" s="149"/>
      <c r="N4940" s="149"/>
    </row>
    <row r="4941" spans="11:14">
      <c r="K4941" s="149"/>
      <c r="L4941" s="149"/>
      <c r="M4941" s="149"/>
      <c r="N4941" s="149"/>
    </row>
    <row r="4942" spans="11:14">
      <c r="K4942" s="149"/>
      <c r="L4942" s="149"/>
      <c r="M4942" s="149"/>
      <c r="N4942" s="149"/>
    </row>
    <row r="4943" spans="11:14">
      <c r="K4943" s="149"/>
      <c r="L4943" s="149"/>
      <c r="M4943" s="149"/>
      <c r="N4943" s="149"/>
    </row>
    <row r="4944" spans="11:14">
      <c r="K4944" s="149"/>
      <c r="L4944" s="149"/>
      <c r="M4944" s="149"/>
      <c r="N4944" s="149"/>
    </row>
    <row r="4945" spans="10:14">
      <c r="K4945" s="149"/>
      <c r="L4945" s="149"/>
      <c r="M4945" s="149"/>
      <c r="N4945" s="149"/>
    </row>
    <row r="4946" spans="10:14">
      <c r="K4946" s="149"/>
      <c r="L4946" s="149"/>
      <c r="M4946" s="149"/>
      <c r="N4946" s="149"/>
    </row>
    <row r="4947" spans="10:14">
      <c r="K4947" s="149"/>
      <c r="L4947" s="149"/>
      <c r="M4947" s="149"/>
      <c r="N4947" s="149"/>
    </row>
    <row r="4948" spans="10:14">
      <c r="K4948" s="149"/>
      <c r="L4948" s="149"/>
      <c r="M4948" s="149"/>
      <c r="N4948" s="149"/>
    </row>
    <row r="4949" spans="10:14">
      <c r="K4949" s="149"/>
      <c r="L4949" s="149"/>
      <c r="M4949" s="149"/>
      <c r="N4949" s="149"/>
    </row>
    <row r="4950" spans="10:14">
      <c r="K4950" s="149"/>
      <c r="L4950" s="149"/>
      <c r="M4950" s="149"/>
      <c r="N4950" s="149"/>
    </row>
    <row r="4951" spans="10:14">
      <c r="K4951" s="149"/>
      <c r="L4951" s="149"/>
      <c r="M4951" s="149"/>
      <c r="N4951" s="149"/>
    </row>
    <row r="4952" spans="10:14">
      <c r="K4952" s="149"/>
      <c r="L4952" s="149"/>
      <c r="M4952" s="149"/>
      <c r="N4952" s="149"/>
    </row>
    <row r="4953" spans="10:14">
      <c r="K4953" s="149"/>
      <c r="L4953" s="149"/>
      <c r="M4953" s="149"/>
      <c r="N4953" s="149"/>
    </row>
    <row r="4954" spans="10:14">
      <c r="K4954" s="149"/>
      <c r="L4954" s="149"/>
      <c r="M4954" s="149"/>
      <c r="N4954" s="149"/>
    </row>
    <row r="4955" spans="10:14">
      <c r="K4955" s="149"/>
      <c r="L4955" s="149"/>
      <c r="M4955" s="149"/>
      <c r="N4955" s="149"/>
    </row>
    <row r="4956" spans="10:14">
      <c r="K4956" s="149"/>
      <c r="L4956" s="149"/>
      <c r="M4956" s="149"/>
      <c r="N4956" s="149"/>
    </row>
    <row r="4957" spans="10:14">
      <c r="J4957" s="2"/>
      <c r="K4957" s="149"/>
      <c r="L4957" s="149"/>
      <c r="M4957" s="149"/>
      <c r="N4957" s="149"/>
    </row>
    <row r="4958" spans="10:14">
      <c r="K4958" s="149"/>
      <c r="L4958" s="149"/>
      <c r="M4958" s="149"/>
      <c r="N4958" s="149"/>
    </row>
    <row r="4959" spans="10:14">
      <c r="K4959" s="149"/>
      <c r="L4959" s="149"/>
      <c r="M4959" s="149"/>
      <c r="N4959" s="149"/>
    </row>
    <row r="4960" spans="10:14">
      <c r="K4960" s="149"/>
      <c r="L4960" s="149"/>
      <c r="M4960" s="149"/>
      <c r="N4960" s="149"/>
    </row>
    <row r="4961" spans="11:14">
      <c r="K4961" s="149"/>
      <c r="L4961" s="149"/>
      <c r="M4961" s="149"/>
      <c r="N4961" s="149"/>
    </row>
    <row r="4962" spans="11:14">
      <c r="K4962" s="149"/>
      <c r="L4962" s="149"/>
      <c r="M4962" s="149"/>
      <c r="N4962" s="149"/>
    </row>
    <row r="4963" spans="11:14">
      <c r="K4963" s="149"/>
      <c r="L4963" s="149"/>
      <c r="M4963" s="149"/>
      <c r="N4963" s="149"/>
    </row>
    <row r="4964" spans="11:14">
      <c r="K4964" s="149"/>
      <c r="L4964" s="149"/>
      <c r="M4964" s="149"/>
      <c r="N4964" s="149"/>
    </row>
    <row r="4965" spans="11:14">
      <c r="K4965" s="149"/>
      <c r="L4965" s="149"/>
      <c r="M4965" s="149"/>
      <c r="N4965" s="149"/>
    </row>
    <row r="4966" spans="11:14">
      <c r="K4966" s="149"/>
      <c r="L4966" s="149"/>
      <c r="M4966" s="149"/>
      <c r="N4966" s="149"/>
    </row>
    <row r="4967" spans="11:14">
      <c r="K4967" s="149"/>
      <c r="L4967" s="149"/>
      <c r="M4967" s="149"/>
      <c r="N4967" s="149"/>
    </row>
    <row r="4968" spans="11:14">
      <c r="K4968" s="149"/>
      <c r="L4968" s="149"/>
      <c r="M4968" s="149"/>
      <c r="N4968" s="149"/>
    </row>
    <row r="4969" spans="11:14">
      <c r="K4969" s="149"/>
      <c r="L4969" s="149"/>
      <c r="M4969" s="149"/>
      <c r="N4969" s="149"/>
    </row>
    <row r="4970" spans="11:14">
      <c r="K4970" s="149"/>
      <c r="L4970" s="149"/>
      <c r="M4970" s="149"/>
      <c r="N4970" s="149"/>
    </row>
    <row r="4971" spans="11:14">
      <c r="K4971" s="149"/>
      <c r="L4971" s="149"/>
      <c r="M4971" s="149"/>
      <c r="N4971" s="149"/>
    </row>
    <row r="4972" spans="11:14">
      <c r="K4972" s="149"/>
      <c r="L4972" s="149"/>
      <c r="M4972" s="149"/>
      <c r="N4972" s="149"/>
    </row>
    <row r="4973" spans="11:14">
      <c r="K4973" s="149"/>
      <c r="L4973" s="149"/>
      <c r="M4973" s="149"/>
      <c r="N4973" s="149"/>
    </row>
    <row r="4974" spans="11:14">
      <c r="K4974" s="149"/>
      <c r="L4974" s="149"/>
      <c r="M4974" s="149"/>
      <c r="N4974" s="149"/>
    </row>
    <row r="4975" spans="11:14">
      <c r="K4975" s="149"/>
      <c r="L4975" s="149"/>
      <c r="M4975" s="149"/>
      <c r="N4975" s="149"/>
    </row>
    <row r="4976" spans="11:14">
      <c r="K4976" s="149"/>
      <c r="L4976" s="149"/>
      <c r="M4976" s="149"/>
      <c r="N4976" s="149"/>
    </row>
    <row r="4977" spans="11:14">
      <c r="K4977" s="149"/>
      <c r="L4977" s="149"/>
      <c r="M4977" s="149"/>
      <c r="N4977" s="149"/>
    </row>
    <row r="4978" spans="11:14">
      <c r="K4978" s="149"/>
      <c r="L4978" s="149"/>
      <c r="M4978" s="149"/>
      <c r="N4978" s="149"/>
    </row>
    <row r="4979" spans="11:14">
      <c r="K4979" s="149"/>
      <c r="L4979" s="149"/>
      <c r="M4979" s="149"/>
      <c r="N4979" s="149"/>
    </row>
    <row r="4980" spans="11:14">
      <c r="K4980" s="149"/>
      <c r="L4980" s="149"/>
      <c r="M4980" s="149"/>
      <c r="N4980" s="149"/>
    </row>
    <row r="4981" spans="11:14">
      <c r="K4981" s="149"/>
      <c r="L4981" s="149"/>
      <c r="M4981" s="149"/>
      <c r="N4981" s="149"/>
    </row>
    <row r="4982" spans="11:14">
      <c r="K4982" s="149"/>
      <c r="L4982" s="149"/>
      <c r="M4982" s="149"/>
      <c r="N4982" s="149"/>
    </row>
    <row r="4983" spans="11:14">
      <c r="K4983" s="149"/>
      <c r="L4983" s="149"/>
      <c r="M4983" s="149"/>
      <c r="N4983" s="149"/>
    </row>
    <row r="4984" spans="11:14">
      <c r="K4984" s="149"/>
      <c r="L4984" s="149"/>
      <c r="M4984" s="149"/>
      <c r="N4984" s="149"/>
    </row>
    <row r="4985" spans="11:14">
      <c r="K4985" s="149"/>
      <c r="L4985" s="149"/>
      <c r="M4985" s="149"/>
      <c r="N4985" s="149"/>
    </row>
    <row r="4986" spans="11:14">
      <c r="K4986" s="149"/>
      <c r="L4986" s="149"/>
      <c r="M4986" s="149"/>
      <c r="N4986" s="149"/>
    </row>
    <row r="4987" spans="11:14">
      <c r="K4987" s="149"/>
      <c r="L4987" s="149"/>
      <c r="M4987" s="149"/>
      <c r="N4987" s="149"/>
    </row>
    <row r="4988" spans="11:14">
      <c r="K4988" s="149"/>
      <c r="L4988" s="149"/>
      <c r="M4988" s="149"/>
      <c r="N4988" s="149"/>
    </row>
    <row r="4989" spans="11:14">
      <c r="K4989" s="149"/>
      <c r="L4989" s="149"/>
      <c r="M4989" s="149"/>
      <c r="N4989" s="149"/>
    </row>
    <row r="4990" spans="11:14">
      <c r="K4990" s="149"/>
      <c r="L4990" s="149"/>
      <c r="M4990" s="149"/>
      <c r="N4990" s="149"/>
    </row>
    <row r="4991" spans="11:14">
      <c r="K4991" s="149"/>
      <c r="L4991" s="149"/>
      <c r="M4991" s="149"/>
      <c r="N4991" s="149"/>
    </row>
    <row r="4992" spans="11:14">
      <c r="K4992" s="149"/>
      <c r="L4992" s="149"/>
      <c r="M4992" s="149"/>
      <c r="N4992" s="149"/>
    </row>
    <row r="4993" spans="8:10">
      <c r="H4993" s="2"/>
      <c r="I4993" s="2"/>
    </row>
    <row r="4994" spans="8:10">
      <c r="H4994" s="2"/>
    </row>
    <row r="4995" spans="8:10">
      <c r="H4995" s="2"/>
    </row>
    <row r="4996" spans="8:10">
      <c r="H4996" s="2"/>
      <c r="I4996" s="2"/>
    </row>
    <row r="4997" spans="8:10">
      <c r="H4997" s="2"/>
      <c r="I4997" s="2"/>
    </row>
    <row r="4998" spans="8:10">
      <c r="H4998" s="2"/>
      <c r="I4998" s="2"/>
    </row>
    <row r="4999" spans="8:10">
      <c r="H4999" s="2"/>
      <c r="I4999" s="2"/>
    </row>
    <row r="5000" spans="8:10">
      <c r="H5000" s="2"/>
    </row>
    <row r="5001" spans="8:10">
      <c r="H5001" s="2"/>
      <c r="I5001" s="2"/>
    </row>
    <row r="5002" spans="8:10">
      <c r="H5002" s="2"/>
      <c r="I5002" s="2"/>
    </row>
    <row r="5003" spans="8:10">
      <c r="H5003" s="2"/>
    </row>
    <row r="5004" spans="8:10">
      <c r="H5004" s="2"/>
    </row>
    <row r="5005" spans="8:10">
      <c r="H5005" s="2"/>
      <c r="J5005" s="2"/>
    </row>
    <row r="5006" spans="8:10">
      <c r="H5006" s="2"/>
      <c r="J5006" s="2"/>
    </row>
    <row r="5007" spans="8:10">
      <c r="H5007" s="2"/>
      <c r="I5007" s="2"/>
    </row>
    <row r="5008" spans="8:10">
      <c r="H5008" s="2"/>
      <c r="I5008" s="2"/>
    </row>
    <row r="5009" spans="8:10">
      <c r="H5009" s="2"/>
      <c r="I5009" s="2"/>
    </row>
    <row r="5010" spans="8:10">
      <c r="H5010" s="2"/>
    </row>
    <row r="5011" spans="8:10">
      <c r="H5011" s="2"/>
    </row>
    <row r="5012" spans="8:10">
      <c r="H5012" s="2"/>
    </row>
    <row r="5013" spans="8:10">
      <c r="H5013" s="2"/>
      <c r="I5013" s="2"/>
    </row>
    <row r="5014" spans="8:10">
      <c r="H5014" s="2"/>
    </row>
    <row r="5015" spans="8:10">
      <c r="H5015" s="2"/>
    </row>
    <row r="5016" spans="8:10">
      <c r="H5016" s="2"/>
    </row>
    <row r="5017" spans="8:10">
      <c r="H5017" s="2"/>
    </row>
    <row r="5018" spans="8:10">
      <c r="H5018" s="2"/>
    </row>
    <row r="5019" spans="8:10">
      <c r="H5019" s="2"/>
      <c r="I5019" s="2"/>
    </row>
    <row r="5020" spans="8:10">
      <c r="H5020" s="2"/>
    </row>
    <row r="5021" spans="8:10">
      <c r="H5021" s="2"/>
      <c r="J5021" s="2"/>
    </row>
    <row r="5022" spans="8:10">
      <c r="H5022" s="2"/>
      <c r="J5022" s="2"/>
    </row>
    <row r="5023" spans="8:10">
      <c r="H5023" s="2"/>
      <c r="J5023" s="2"/>
    </row>
    <row r="5024" spans="8:10">
      <c r="H5024" s="2"/>
      <c r="J5024" s="2"/>
    </row>
    <row r="5025" spans="8:10">
      <c r="H5025" s="2"/>
      <c r="J5025" s="2"/>
    </row>
    <row r="5026" spans="8:10">
      <c r="H5026" s="2"/>
      <c r="I5026" s="2"/>
    </row>
    <row r="5027" spans="8:10">
      <c r="H5027" s="2"/>
    </row>
    <row r="5028" spans="8:10">
      <c r="H5028" s="2"/>
      <c r="I5028" s="2"/>
    </row>
    <row r="5029" spans="8:10">
      <c r="H5029" s="2"/>
      <c r="I5029" s="2"/>
    </row>
    <row r="5030" spans="8:10">
      <c r="H5030" s="2"/>
      <c r="I5030" s="2"/>
    </row>
    <row r="5031" spans="8:10">
      <c r="H5031" s="2"/>
      <c r="J5031" s="2"/>
    </row>
    <row r="5032" spans="8:10">
      <c r="H5032" s="2"/>
      <c r="I5032" s="2"/>
    </row>
    <row r="5033" spans="8:10">
      <c r="H5033" s="2"/>
      <c r="I5033" s="2"/>
    </row>
    <row r="5034" spans="8:10">
      <c r="H5034" s="2"/>
      <c r="I5034" s="2"/>
    </row>
    <row r="5035" spans="8:10">
      <c r="H5035" s="2"/>
      <c r="I5035" s="2"/>
    </row>
    <row r="5036" spans="8:10">
      <c r="H5036" s="2"/>
      <c r="I5036" s="2"/>
    </row>
    <row r="5037" spans="8:10">
      <c r="H5037" s="2"/>
      <c r="I5037" s="2"/>
    </row>
    <row r="5038" spans="8:10">
      <c r="H5038" s="2"/>
      <c r="I5038" s="2"/>
    </row>
    <row r="5039" spans="8:10">
      <c r="H5039" s="2"/>
      <c r="I5039" s="2"/>
    </row>
    <row r="5040" spans="8:10">
      <c r="H5040" s="2"/>
      <c r="I5040" s="2"/>
    </row>
    <row r="5041" spans="8:9">
      <c r="H5041" s="2"/>
      <c r="I5041" s="2"/>
    </row>
    <row r="5042" spans="8:9">
      <c r="H5042" s="2"/>
    </row>
    <row r="5043" spans="8:9">
      <c r="H5043" s="2"/>
    </row>
    <row r="5044" spans="8:9">
      <c r="H5044" s="2"/>
    </row>
    <row r="5045" spans="8:9">
      <c r="H5045" s="2"/>
    </row>
    <row r="5046" spans="8:9">
      <c r="H5046" s="2"/>
    </row>
    <row r="5047" spans="8:9">
      <c r="H5047" s="2"/>
    </row>
    <row r="5048" spans="8:9">
      <c r="H5048" s="2"/>
    </row>
    <row r="5049" spans="8:9">
      <c r="H5049" s="2"/>
    </row>
    <row r="5050" spans="8:9">
      <c r="H5050" s="2"/>
    </row>
    <row r="5051" spans="8:9">
      <c r="H5051" s="2"/>
    </row>
    <row r="5052" spans="8:9">
      <c r="H5052" s="2"/>
    </row>
    <row r="5053" spans="8:9">
      <c r="H5053" s="2"/>
      <c r="I5053" s="2"/>
    </row>
    <row r="5054" spans="8:9">
      <c r="H5054" s="2"/>
      <c r="I5054" s="2"/>
    </row>
    <row r="5055" spans="8:9">
      <c r="H5055" s="2"/>
      <c r="I5055" s="2"/>
    </row>
    <row r="5056" spans="8:9">
      <c r="H5056" s="2"/>
      <c r="I5056" s="2"/>
    </row>
    <row r="5057" spans="8:9">
      <c r="H5057" s="2"/>
    </row>
    <row r="5058" spans="8:9">
      <c r="H5058" s="2"/>
    </row>
    <row r="5059" spans="8:9">
      <c r="H5059" s="2"/>
    </row>
    <row r="5060" spans="8:9">
      <c r="H5060" s="2"/>
      <c r="I5060" s="2"/>
    </row>
    <row r="5061" spans="8:9">
      <c r="H5061" s="2"/>
    </row>
    <row r="5062" spans="8:9">
      <c r="H5062" s="2"/>
    </row>
    <row r="5063" spans="8:9">
      <c r="H5063" s="2"/>
    </row>
    <row r="5064" spans="8:9">
      <c r="H5064" s="2"/>
    </row>
    <row r="5065" spans="8:9">
      <c r="H5065" s="2"/>
    </row>
    <row r="5066" spans="8:9">
      <c r="H5066" s="2"/>
    </row>
    <row r="5067" spans="8:9">
      <c r="H5067" s="2"/>
    </row>
    <row r="5068" spans="8:9">
      <c r="H5068" s="2"/>
    </row>
    <row r="5069" spans="8:9">
      <c r="H5069" s="2"/>
      <c r="I5069" s="2"/>
    </row>
    <row r="5070" spans="8:9">
      <c r="H5070" s="2"/>
    </row>
    <row r="5071" spans="8:9">
      <c r="H5071" s="2"/>
      <c r="I5071" s="2"/>
    </row>
    <row r="5072" spans="8:9">
      <c r="H5072" s="2"/>
    </row>
    <row r="5073" spans="8:9">
      <c r="H5073" s="2"/>
    </row>
    <row r="5074" spans="8:9">
      <c r="H5074" s="2"/>
    </row>
    <row r="5075" spans="8:9">
      <c r="H5075" s="2"/>
    </row>
    <row r="5076" spans="8:9">
      <c r="H5076" s="2"/>
    </row>
    <row r="5077" spans="8:9">
      <c r="H5077" s="2"/>
    </row>
    <row r="5078" spans="8:9">
      <c r="H5078" s="2"/>
    </row>
    <row r="5079" spans="8:9">
      <c r="H5079" s="2"/>
    </row>
    <row r="5080" spans="8:9">
      <c r="H5080" s="2"/>
    </row>
    <row r="5081" spans="8:9">
      <c r="H5081" s="2"/>
    </row>
    <row r="5082" spans="8:9">
      <c r="H5082" s="2"/>
    </row>
    <row r="5083" spans="8:9">
      <c r="H5083" s="2"/>
    </row>
    <row r="5084" spans="8:9">
      <c r="H5084" s="2"/>
      <c r="I5084" s="2"/>
    </row>
    <row r="5085" spans="8:9">
      <c r="H5085" s="2"/>
    </row>
    <row r="5086" spans="8:9">
      <c r="H5086" s="2"/>
      <c r="I5086" s="2"/>
    </row>
    <row r="5087" spans="8:9">
      <c r="H5087" s="2"/>
    </row>
    <row r="5088" spans="8:9">
      <c r="H5088" s="2"/>
    </row>
    <row r="5089" spans="8:10">
      <c r="H5089" s="2"/>
    </row>
    <row r="5090" spans="8:10">
      <c r="H5090" s="2"/>
    </row>
    <row r="5091" spans="8:10">
      <c r="H5091" s="2"/>
    </row>
    <row r="5092" spans="8:10">
      <c r="H5092" s="2"/>
    </row>
    <row r="5093" spans="8:10">
      <c r="H5093" s="2"/>
    </row>
    <row r="5094" spans="8:10">
      <c r="H5094" s="2"/>
    </row>
    <row r="5095" spans="8:10">
      <c r="H5095" s="2"/>
    </row>
    <row r="5096" spans="8:10">
      <c r="H5096" s="2"/>
    </row>
    <row r="5097" spans="8:10">
      <c r="H5097" s="2"/>
    </row>
    <row r="5098" spans="8:10">
      <c r="H5098" s="2"/>
    </row>
    <row r="5099" spans="8:10">
      <c r="H5099" s="2"/>
    </row>
    <row r="5100" spans="8:10">
      <c r="H5100" s="2"/>
      <c r="J5100" s="2"/>
    </row>
    <row r="5101" spans="8:10">
      <c r="H5101" s="2"/>
      <c r="I5101" s="2"/>
    </row>
    <row r="5102" spans="8:10">
      <c r="H5102" s="2"/>
      <c r="I5102" s="2"/>
    </row>
    <row r="5103" spans="8:10">
      <c r="H5103" s="2"/>
      <c r="I5103" s="2"/>
    </row>
    <row r="5104" spans="8:10">
      <c r="H5104" s="2"/>
      <c r="I5104" s="2"/>
    </row>
    <row r="5105" spans="8:9">
      <c r="H5105" s="2"/>
      <c r="I5105" s="2"/>
    </row>
    <row r="5106" spans="8:9">
      <c r="H5106" s="2"/>
      <c r="I5106" s="2"/>
    </row>
    <row r="5107" spans="8:9">
      <c r="H5107" s="2"/>
      <c r="I5107" s="2"/>
    </row>
    <row r="5108" spans="8:9">
      <c r="H5108" s="2"/>
      <c r="I5108" s="2"/>
    </row>
    <row r="5109" spans="8:9">
      <c r="H5109" s="2"/>
      <c r="I5109" s="2"/>
    </row>
    <row r="5110" spans="8:9">
      <c r="H5110" s="2"/>
      <c r="I5110" s="2"/>
    </row>
    <row r="5111" spans="8:9">
      <c r="H5111" s="2"/>
    </row>
    <row r="5112" spans="8:9">
      <c r="H5112" s="2"/>
    </row>
    <row r="5113" spans="8:9">
      <c r="H5113" s="2"/>
      <c r="I5113" s="2"/>
    </row>
    <row r="5114" spans="8:9">
      <c r="H5114" s="2"/>
    </row>
    <row r="5115" spans="8:9">
      <c r="H5115" s="2"/>
      <c r="I5115" s="2"/>
    </row>
    <row r="5116" spans="8:9">
      <c r="H5116" s="2"/>
    </row>
    <row r="5117" spans="8:9">
      <c r="H5117" s="2"/>
    </row>
    <row r="5118" spans="8:9">
      <c r="H5118" s="2"/>
    </row>
    <row r="5119" spans="8:9">
      <c r="H5119" s="2"/>
    </row>
    <row r="5120" spans="8:9">
      <c r="H5120" s="2"/>
    </row>
    <row r="5121" spans="8:9">
      <c r="H5121" s="2"/>
    </row>
    <row r="5122" spans="8:9">
      <c r="H5122" s="2"/>
    </row>
    <row r="5123" spans="8:9">
      <c r="H5123" s="2"/>
      <c r="I5123" s="2"/>
    </row>
    <row r="5124" spans="8:9">
      <c r="H5124" s="2"/>
      <c r="I5124" s="2"/>
    </row>
    <row r="5125" spans="8:9">
      <c r="H5125" s="2"/>
    </row>
    <row r="5126" spans="8:9">
      <c r="H5126" s="2"/>
    </row>
    <row r="5127" spans="8:9">
      <c r="H5127" s="2"/>
      <c r="I5127" s="2"/>
    </row>
    <row r="5128" spans="8:9">
      <c r="H5128" s="2"/>
      <c r="I5128" s="2"/>
    </row>
    <row r="5129" spans="8:9">
      <c r="H5129" s="2"/>
    </row>
    <row r="5130" spans="8:9">
      <c r="H5130" s="2"/>
      <c r="I5130" s="2"/>
    </row>
    <row r="5131" spans="8:9">
      <c r="H5131" s="2"/>
      <c r="I5131" s="2"/>
    </row>
    <row r="5132" spans="8:9">
      <c r="H5132" s="2"/>
      <c r="I5132" s="2"/>
    </row>
    <row r="5133" spans="8:9">
      <c r="H5133" s="2"/>
    </row>
    <row r="5134" spans="8:9">
      <c r="H5134" s="2"/>
    </row>
    <row r="5135" spans="8:9">
      <c r="H5135" s="2"/>
      <c r="I5135" s="2"/>
    </row>
    <row r="5136" spans="8:9">
      <c r="H5136" s="2"/>
    </row>
    <row r="5137" spans="8:9">
      <c r="H5137" s="2"/>
      <c r="I5137" s="2"/>
    </row>
    <row r="5138" spans="8:9">
      <c r="H5138" s="2"/>
      <c r="I5138" s="2"/>
    </row>
    <row r="5139" spans="8:9">
      <c r="H5139" s="2"/>
    </row>
    <row r="5140" spans="8:9">
      <c r="H5140" s="2"/>
    </row>
    <row r="5141" spans="8:9">
      <c r="H5141" s="2"/>
      <c r="I5141" s="2"/>
    </row>
    <row r="5142" spans="8:9">
      <c r="H5142" s="2"/>
    </row>
    <row r="5143" spans="8:9">
      <c r="H5143" s="2"/>
    </row>
    <row r="5144" spans="8:9">
      <c r="H5144" s="2"/>
      <c r="I5144" s="2"/>
    </row>
    <row r="5145" spans="8:9">
      <c r="H5145" s="2"/>
      <c r="I5145" s="2"/>
    </row>
    <row r="5146" spans="8:9">
      <c r="H5146" s="2"/>
      <c r="I5146" s="2"/>
    </row>
    <row r="5147" spans="8:9">
      <c r="H5147" s="2"/>
    </row>
    <row r="5148" spans="8:9">
      <c r="H5148" s="2"/>
    </row>
    <row r="5149" spans="8:9">
      <c r="H5149" s="2"/>
    </row>
    <row r="5150" spans="8:9">
      <c r="H5150" s="2"/>
    </row>
    <row r="5151" spans="8:9">
      <c r="H5151" s="2"/>
    </row>
    <row r="5152" spans="8:9">
      <c r="H5152" s="2"/>
    </row>
    <row r="5153" spans="8:9">
      <c r="H5153" s="2"/>
    </row>
    <row r="5154" spans="8:9">
      <c r="H5154" s="2"/>
    </row>
    <row r="5155" spans="8:9">
      <c r="H5155" s="2"/>
    </row>
    <row r="5156" spans="8:9">
      <c r="H5156" s="2"/>
    </row>
    <row r="5157" spans="8:9">
      <c r="H5157" s="2"/>
    </row>
    <row r="5158" spans="8:9">
      <c r="H5158" s="2"/>
    </row>
    <row r="5159" spans="8:9">
      <c r="H5159" s="2"/>
    </row>
    <row r="5160" spans="8:9">
      <c r="H5160" s="2"/>
    </row>
    <row r="5161" spans="8:9">
      <c r="H5161" s="2"/>
    </row>
    <row r="5162" spans="8:9">
      <c r="H5162" s="2"/>
      <c r="I5162" s="2"/>
    </row>
    <row r="5163" spans="8:9">
      <c r="H5163" s="2"/>
    </row>
    <row r="5164" spans="8:9">
      <c r="H5164" s="2"/>
    </row>
    <row r="5165" spans="8:9">
      <c r="H5165" s="2"/>
    </row>
    <row r="5166" spans="8:9">
      <c r="H5166" s="2"/>
    </row>
    <row r="5167" spans="8:9">
      <c r="H5167" s="2"/>
    </row>
    <row r="5168" spans="8:9">
      <c r="H5168" s="2"/>
    </row>
    <row r="5169" spans="8:9">
      <c r="H5169" s="2"/>
    </row>
    <row r="5170" spans="8:9">
      <c r="H5170" s="2"/>
    </row>
    <row r="5171" spans="8:9">
      <c r="H5171" s="2"/>
    </row>
    <row r="5172" spans="8:9">
      <c r="H5172" s="2"/>
    </row>
    <row r="5173" spans="8:9">
      <c r="H5173" s="2"/>
    </row>
    <row r="5174" spans="8:9">
      <c r="H5174" s="2"/>
    </row>
    <row r="5175" spans="8:9">
      <c r="H5175" s="2"/>
    </row>
    <row r="5176" spans="8:9">
      <c r="H5176" s="2"/>
    </row>
    <row r="5177" spans="8:9">
      <c r="H5177" s="2"/>
    </row>
    <row r="5178" spans="8:9">
      <c r="H5178" s="2"/>
    </row>
    <row r="5179" spans="8:9">
      <c r="H5179" s="2"/>
    </row>
    <row r="5180" spans="8:9">
      <c r="H5180" s="2"/>
      <c r="I5180" s="2"/>
    </row>
    <row r="5181" spans="8:9">
      <c r="H5181" s="2"/>
    </row>
    <row r="5182" spans="8:9">
      <c r="H5182" s="2"/>
    </row>
    <row r="5183" spans="8:9">
      <c r="H5183" s="2"/>
    </row>
    <row r="5184" spans="8:9">
      <c r="H5184" s="2"/>
    </row>
    <row r="5185" spans="8:9">
      <c r="H5185" s="2"/>
    </row>
    <row r="5186" spans="8:9">
      <c r="H5186" s="2"/>
    </row>
    <row r="5187" spans="8:9">
      <c r="H5187" s="2"/>
    </row>
    <row r="5188" spans="8:9">
      <c r="H5188" s="2"/>
    </row>
    <row r="5189" spans="8:9">
      <c r="H5189" s="2"/>
      <c r="I5189" s="2"/>
    </row>
    <row r="5190" spans="8:9">
      <c r="H5190" s="2"/>
    </row>
    <row r="5191" spans="8:9">
      <c r="H5191" s="2"/>
    </row>
    <row r="5192" spans="8:9">
      <c r="H5192" s="2"/>
    </row>
    <row r="5193" spans="8:9">
      <c r="H5193" s="2"/>
    </row>
    <row r="5194" spans="8:9">
      <c r="H5194" s="2"/>
      <c r="I5194" s="2"/>
    </row>
    <row r="5195" spans="8:9">
      <c r="H5195" s="2"/>
    </row>
    <row r="5196" spans="8:9">
      <c r="H5196" s="2"/>
    </row>
    <row r="5197" spans="8:9">
      <c r="H5197" s="2"/>
    </row>
    <row r="5198" spans="8:9">
      <c r="H5198" s="2"/>
      <c r="I5198" s="2"/>
    </row>
    <row r="5199" spans="8:9">
      <c r="H5199" s="2"/>
    </row>
    <row r="5200" spans="8:9">
      <c r="H5200" s="2"/>
      <c r="I5200" s="2"/>
    </row>
    <row r="5201" spans="8:9">
      <c r="H5201" s="2"/>
    </row>
    <row r="5202" spans="8:9">
      <c r="H5202" s="2"/>
    </row>
    <row r="5203" spans="8:9">
      <c r="H5203" s="2"/>
    </row>
    <row r="5204" spans="8:9">
      <c r="H5204" s="2"/>
      <c r="I5204" s="2"/>
    </row>
    <row r="5205" spans="8:9">
      <c r="H5205" s="2"/>
      <c r="I5205" s="2"/>
    </row>
    <row r="5206" spans="8:9">
      <c r="H5206" s="2"/>
      <c r="I5206" s="2"/>
    </row>
    <row r="5207" spans="8:9">
      <c r="H5207" s="2"/>
      <c r="I5207" s="2"/>
    </row>
    <row r="5208" spans="8:9">
      <c r="H5208" s="2"/>
    </row>
    <row r="5209" spans="8:9">
      <c r="H5209" s="2"/>
    </row>
    <row r="5210" spans="8:9">
      <c r="H5210" s="2"/>
      <c r="I5210" s="2"/>
    </row>
    <row r="5211" spans="8:9">
      <c r="H5211" s="2"/>
      <c r="I5211" s="2"/>
    </row>
    <row r="5212" spans="8:9">
      <c r="H5212" s="2"/>
      <c r="I5212" s="2"/>
    </row>
    <row r="5213" spans="8:9">
      <c r="H5213" s="2"/>
    </row>
    <row r="5214" spans="8:9">
      <c r="H5214" s="2"/>
      <c r="I5214" s="2"/>
    </row>
    <row r="5215" spans="8:9">
      <c r="H5215" s="2"/>
    </row>
    <row r="5216" spans="8:9">
      <c r="H5216" s="2"/>
    </row>
    <row r="5217" spans="8:9">
      <c r="H5217" s="2"/>
      <c r="I5217" s="2"/>
    </row>
    <row r="5218" spans="8:9">
      <c r="H5218" s="2"/>
    </row>
    <row r="5219" spans="8:9">
      <c r="H5219" s="2"/>
    </row>
    <row r="5220" spans="8:9">
      <c r="H5220" s="2"/>
      <c r="I5220" s="2"/>
    </row>
    <row r="5221" spans="8:9">
      <c r="H5221" s="2"/>
    </row>
    <row r="5222" spans="8:9">
      <c r="H5222" s="2"/>
    </row>
    <row r="5223" spans="8:9">
      <c r="H5223" s="2"/>
    </row>
    <row r="5224" spans="8:9">
      <c r="H5224" s="2"/>
    </row>
    <row r="5225" spans="8:9">
      <c r="H5225" s="2"/>
    </row>
    <row r="5226" spans="8:9">
      <c r="H5226" s="2"/>
      <c r="I5226" s="2"/>
    </row>
    <row r="5227" spans="8:9">
      <c r="H5227" s="2"/>
    </row>
    <row r="5228" spans="8:9">
      <c r="H5228" s="2"/>
    </row>
    <row r="5229" spans="8:9">
      <c r="H5229" s="2"/>
    </row>
    <row r="5230" spans="8:9">
      <c r="H5230" s="2"/>
    </row>
    <row r="5231" spans="8:9">
      <c r="H5231" s="2"/>
    </row>
    <row r="5232" spans="8:9">
      <c r="H5232" s="2"/>
      <c r="I5232" s="2"/>
    </row>
    <row r="5233" spans="8:8">
      <c r="H5233" s="2"/>
    </row>
    <row r="5234" spans="8:8">
      <c r="H5234" s="2"/>
    </row>
    <row r="5235" spans="8:8">
      <c r="H5235" s="2"/>
    </row>
    <row r="5236" spans="8:8">
      <c r="H5236" s="2"/>
    </row>
    <row r="5237" spans="8:8">
      <c r="H5237" s="2"/>
    </row>
    <row r="5238" spans="8:8">
      <c r="H5238" s="2"/>
    </row>
    <row r="5239" spans="8:8">
      <c r="H5239" s="2"/>
    </row>
    <row r="5240" spans="8:8">
      <c r="H5240" s="2"/>
    </row>
    <row r="5241" spans="8:8">
      <c r="H5241" s="2"/>
    </row>
    <row r="5242" spans="8:8">
      <c r="H5242" s="2"/>
    </row>
    <row r="5243" spans="8:8">
      <c r="H5243" s="2"/>
    </row>
    <row r="5244" spans="8:8">
      <c r="H5244" s="2"/>
    </row>
    <row r="5245" spans="8:8">
      <c r="H5245" s="2"/>
    </row>
    <row r="5246" spans="8:8">
      <c r="H5246" s="2"/>
    </row>
    <row r="5247" spans="8:8">
      <c r="H5247" s="2"/>
    </row>
    <row r="5248" spans="8:8">
      <c r="H5248" s="2"/>
    </row>
    <row r="5249" spans="8:8">
      <c r="H5249" s="2"/>
    </row>
    <row r="5250" spans="8:8">
      <c r="H5250" s="2"/>
    </row>
    <row r="5251" spans="8:8">
      <c r="H5251" s="2"/>
    </row>
    <row r="5252" spans="8:8">
      <c r="H5252" s="2"/>
    </row>
    <row r="5253" spans="8:8">
      <c r="H5253" s="2"/>
    </row>
    <row r="5254" spans="8:8">
      <c r="H5254" s="2"/>
    </row>
    <row r="5255" spans="8:8">
      <c r="H5255" s="2"/>
    </row>
    <row r="5256" spans="8:8">
      <c r="H5256" s="2"/>
    </row>
    <row r="5257" spans="8:8">
      <c r="H5257" s="2"/>
    </row>
    <row r="5258" spans="8:8">
      <c r="H5258" s="2"/>
    </row>
    <row r="5259" spans="8:8">
      <c r="H5259" s="2"/>
    </row>
    <row r="5260" spans="8:8">
      <c r="H5260" s="2"/>
    </row>
    <row r="5261" spans="8:8">
      <c r="H5261" s="2"/>
    </row>
    <row r="5262" spans="8:8">
      <c r="H5262" s="2"/>
    </row>
    <row r="5263" spans="8:8">
      <c r="H5263" s="2"/>
    </row>
    <row r="5264" spans="8:8">
      <c r="H5264" s="2"/>
    </row>
    <row r="5265" spans="8:9">
      <c r="H5265" s="2"/>
    </row>
    <row r="5266" spans="8:9">
      <c r="H5266" s="2"/>
    </row>
    <row r="5267" spans="8:9">
      <c r="H5267" s="2"/>
    </row>
    <row r="5268" spans="8:9">
      <c r="H5268" s="2"/>
    </row>
    <row r="5269" spans="8:9">
      <c r="H5269" s="2"/>
      <c r="I5269" s="2"/>
    </row>
    <row r="5270" spans="8:9">
      <c r="H5270" s="2"/>
    </row>
    <row r="5271" spans="8:9">
      <c r="H5271" s="2"/>
    </row>
    <row r="5272" spans="8:9">
      <c r="H5272" s="2"/>
    </row>
    <row r="5273" spans="8:9">
      <c r="H5273" s="2"/>
    </row>
    <row r="5274" spans="8:9">
      <c r="H5274" s="2"/>
      <c r="I5274" s="2"/>
    </row>
    <row r="5275" spans="8:9">
      <c r="H5275" s="2"/>
      <c r="I5275" s="2"/>
    </row>
    <row r="5276" spans="8:9">
      <c r="H5276" s="2"/>
      <c r="I5276" s="2"/>
    </row>
    <row r="5277" spans="8:9">
      <c r="H5277" s="2"/>
      <c r="I5277" s="2"/>
    </row>
    <row r="5278" spans="8:9">
      <c r="H5278" s="2"/>
    </row>
    <row r="5279" spans="8:9">
      <c r="H5279" s="2"/>
    </row>
    <row r="5972" spans="10:10">
      <c r="J5972" s="2"/>
    </row>
    <row r="5973" spans="10:10">
      <c r="J5973" s="2"/>
    </row>
    <row r="5996" spans="10:10">
      <c r="J5996" s="2"/>
    </row>
    <row r="5997" spans="10:10">
      <c r="J5997" s="2"/>
    </row>
    <row r="6027" spans="9:9">
      <c r="I6027" s="2"/>
    </row>
    <row r="6028" spans="9:9">
      <c r="I6028" s="2"/>
    </row>
    <row r="6036" spans="9:10">
      <c r="J6036" s="2"/>
    </row>
    <row r="6040" spans="9:10">
      <c r="I6040" s="2"/>
    </row>
    <row r="6048" spans="9:10">
      <c r="I6048" s="2"/>
    </row>
    <row r="6059" spans="10:10">
      <c r="J6059" s="2"/>
    </row>
    <row r="6067" spans="9:9">
      <c r="I6067" s="2"/>
    </row>
    <row r="6068" spans="9:9">
      <c r="I6068" s="2"/>
    </row>
    <row r="6082" spans="10:10">
      <c r="J6082" s="2"/>
    </row>
    <row r="6168" spans="9:9">
      <c r="I6168" s="2"/>
    </row>
    <row r="6169" spans="9:9">
      <c r="I6169" s="2"/>
    </row>
    <row r="6171" spans="9:9">
      <c r="I6171" s="2"/>
    </row>
    <row r="6183" spans="9:9">
      <c r="I6183" s="2"/>
    </row>
    <row r="6184" spans="9:9">
      <c r="I6184" s="2"/>
    </row>
    <row r="6185" spans="9:9">
      <c r="I6185" s="2"/>
    </row>
    <row r="6200" spans="9:9">
      <c r="I6200" s="2"/>
    </row>
    <row r="6202" spans="9:9">
      <c r="I6202" s="2"/>
    </row>
    <row r="6217" spans="9:9">
      <c r="I6217" s="2"/>
    </row>
    <row r="6237" spans="9:9">
      <c r="I6237" s="2"/>
    </row>
    <row r="6238" spans="9:9">
      <c r="I6238" s="2"/>
    </row>
    <row r="6240" spans="9:9">
      <c r="I6240" s="2"/>
    </row>
    <row r="6242" spans="9:9">
      <c r="I6242" s="2"/>
    </row>
    <row r="6244" spans="9:9">
      <c r="I6244" s="2"/>
    </row>
    <row r="6245" spans="9:9">
      <c r="I6245" s="2"/>
    </row>
    <row r="6246" spans="9:9">
      <c r="I6246" s="2"/>
    </row>
    <row r="6247" spans="9:9">
      <c r="I6247" s="2"/>
    </row>
    <row r="6248" spans="9:9">
      <c r="I6248" s="2"/>
    </row>
    <row r="6250" spans="9:9">
      <c r="I6250" s="2"/>
    </row>
    <row r="6251" spans="9:9">
      <c r="I6251" s="2"/>
    </row>
    <row r="6252" spans="9:9">
      <c r="I6252" s="2"/>
    </row>
    <row r="6253" spans="9:9">
      <c r="I6253" s="2"/>
    </row>
    <row r="6272" spans="9:9">
      <c r="I6272" s="2"/>
    </row>
    <row r="6275" spans="9:9">
      <c r="I6275" s="2"/>
    </row>
    <row r="6279" spans="9:9">
      <c r="I6279" s="2"/>
    </row>
    <row r="6280" spans="9:9">
      <c r="I6280" s="2"/>
    </row>
    <row r="6285" spans="9:9">
      <c r="I6285" s="2"/>
    </row>
    <row r="6287" spans="9:9">
      <c r="I6287" s="2"/>
    </row>
    <row r="6288" spans="9:9">
      <c r="I6288" s="2"/>
    </row>
    <row r="6290" spans="9:9">
      <c r="I6290" s="2"/>
    </row>
    <row r="6291" spans="9:9">
      <c r="I6291" s="2"/>
    </row>
    <row r="6292" spans="9:9">
      <c r="I6292" s="2"/>
    </row>
    <row r="6295" spans="9:9">
      <c r="I6295" s="2"/>
    </row>
    <row r="6296" spans="9:9">
      <c r="I6296" s="2"/>
    </row>
    <row r="6298" spans="9:9">
      <c r="I6298" s="2"/>
    </row>
    <row r="6299" spans="9:9">
      <c r="I6299" s="2"/>
    </row>
    <row r="6305" spans="9:9">
      <c r="I6305" s="2"/>
    </row>
    <row r="6306" spans="9:9">
      <c r="I6306" s="2"/>
    </row>
    <row r="6307" spans="9:9">
      <c r="I6307" s="2"/>
    </row>
    <row r="6308" spans="9:9">
      <c r="I6308" s="2"/>
    </row>
    <row r="6309" spans="9:9">
      <c r="I6309" s="2"/>
    </row>
    <row r="6310" spans="9:9">
      <c r="I6310" s="2"/>
    </row>
    <row r="6311" spans="9:9">
      <c r="I6311" s="2"/>
    </row>
    <row r="6312" spans="9:9">
      <c r="I6312" s="2"/>
    </row>
    <row r="6313" spans="9:9">
      <c r="I6313" s="2"/>
    </row>
    <row r="6315" spans="9:9">
      <c r="I6315" s="2"/>
    </row>
    <row r="6316" spans="9:9">
      <c r="I6316" s="2"/>
    </row>
    <row r="6317" spans="9:9">
      <c r="I6317" s="2"/>
    </row>
    <row r="6318" spans="9:9">
      <c r="I6318" s="2"/>
    </row>
    <row r="6319" spans="9:9">
      <c r="I6319" s="2"/>
    </row>
    <row r="6320" spans="9:9">
      <c r="I6320" s="2"/>
    </row>
    <row r="6323" spans="8:10">
      <c r="J6323" s="2"/>
    </row>
    <row r="6324" spans="8:10">
      <c r="J6324" s="2"/>
    </row>
    <row r="6331" spans="8:10">
      <c r="H6331" s="2"/>
    </row>
    <row r="6332" spans="8:10">
      <c r="H6332" s="2"/>
    </row>
    <row r="6333" spans="8:10">
      <c r="H6333" s="2"/>
    </row>
    <row r="6334" spans="8:10">
      <c r="H6334" s="2"/>
    </row>
    <row r="6380" spans="8:9">
      <c r="H6380" s="2"/>
    </row>
    <row r="6381" spans="8:9">
      <c r="H6381" s="2"/>
    </row>
    <row r="6382" spans="8:9">
      <c r="H6382" s="2"/>
      <c r="I6382" s="2"/>
    </row>
    <row r="6383" spans="8:9">
      <c r="H6383" s="2"/>
    </row>
    <row r="6384" spans="8:9">
      <c r="H6384" s="2"/>
    </row>
    <row r="6385" spans="8:9">
      <c r="H6385" s="2"/>
    </row>
    <row r="6386" spans="8:9">
      <c r="H6386" s="2"/>
    </row>
    <row r="6387" spans="8:9">
      <c r="H6387" s="2"/>
    </row>
    <row r="6388" spans="8:9">
      <c r="H6388" s="2"/>
    </row>
    <row r="6389" spans="8:9">
      <c r="H6389" s="2"/>
      <c r="I6389" s="2"/>
    </row>
    <row r="6390" spans="8:9">
      <c r="H6390" s="2"/>
      <c r="I6390" s="2"/>
    </row>
    <row r="6391" spans="8:9">
      <c r="H6391" s="2"/>
      <c r="I6391" s="2"/>
    </row>
    <row r="6392" spans="8:9">
      <c r="H6392" s="2"/>
      <c r="I6392" s="2"/>
    </row>
    <row r="6393" spans="8:9">
      <c r="H6393" s="2"/>
      <c r="I6393" s="2"/>
    </row>
    <row r="6394" spans="8:9">
      <c r="H6394" s="2"/>
      <c r="I6394" s="2"/>
    </row>
    <row r="6395" spans="8:9">
      <c r="H6395" s="2"/>
      <c r="I6395" s="2"/>
    </row>
    <row r="6396" spans="8:9">
      <c r="H6396" s="2"/>
      <c r="I6396" s="2"/>
    </row>
    <row r="6397" spans="8:9">
      <c r="H6397" s="2"/>
      <c r="I6397" s="2"/>
    </row>
    <row r="6398" spans="8:9">
      <c r="H6398" s="2"/>
    </row>
    <row r="6399" spans="8:9">
      <c r="H6399" s="2"/>
      <c r="I6399" s="2"/>
    </row>
    <row r="6400" spans="8:9">
      <c r="H6400" s="2"/>
      <c r="I6400" s="2"/>
    </row>
    <row r="6401" spans="8:9">
      <c r="H6401" s="2"/>
      <c r="I6401" s="2"/>
    </row>
    <row r="6402" spans="8:9">
      <c r="H6402" s="2"/>
    </row>
    <row r="6403" spans="8:9">
      <c r="H6403" s="2"/>
      <c r="I6403" s="2"/>
    </row>
    <row r="6404" spans="8:9">
      <c r="H6404" s="2"/>
    </row>
    <row r="6405" spans="8:9">
      <c r="H6405" s="2"/>
    </row>
    <row r="6406" spans="8:9">
      <c r="H6406" s="2"/>
    </row>
    <row r="6407" spans="8:9">
      <c r="H6407" s="2"/>
    </row>
    <row r="6408" spans="8:9">
      <c r="H6408" s="2"/>
    </row>
    <row r="6409" spans="8:9">
      <c r="H6409" s="2"/>
    </row>
    <row r="6410" spans="8:9">
      <c r="H6410" s="2"/>
    </row>
    <row r="6411" spans="8:9">
      <c r="H6411" s="2"/>
    </row>
    <row r="6412" spans="8:9">
      <c r="H6412" s="2"/>
    </row>
    <row r="6413" spans="8:9">
      <c r="H6413" s="2"/>
    </row>
    <row r="6414" spans="8:9">
      <c r="H6414" s="2"/>
    </row>
    <row r="6415" spans="8:9">
      <c r="H6415" s="2"/>
    </row>
    <row r="6416" spans="8:9">
      <c r="H6416" s="2"/>
    </row>
    <row r="6417" spans="8:9">
      <c r="H6417" s="2"/>
    </row>
    <row r="6418" spans="8:9">
      <c r="H6418" s="2"/>
    </row>
    <row r="6419" spans="8:9">
      <c r="H6419" s="2"/>
    </row>
    <row r="6420" spans="8:9">
      <c r="H6420" s="2"/>
    </row>
    <row r="6421" spans="8:9">
      <c r="H6421" s="2"/>
    </row>
    <row r="6422" spans="8:9">
      <c r="H6422" s="2"/>
    </row>
    <row r="6423" spans="8:9">
      <c r="H6423" s="2"/>
    </row>
    <row r="6424" spans="8:9">
      <c r="H6424" s="2"/>
    </row>
    <row r="6425" spans="8:9">
      <c r="H6425" s="2"/>
    </row>
    <row r="6426" spans="8:9">
      <c r="H6426" s="2"/>
      <c r="I6426" s="2"/>
    </row>
    <row r="6427" spans="8:9">
      <c r="H6427" s="2"/>
    </row>
    <row r="6428" spans="8:9">
      <c r="H6428" s="2"/>
    </row>
    <row r="6429" spans="8:9">
      <c r="H6429" s="2"/>
      <c r="I6429" s="2"/>
    </row>
    <row r="6430" spans="8:9">
      <c r="H6430" s="2"/>
    </row>
    <row r="6431" spans="8:9">
      <c r="H6431" s="2"/>
    </row>
    <row r="6432" spans="8:9">
      <c r="H6432" s="2"/>
    </row>
    <row r="6433" spans="8:9">
      <c r="H6433" s="2"/>
    </row>
    <row r="6434" spans="8:9">
      <c r="H6434" s="2"/>
    </row>
    <row r="6435" spans="8:9">
      <c r="H6435" s="2"/>
    </row>
    <row r="6436" spans="8:9">
      <c r="H6436" s="2"/>
    </row>
    <row r="6437" spans="8:9">
      <c r="H6437" s="2"/>
      <c r="I6437" s="2"/>
    </row>
    <row r="6438" spans="8:9">
      <c r="H6438" s="2"/>
    </row>
    <row r="6439" spans="8:9">
      <c r="H6439" s="2"/>
    </row>
    <row r="6440" spans="8:9">
      <c r="H6440" s="2"/>
      <c r="I6440" s="2"/>
    </row>
    <row r="6441" spans="8:9">
      <c r="H6441" s="2"/>
    </row>
    <row r="6442" spans="8:9">
      <c r="H6442" s="2"/>
    </row>
    <row r="6443" spans="8:9">
      <c r="H6443" s="2"/>
    </row>
    <row r="6444" spans="8:9">
      <c r="H6444" s="2"/>
    </row>
    <row r="6445" spans="8:9">
      <c r="H6445" s="2"/>
    </row>
    <row r="6446" spans="8:9">
      <c r="H6446" s="2"/>
    </row>
    <row r="6447" spans="8:9">
      <c r="H6447" s="2"/>
    </row>
    <row r="6448" spans="8:9">
      <c r="H6448" s="2"/>
    </row>
    <row r="6449" spans="8:8">
      <c r="H6449" s="2"/>
    </row>
    <row r="6450" spans="8:8">
      <c r="H6450" s="2"/>
    </row>
    <row r="6451" spans="8:8">
      <c r="H6451" s="2"/>
    </row>
    <row r="6452" spans="8:8">
      <c r="H6452" s="2"/>
    </row>
    <row r="6453" spans="8:8">
      <c r="H6453" s="2"/>
    </row>
    <row r="6454" spans="8:8">
      <c r="H6454" s="2"/>
    </row>
    <row r="6455" spans="8:8">
      <c r="H6455" s="2"/>
    </row>
    <row r="6456" spans="8:8">
      <c r="H6456" s="2"/>
    </row>
    <row r="6457" spans="8:8">
      <c r="H6457" s="2"/>
    </row>
    <row r="6458" spans="8:8">
      <c r="H6458" s="2"/>
    </row>
    <row r="6459" spans="8:8">
      <c r="H6459" s="2"/>
    </row>
    <row r="6460" spans="8:8">
      <c r="H6460" s="2"/>
    </row>
    <row r="6461" spans="8:8">
      <c r="H6461" s="2"/>
    </row>
    <row r="6462" spans="8:8">
      <c r="H6462" s="2"/>
    </row>
    <row r="6463" spans="8:8">
      <c r="H6463" s="2"/>
    </row>
    <row r="6464" spans="8:8">
      <c r="H6464" s="2"/>
    </row>
    <row r="6465" spans="8:9">
      <c r="H6465" s="2"/>
    </row>
    <row r="6466" spans="8:9">
      <c r="H6466" s="2"/>
    </row>
    <row r="6467" spans="8:9">
      <c r="H6467" s="2"/>
    </row>
    <row r="6468" spans="8:9">
      <c r="H6468" s="2"/>
    </row>
    <row r="6469" spans="8:9">
      <c r="H6469" s="2"/>
    </row>
    <row r="6470" spans="8:9">
      <c r="H6470" s="2"/>
    </row>
    <row r="6471" spans="8:9">
      <c r="H6471" s="2"/>
      <c r="I6471" s="2"/>
    </row>
    <row r="6472" spans="8:9">
      <c r="H6472" s="2"/>
    </row>
    <row r="6473" spans="8:9">
      <c r="H6473" s="2"/>
      <c r="I6473" s="2"/>
    </row>
    <row r="6474" spans="8:9">
      <c r="H6474" s="2"/>
      <c r="I6474" s="2"/>
    </row>
    <row r="6475" spans="8:9">
      <c r="H6475" s="2"/>
      <c r="I6475" s="2"/>
    </row>
    <row r="6476" spans="8:9">
      <c r="H6476" s="2"/>
    </row>
    <row r="6477" spans="8:9">
      <c r="H6477" s="2"/>
      <c r="I6477" s="2"/>
    </row>
    <row r="6478" spans="8:9">
      <c r="H6478" s="2"/>
    </row>
    <row r="6479" spans="8:9">
      <c r="H6479" s="2"/>
      <c r="I6479" s="2"/>
    </row>
    <row r="6480" spans="8:9">
      <c r="H6480" s="2"/>
      <c r="I6480" s="2"/>
    </row>
    <row r="6481" spans="8:9">
      <c r="H6481" s="2"/>
      <c r="I6481" s="2"/>
    </row>
    <row r="6482" spans="8:9">
      <c r="H6482" s="2"/>
    </row>
    <row r="6483" spans="8:9">
      <c r="H6483" s="2"/>
    </row>
    <row r="6484" spans="8:9">
      <c r="H6484" s="2"/>
    </row>
    <row r="6485" spans="8:9">
      <c r="H6485" s="2"/>
    </row>
    <row r="6486" spans="8:9">
      <c r="H6486" s="2"/>
    </row>
    <row r="6487" spans="8:9">
      <c r="H6487" s="2"/>
    </row>
    <row r="6488" spans="8:9">
      <c r="H6488" s="2"/>
    </row>
    <row r="6489" spans="8:9">
      <c r="H6489" s="2"/>
    </row>
    <row r="6490" spans="8:9">
      <c r="H6490" s="2"/>
    </row>
    <row r="6491" spans="8:9">
      <c r="H6491" s="2"/>
      <c r="I6491" s="2"/>
    </row>
    <row r="6492" spans="8:9">
      <c r="H6492" s="2"/>
      <c r="I6492" s="2"/>
    </row>
    <row r="6493" spans="8:9">
      <c r="H6493" s="2"/>
      <c r="I6493" s="2"/>
    </row>
    <row r="6494" spans="8:9">
      <c r="H6494" s="2"/>
      <c r="I6494" s="2"/>
    </row>
    <row r="6495" spans="8:9">
      <c r="H6495" s="2"/>
      <c r="I6495" s="2"/>
    </row>
    <row r="6496" spans="8:9">
      <c r="H6496" s="2"/>
      <c r="I6496" s="2"/>
    </row>
    <row r="6497" spans="8:10">
      <c r="H6497" s="2"/>
    </row>
    <row r="6498" spans="8:10">
      <c r="H6498" s="2"/>
      <c r="J6498" s="2"/>
    </row>
    <row r="6499" spans="8:10">
      <c r="H6499" s="2"/>
      <c r="I6499" s="2"/>
    </row>
    <row r="6500" spans="8:10">
      <c r="H6500" s="2"/>
    </row>
    <row r="6501" spans="8:10">
      <c r="H6501" s="2"/>
      <c r="I6501" s="2"/>
    </row>
    <row r="6502" spans="8:10">
      <c r="H6502" s="2"/>
    </row>
    <row r="6503" spans="8:10">
      <c r="H6503" s="2"/>
    </row>
    <row r="6504" spans="8:10">
      <c r="H6504" s="2"/>
    </row>
    <row r="6505" spans="8:10">
      <c r="H6505" s="2"/>
    </row>
    <row r="6506" spans="8:10">
      <c r="H6506" s="2"/>
    </row>
    <row r="6507" spans="8:10">
      <c r="H6507" s="2"/>
      <c r="I6507" s="2"/>
    </row>
    <row r="6508" spans="8:10">
      <c r="H6508" s="2"/>
      <c r="I6508" s="2"/>
    </row>
    <row r="6509" spans="8:10">
      <c r="H6509" s="2"/>
      <c r="I6509" s="2"/>
    </row>
    <row r="6510" spans="8:10">
      <c r="H6510" s="2"/>
      <c r="I6510" s="2"/>
    </row>
    <row r="6511" spans="8:10">
      <c r="H6511" s="2"/>
      <c r="I6511" s="2"/>
    </row>
    <row r="6512" spans="8:10">
      <c r="H6512" s="2"/>
      <c r="I6512" s="2"/>
    </row>
    <row r="6513" spans="8:9">
      <c r="H6513" s="2"/>
    </row>
    <row r="6514" spans="8:9">
      <c r="H6514" s="2"/>
      <c r="I6514" s="2"/>
    </row>
    <row r="6515" spans="8:9">
      <c r="H6515" s="2"/>
      <c r="I6515" s="2"/>
    </row>
    <row r="6516" spans="8:9">
      <c r="H6516" s="2"/>
      <c r="I6516" s="2"/>
    </row>
    <row r="6517" spans="8:9">
      <c r="H6517" s="2"/>
      <c r="I6517" s="2"/>
    </row>
    <row r="6518" spans="8:9">
      <c r="H6518" s="2"/>
      <c r="I6518" s="2"/>
    </row>
    <row r="6519" spans="8:9">
      <c r="H6519" s="2"/>
      <c r="I6519" s="2"/>
    </row>
    <row r="6520" spans="8:9">
      <c r="H6520" s="2"/>
      <c r="I6520" s="2"/>
    </row>
    <row r="6521" spans="8:9">
      <c r="H6521" s="2"/>
      <c r="I6521" s="2"/>
    </row>
    <row r="6522" spans="8:9">
      <c r="H6522" s="2"/>
      <c r="I6522" s="2"/>
    </row>
    <row r="6523" spans="8:9">
      <c r="H6523" s="2"/>
      <c r="I6523" s="2"/>
    </row>
    <row r="6524" spans="8:9">
      <c r="H6524" s="2"/>
      <c r="I6524" s="2"/>
    </row>
    <row r="6525" spans="8:9">
      <c r="H6525" s="2"/>
      <c r="I6525" s="2"/>
    </row>
    <row r="6526" spans="8:9">
      <c r="H6526" s="2"/>
      <c r="I6526" s="2"/>
    </row>
    <row r="6527" spans="8:9">
      <c r="H6527" s="2"/>
    </row>
    <row r="6528" spans="8:9">
      <c r="H6528" s="2"/>
      <c r="I6528" s="2"/>
    </row>
    <row r="6529" spans="8:9">
      <c r="H6529" s="2"/>
    </row>
    <row r="6530" spans="8:9">
      <c r="H6530" s="2"/>
      <c r="I6530" s="2"/>
    </row>
    <row r="6531" spans="8:9">
      <c r="H6531" s="2"/>
    </row>
    <row r="6532" spans="8:9">
      <c r="H6532" s="2"/>
      <c r="I6532" s="2"/>
    </row>
    <row r="6533" spans="8:9">
      <c r="H6533" s="2"/>
    </row>
    <row r="6534" spans="8:9">
      <c r="H6534" s="2"/>
    </row>
    <row r="6535" spans="8:9">
      <c r="H6535" s="2"/>
      <c r="I6535" s="2"/>
    </row>
    <row r="6536" spans="8:9">
      <c r="H6536" s="2"/>
      <c r="I6536" s="2"/>
    </row>
    <row r="6537" spans="8:9">
      <c r="H6537" s="2"/>
    </row>
    <row r="6538" spans="8:9">
      <c r="H6538" s="2"/>
    </row>
    <row r="6539" spans="8:9">
      <c r="H6539" s="2"/>
    </row>
    <row r="6540" spans="8:9">
      <c r="H6540" s="2"/>
    </row>
    <row r="6541" spans="8:9">
      <c r="H6541" s="2"/>
      <c r="I6541" s="2"/>
    </row>
    <row r="6542" spans="8:9">
      <c r="H6542" s="2"/>
      <c r="I6542" s="2"/>
    </row>
    <row r="6543" spans="8:9">
      <c r="H6543" s="2"/>
      <c r="I6543" s="2"/>
    </row>
    <row r="6544" spans="8:9">
      <c r="H6544" s="2"/>
      <c r="I6544" s="2"/>
    </row>
    <row r="6545" spans="8:9">
      <c r="H6545" s="2"/>
      <c r="I6545" s="2"/>
    </row>
    <row r="6546" spans="8:9">
      <c r="H6546" s="2"/>
      <c r="I6546" s="2"/>
    </row>
    <row r="6547" spans="8:9">
      <c r="H6547" s="2"/>
      <c r="I6547" s="2"/>
    </row>
    <row r="6548" spans="8:9">
      <c r="H6548" s="2"/>
      <c r="I6548" s="2"/>
    </row>
    <row r="6549" spans="8:9">
      <c r="H6549" s="2"/>
      <c r="I6549" s="2"/>
    </row>
    <row r="6550" spans="8:9">
      <c r="H6550" s="2"/>
      <c r="I6550" s="2"/>
    </row>
    <row r="6551" spans="8:9">
      <c r="H6551" s="2"/>
    </row>
    <row r="6552" spans="8:9">
      <c r="H6552" s="2"/>
      <c r="I6552" s="2"/>
    </row>
    <row r="6553" spans="8:9">
      <c r="H6553" s="2"/>
      <c r="I6553" s="2"/>
    </row>
    <row r="6554" spans="8:9">
      <c r="H6554" s="2"/>
      <c r="I6554" s="2"/>
    </row>
    <row r="6555" spans="8:9">
      <c r="H6555" s="2"/>
      <c r="I6555" s="2"/>
    </row>
    <row r="6556" spans="8:9">
      <c r="H6556" s="2"/>
    </row>
    <row r="6557" spans="8:9">
      <c r="H6557" s="2"/>
      <c r="I6557" s="2"/>
    </row>
    <row r="6558" spans="8:9">
      <c r="H6558" s="2"/>
      <c r="I6558" s="2"/>
    </row>
    <row r="6559" spans="8:9">
      <c r="H6559" s="2"/>
    </row>
    <row r="6560" spans="8:9">
      <c r="H6560" s="2"/>
      <c r="I6560" s="2"/>
    </row>
    <row r="6561" spans="8:9">
      <c r="H6561" s="2"/>
      <c r="I6561" s="2"/>
    </row>
    <row r="6562" spans="8:9">
      <c r="H6562" s="2"/>
      <c r="I6562" s="2"/>
    </row>
    <row r="6563" spans="8:9">
      <c r="H6563" s="2"/>
      <c r="I6563" s="2"/>
    </row>
    <row r="6564" spans="8:9">
      <c r="H6564" s="2"/>
      <c r="I6564" s="2"/>
    </row>
    <row r="6565" spans="8:9">
      <c r="H6565" s="2"/>
      <c r="I6565" s="2"/>
    </row>
    <row r="6566" spans="8:9">
      <c r="H6566" s="2"/>
      <c r="I6566" s="2"/>
    </row>
    <row r="6567" spans="8:9">
      <c r="H6567" s="2"/>
      <c r="I6567" s="2"/>
    </row>
    <row r="6568" spans="8:9">
      <c r="H6568" s="2"/>
      <c r="I6568" s="2"/>
    </row>
    <row r="6569" spans="8:9">
      <c r="H6569" s="2"/>
      <c r="I6569" s="2"/>
    </row>
    <row r="6570" spans="8:9">
      <c r="H6570" s="2"/>
      <c r="I6570" s="2"/>
    </row>
    <row r="6571" spans="8:9">
      <c r="H6571" s="2"/>
      <c r="I6571" s="2"/>
    </row>
    <row r="6572" spans="8:9">
      <c r="H6572" s="2"/>
      <c r="I6572" s="2"/>
    </row>
    <row r="6573" spans="8:9">
      <c r="H6573" s="2"/>
    </row>
    <row r="6574" spans="8:9">
      <c r="H6574" s="2"/>
      <c r="I6574" s="2"/>
    </row>
    <row r="6575" spans="8:9">
      <c r="H6575" s="2"/>
      <c r="I6575" s="2"/>
    </row>
    <row r="6576" spans="8:9">
      <c r="H6576" s="2"/>
      <c r="I6576" s="2"/>
    </row>
    <row r="6577" spans="8:9">
      <c r="H6577" s="2"/>
      <c r="I6577" s="2"/>
    </row>
    <row r="6578" spans="8:9">
      <c r="H6578" s="2"/>
    </row>
    <row r="6579" spans="8:9">
      <c r="H6579" s="2"/>
      <c r="I6579" s="2"/>
    </row>
    <row r="6580" spans="8:9">
      <c r="H6580" s="2"/>
    </row>
    <row r="6581" spans="8:9">
      <c r="H6581" s="2"/>
      <c r="I6581" s="2"/>
    </row>
    <row r="6582" spans="8:9">
      <c r="H6582" s="2"/>
      <c r="I6582" s="2"/>
    </row>
    <row r="6583" spans="8:9">
      <c r="H6583" s="2"/>
    </row>
    <row r="6584" spans="8:9">
      <c r="H6584" s="2"/>
      <c r="I6584" s="2"/>
    </row>
    <row r="6585" spans="8:9">
      <c r="H6585" s="2"/>
      <c r="I6585" s="2"/>
    </row>
    <row r="6586" spans="8:9">
      <c r="H6586" s="2"/>
    </row>
    <row r="6587" spans="8:9">
      <c r="H6587" s="2"/>
      <c r="I6587" s="2"/>
    </row>
    <row r="6588" spans="8:9">
      <c r="H6588" s="2"/>
    </row>
    <row r="6589" spans="8:9">
      <c r="H6589" s="2"/>
    </row>
    <row r="6590" spans="8:9">
      <c r="H6590" s="2"/>
      <c r="I6590" s="2"/>
    </row>
    <row r="6591" spans="8:9">
      <c r="H6591" s="2"/>
      <c r="I6591" s="2"/>
    </row>
    <row r="6592" spans="8:9">
      <c r="H6592" s="2"/>
      <c r="I6592" s="2"/>
    </row>
    <row r="6593" spans="8:9">
      <c r="H6593" s="2"/>
      <c r="I6593" s="2"/>
    </row>
    <row r="6594" spans="8:9">
      <c r="H6594" s="2"/>
      <c r="I6594" s="2"/>
    </row>
    <row r="6595" spans="8:9">
      <c r="H6595" s="2"/>
    </row>
    <row r="6596" spans="8:9">
      <c r="H6596" s="2"/>
    </row>
    <row r="6597" spans="8:9">
      <c r="H6597" s="2"/>
      <c r="I6597" s="2"/>
    </row>
    <row r="6598" spans="8:9">
      <c r="H6598" s="2"/>
    </row>
    <row r="6599" spans="8:9">
      <c r="H6599" s="2"/>
    </row>
    <row r="6600" spans="8:9">
      <c r="H6600" s="2"/>
    </row>
    <row r="6601" spans="8:9">
      <c r="H6601" s="2"/>
    </row>
    <row r="6602" spans="8:9">
      <c r="H6602" s="2"/>
    </row>
    <row r="6603" spans="8:9">
      <c r="H6603" s="2"/>
      <c r="I6603" s="2"/>
    </row>
    <row r="6604" spans="8:9">
      <c r="H6604" s="2"/>
      <c r="I6604" s="2"/>
    </row>
    <row r="6605" spans="8:9">
      <c r="H6605" s="2"/>
      <c r="I6605" s="2"/>
    </row>
    <row r="6606" spans="8:9">
      <c r="H6606" s="2"/>
      <c r="I6606" s="2"/>
    </row>
    <row r="6607" spans="8:9">
      <c r="H6607" s="2"/>
      <c r="I6607" s="2"/>
    </row>
    <row r="6608" spans="8:9">
      <c r="H6608" s="2"/>
      <c r="I6608" s="2"/>
    </row>
    <row r="6609" spans="8:9">
      <c r="H6609" s="2"/>
      <c r="I6609" s="2"/>
    </row>
    <row r="6610" spans="8:9">
      <c r="H6610" s="2"/>
      <c r="I6610" s="2"/>
    </row>
    <row r="6611" spans="8:9">
      <c r="H6611" s="2"/>
    </row>
    <row r="6612" spans="8:9">
      <c r="H6612" s="2"/>
    </row>
    <row r="6613" spans="8:9">
      <c r="H6613" s="2"/>
    </row>
    <row r="6614" spans="8:9">
      <c r="H6614" s="2"/>
      <c r="I6614" s="2"/>
    </row>
    <row r="6615" spans="8:9">
      <c r="H6615" s="2"/>
    </row>
    <row r="6616" spans="8:9">
      <c r="H6616" s="2"/>
      <c r="I6616" s="2"/>
    </row>
    <row r="6617" spans="8:9">
      <c r="H6617" s="2"/>
    </row>
    <row r="6618" spans="8:9">
      <c r="H6618" s="2"/>
    </row>
    <row r="6619" spans="8:9">
      <c r="H6619" s="2"/>
      <c r="I6619" s="2"/>
    </row>
    <row r="6620" spans="8:9">
      <c r="H6620" s="2"/>
      <c r="I6620" s="2"/>
    </row>
    <row r="6621" spans="8:9">
      <c r="H6621" s="2"/>
    </row>
    <row r="6622" spans="8:9">
      <c r="H6622" s="2"/>
    </row>
    <row r="6623" spans="8:9">
      <c r="H6623" s="2"/>
    </row>
    <row r="6624" spans="8:9">
      <c r="H6624" s="2"/>
      <c r="I6624" s="2"/>
    </row>
    <row r="6625" spans="8:10">
      <c r="H6625" s="2"/>
      <c r="I6625" s="2"/>
    </row>
    <row r="6626" spans="8:10">
      <c r="H6626" s="2"/>
    </row>
    <row r="6627" spans="8:10">
      <c r="H6627" s="2"/>
    </row>
    <row r="6628" spans="8:10">
      <c r="H6628" s="2"/>
    </row>
    <row r="6629" spans="8:10">
      <c r="H6629" s="2"/>
    </row>
    <row r="6630" spans="8:10">
      <c r="H6630" s="2"/>
      <c r="I6630" s="2"/>
    </row>
    <row r="6631" spans="8:10">
      <c r="H6631" s="2"/>
      <c r="I6631" s="2"/>
    </row>
    <row r="6632" spans="8:10">
      <c r="H6632" s="2"/>
      <c r="I6632" s="2"/>
    </row>
    <row r="6633" spans="8:10">
      <c r="H6633" s="2"/>
      <c r="I6633" s="2"/>
    </row>
    <row r="6634" spans="8:10">
      <c r="H6634" s="2"/>
      <c r="I6634" s="2"/>
    </row>
    <row r="6635" spans="8:10">
      <c r="H6635" s="2"/>
      <c r="I6635" s="2"/>
    </row>
    <row r="6636" spans="8:10">
      <c r="H6636" s="2"/>
    </row>
    <row r="6637" spans="8:10">
      <c r="H6637" s="2"/>
      <c r="J6637" s="2"/>
    </row>
    <row r="6638" spans="8:10">
      <c r="H6638" s="2"/>
      <c r="I6638" s="2"/>
    </row>
    <row r="6639" spans="8:10">
      <c r="H6639" s="2"/>
      <c r="I6639" s="2"/>
    </row>
    <row r="6640" spans="8:10">
      <c r="H6640" s="2"/>
      <c r="I6640" s="2"/>
    </row>
    <row r="6641" spans="8:9">
      <c r="H6641" s="2"/>
      <c r="I6641" s="2"/>
    </row>
    <row r="6642" spans="8:9">
      <c r="H6642" s="2"/>
      <c r="I6642" s="2"/>
    </row>
    <row r="6643" spans="8:9">
      <c r="H6643" s="2"/>
      <c r="I6643" s="2"/>
    </row>
    <row r="6644" spans="8:9">
      <c r="H6644" s="2"/>
      <c r="I6644" s="2"/>
    </row>
    <row r="6645" spans="8:9">
      <c r="H6645" s="2"/>
    </row>
    <row r="6646" spans="8:9">
      <c r="H6646" s="2"/>
    </row>
    <row r="6647" spans="8:9">
      <c r="H6647" s="2"/>
    </row>
    <row r="6648" spans="8:9">
      <c r="H6648" s="2"/>
    </row>
    <row r="6649" spans="8:9">
      <c r="H6649" s="2"/>
    </row>
    <row r="6650" spans="8:9">
      <c r="H6650" s="2"/>
      <c r="I6650" s="2"/>
    </row>
    <row r="6651" spans="8:9">
      <c r="H6651" s="2"/>
    </row>
    <row r="6652" spans="8:9">
      <c r="H6652" s="2"/>
    </row>
    <row r="6653" spans="8:9">
      <c r="H6653" s="2"/>
      <c r="I6653" s="2"/>
    </row>
    <row r="6654" spans="8:9">
      <c r="H6654" s="2"/>
    </row>
    <row r="6655" spans="8:9">
      <c r="H6655" s="2"/>
    </row>
    <row r="6656" spans="8:9">
      <c r="H6656" s="2"/>
    </row>
    <row r="6657" spans="8:9">
      <c r="H6657" s="2"/>
    </row>
    <row r="6658" spans="8:9">
      <c r="H6658" s="2"/>
      <c r="I6658" s="2"/>
    </row>
    <row r="6659" spans="8:9">
      <c r="H6659" s="2"/>
    </row>
    <row r="6660" spans="8:9">
      <c r="H6660" s="2"/>
    </row>
    <row r="6661" spans="8:9">
      <c r="H6661" s="2"/>
    </row>
    <row r="6662" spans="8:9">
      <c r="H6662" s="2"/>
    </row>
    <row r="6663" spans="8:9">
      <c r="H6663" s="2"/>
    </row>
    <row r="6664" spans="8:9">
      <c r="H6664" s="2"/>
    </row>
    <row r="6665" spans="8:9">
      <c r="H6665" s="2"/>
    </row>
    <row r="6666" spans="8:9">
      <c r="H6666" s="2"/>
    </row>
    <row r="6667" spans="8:9">
      <c r="H6667" s="2"/>
    </row>
    <row r="6668" spans="8:9">
      <c r="H6668" s="2"/>
    </row>
    <row r="6669" spans="8:9">
      <c r="H6669" s="2"/>
    </row>
    <row r="6670" spans="8:9">
      <c r="H6670" s="2"/>
    </row>
    <row r="6671" spans="8:9">
      <c r="H6671" s="2"/>
    </row>
    <row r="6672" spans="8:9">
      <c r="H6672" s="2"/>
    </row>
    <row r="6673" spans="8:9">
      <c r="H6673" s="2"/>
    </row>
    <row r="6674" spans="8:9">
      <c r="H6674" s="2"/>
    </row>
    <row r="6675" spans="8:9">
      <c r="H6675" s="2"/>
    </row>
    <row r="6676" spans="8:9">
      <c r="H6676" s="2"/>
    </row>
    <row r="6677" spans="8:9">
      <c r="H6677" s="2"/>
    </row>
    <row r="6678" spans="8:9">
      <c r="H6678" s="2"/>
    </row>
    <row r="6679" spans="8:9">
      <c r="H6679" s="2"/>
    </row>
    <row r="6680" spans="8:9">
      <c r="H6680" s="2"/>
    </row>
    <row r="6681" spans="8:9">
      <c r="H6681" s="2"/>
      <c r="I6681" s="2"/>
    </row>
    <row r="6682" spans="8:9">
      <c r="H6682" s="2"/>
      <c r="I6682" s="2"/>
    </row>
    <row r="6683" spans="8:9">
      <c r="H6683" s="2"/>
      <c r="I6683" s="2"/>
    </row>
    <row r="6684" spans="8:9">
      <c r="H6684" s="2"/>
      <c r="I6684" s="2"/>
    </row>
    <row r="6685" spans="8:9">
      <c r="H6685" s="2"/>
    </row>
    <row r="6686" spans="8:9">
      <c r="H6686" s="2"/>
    </row>
    <row r="6687" spans="8:9">
      <c r="H6687" s="2"/>
    </row>
    <row r="6688" spans="8:9">
      <c r="H6688" s="2"/>
      <c r="I6688" s="2"/>
    </row>
    <row r="6689" spans="8:9">
      <c r="H6689" s="2"/>
    </row>
    <row r="6690" spans="8:9">
      <c r="H6690" s="2"/>
      <c r="I6690" s="2"/>
    </row>
    <row r="6691" spans="8:9">
      <c r="H6691" s="2"/>
    </row>
    <row r="6692" spans="8:9">
      <c r="H6692" s="2"/>
    </row>
    <row r="6693" spans="8:9">
      <c r="H6693" s="2"/>
    </row>
    <row r="6694" spans="8:9">
      <c r="H6694" s="2"/>
    </row>
    <row r="6695" spans="8:9">
      <c r="H6695" s="2"/>
    </row>
    <row r="6696" spans="8:9">
      <c r="H6696" s="2"/>
    </row>
    <row r="6697" spans="8:9">
      <c r="H6697" s="2"/>
    </row>
    <row r="6698" spans="8:9">
      <c r="H6698" s="2"/>
    </row>
    <row r="6699" spans="8:9">
      <c r="H6699" s="2"/>
    </row>
    <row r="6700" spans="8:9">
      <c r="H6700" s="2"/>
    </row>
    <row r="6701" spans="8:9">
      <c r="H6701" s="2"/>
      <c r="I6701" s="2"/>
    </row>
    <row r="6702" spans="8:9">
      <c r="H6702" s="2"/>
      <c r="I6702" s="2"/>
    </row>
    <row r="6703" spans="8:9">
      <c r="H6703" s="2"/>
      <c r="I6703" s="2"/>
    </row>
    <row r="6704" spans="8:9">
      <c r="H6704" s="2"/>
      <c r="I6704" s="2"/>
    </row>
    <row r="6705" spans="8:9">
      <c r="H6705" s="2"/>
      <c r="I6705" s="2"/>
    </row>
    <row r="6706" spans="8:9">
      <c r="H6706" s="2"/>
    </row>
    <row r="6707" spans="8:9">
      <c r="H6707" s="2"/>
      <c r="I6707" s="2"/>
    </row>
    <row r="6708" spans="8:9">
      <c r="H6708" s="2"/>
      <c r="I6708" s="2"/>
    </row>
    <row r="6709" spans="8:9">
      <c r="H6709" s="2"/>
    </row>
    <row r="6710" spans="8:9">
      <c r="H6710" s="2"/>
      <c r="I6710" s="2"/>
    </row>
    <row r="6711" spans="8:9">
      <c r="H6711" s="2"/>
    </row>
    <row r="6712" spans="8:9">
      <c r="H6712" s="2"/>
    </row>
    <row r="6713" spans="8:9">
      <c r="H6713" s="2"/>
    </row>
    <row r="6714" spans="8:9">
      <c r="H6714" s="2"/>
    </row>
    <row r="6715" spans="8:9">
      <c r="H6715" s="2"/>
    </row>
    <row r="6716" spans="8:9">
      <c r="H6716" s="2"/>
    </row>
    <row r="6717" spans="8:9">
      <c r="H6717" s="2"/>
    </row>
    <row r="6718" spans="8:9">
      <c r="H6718" s="2"/>
    </row>
    <row r="6719" spans="8:9">
      <c r="H6719" s="2"/>
      <c r="I6719" s="2"/>
    </row>
    <row r="6720" spans="8:9">
      <c r="H6720" s="2"/>
      <c r="I6720" s="2"/>
    </row>
    <row r="6721" spans="8:9">
      <c r="H6721" s="2"/>
    </row>
    <row r="6722" spans="8:9">
      <c r="H6722" s="2"/>
    </row>
    <row r="6723" spans="8:9">
      <c r="H6723" s="2"/>
      <c r="I6723" s="2"/>
    </row>
    <row r="6724" spans="8:9">
      <c r="H6724" s="2"/>
    </row>
    <row r="6725" spans="8:9">
      <c r="H6725" s="2"/>
    </row>
    <row r="6726" spans="8:9">
      <c r="H6726" s="2"/>
    </row>
    <row r="6727" spans="8:9">
      <c r="H6727" s="2"/>
      <c r="I6727" s="2"/>
    </row>
    <row r="6728" spans="8:9">
      <c r="H6728" s="2"/>
      <c r="I6728" s="2"/>
    </row>
    <row r="6729" spans="8:9">
      <c r="H6729" s="2"/>
    </row>
    <row r="6730" spans="8:9">
      <c r="H6730" s="2"/>
    </row>
    <row r="6731" spans="8:9">
      <c r="H6731" s="2"/>
      <c r="I6731" s="2"/>
    </row>
    <row r="6732" spans="8:9">
      <c r="H6732" s="2"/>
    </row>
    <row r="6733" spans="8:9">
      <c r="H6733" s="2"/>
    </row>
    <row r="6734" spans="8:9">
      <c r="H6734" s="2"/>
    </row>
    <row r="6735" spans="8:9">
      <c r="H6735" s="2"/>
    </row>
    <row r="6736" spans="8:9">
      <c r="H6736" s="2"/>
    </row>
    <row r="6737" spans="8:9">
      <c r="H6737" s="2"/>
    </row>
    <row r="6738" spans="8:9">
      <c r="H6738" s="2"/>
    </row>
    <row r="6739" spans="8:9">
      <c r="H6739" s="2"/>
    </row>
    <row r="6740" spans="8:9">
      <c r="H6740" s="2"/>
    </row>
    <row r="6741" spans="8:9">
      <c r="H6741" s="2"/>
    </row>
    <row r="6742" spans="8:9">
      <c r="H6742" s="2"/>
    </row>
    <row r="6743" spans="8:9">
      <c r="H6743" s="2"/>
    </row>
    <row r="6744" spans="8:9">
      <c r="H6744" s="2"/>
    </row>
    <row r="6745" spans="8:9">
      <c r="H6745" s="2"/>
    </row>
    <row r="6746" spans="8:9">
      <c r="H6746" s="2"/>
      <c r="I6746" s="2"/>
    </row>
    <row r="6747" spans="8:9">
      <c r="H6747" s="2"/>
      <c r="I6747" s="2"/>
    </row>
    <row r="6748" spans="8:9">
      <c r="H6748" s="2"/>
      <c r="I6748" s="2"/>
    </row>
    <row r="6749" spans="8:9">
      <c r="H6749" s="2"/>
      <c r="I6749" s="2"/>
    </row>
    <row r="6750" spans="8:9">
      <c r="H6750" s="2"/>
      <c r="I6750" s="2"/>
    </row>
    <row r="6751" spans="8:9">
      <c r="H6751" s="2"/>
      <c r="I6751" s="2"/>
    </row>
    <row r="6752" spans="8:9">
      <c r="H6752" s="2"/>
    </row>
    <row r="6753" spans="8:10">
      <c r="H6753" s="2"/>
    </row>
    <row r="6754" spans="8:10">
      <c r="H6754" s="2"/>
    </row>
    <row r="6755" spans="8:10">
      <c r="H6755" s="2"/>
    </row>
    <row r="6756" spans="8:10">
      <c r="H6756" s="2"/>
      <c r="J6756" s="2"/>
    </row>
    <row r="6757" spans="8:10">
      <c r="H6757" s="2"/>
    </row>
    <row r="6758" spans="8:10">
      <c r="H6758" s="2"/>
    </row>
    <row r="6759" spans="8:10">
      <c r="H6759" s="2"/>
    </row>
    <row r="6760" spans="8:10">
      <c r="H6760" s="2"/>
    </row>
    <row r="6761" spans="8:10">
      <c r="H6761" s="2"/>
    </row>
    <row r="6762" spans="8:10">
      <c r="H6762" s="2"/>
    </row>
    <row r="6763" spans="8:10">
      <c r="H6763" s="2"/>
    </row>
    <row r="6764" spans="8:10">
      <c r="H6764" s="2"/>
    </row>
    <row r="6765" spans="8:10">
      <c r="H6765" s="2"/>
    </row>
    <row r="6766" spans="8:10">
      <c r="H6766" s="2"/>
    </row>
    <row r="6767" spans="8:10">
      <c r="H6767" s="2"/>
    </row>
    <row r="6768" spans="8:10">
      <c r="H6768" s="2"/>
    </row>
    <row r="6769" spans="8:8">
      <c r="H6769" s="2"/>
    </row>
    <row r="6770" spans="8:8">
      <c r="H6770" s="2"/>
    </row>
    <row r="6771" spans="8:8">
      <c r="H6771" s="2"/>
    </row>
    <row r="6772" spans="8:8">
      <c r="H6772" s="2"/>
    </row>
    <row r="6773" spans="8:8">
      <c r="H6773" s="2"/>
    </row>
    <row r="6774" spans="8:8">
      <c r="H6774" s="2"/>
    </row>
    <row r="6775" spans="8:8">
      <c r="H6775" s="2"/>
    </row>
    <row r="6776" spans="8:8">
      <c r="H6776" s="2"/>
    </row>
    <row r="6777" spans="8:8">
      <c r="H6777" s="2"/>
    </row>
    <row r="6778" spans="8:8">
      <c r="H6778" s="2"/>
    </row>
    <row r="6779" spans="8:8">
      <c r="H6779" s="2"/>
    </row>
    <row r="6780" spans="8:8">
      <c r="H6780" s="2"/>
    </row>
    <row r="6781" spans="8:8">
      <c r="H6781" s="2"/>
    </row>
    <row r="6782" spans="8:8">
      <c r="H6782" s="2"/>
    </row>
    <row r="6783" spans="8:8">
      <c r="H6783" s="2"/>
    </row>
    <row r="6784" spans="8:8">
      <c r="H6784" s="2"/>
    </row>
    <row r="6785" spans="8:8">
      <c r="H6785" s="2"/>
    </row>
    <row r="6786" spans="8:8">
      <c r="H6786" s="2"/>
    </row>
    <row r="7164" spans="9:9">
      <c r="I7164" s="2"/>
    </row>
    <row r="7249" spans="9:10">
      <c r="I7249" s="2"/>
    </row>
    <row r="7263" spans="9:10">
      <c r="J7263" s="2"/>
    </row>
    <row r="7282" spans="9:10">
      <c r="I7282" s="2"/>
    </row>
    <row r="7289" spans="9:10">
      <c r="J7289" s="2"/>
    </row>
    <row r="7315" spans="9:9">
      <c r="I7315" s="2"/>
    </row>
    <row r="7322" spans="9:9">
      <c r="I7322" s="2"/>
    </row>
    <row r="7331" spans="9:9">
      <c r="I7331" s="2"/>
    </row>
    <row r="7338" spans="9:9">
      <c r="I7338" s="2"/>
    </row>
    <row r="7340" spans="9:9">
      <c r="I7340" s="2"/>
    </row>
    <row r="7341" spans="9:9">
      <c r="I7341" s="2"/>
    </row>
    <row r="7342" spans="9:9">
      <c r="I7342" s="2"/>
    </row>
    <row r="7343" spans="9:9">
      <c r="I7343" s="2"/>
    </row>
    <row r="7350" spans="9:9">
      <c r="I7350" s="2"/>
    </row>
    <row r="7364" spans="9:9">
      <c r="I7364" s="2"/>
    </row>
    <row r="7366" spans="9:9">
      <c r="I7366" s="2"/>
    </row>
    <row r="7408" spans="9:9">
      <c r="I7408" s="2"/>
    </row>
    <row r="7426" spans="9:9">
      <c r="I7426" s="2"/>
    </row>
    <row r="7441" spans="9:10">
      <c r="J7441" s="2"/>
    </row>
    <row r="7443" spans="9:10">
      <c r="I7443" s="2"/>
    </row>
    <row r="7461" spans="9:10">
      <c r="J7461" s="2"/>
    </row>
    <row r="7468" spans="9:10">
      <c r="I7468" s="2"/>
    </row>
    <row r="7470" spans="9:10">
      <c r="I7470" s="2"/>
    </row>
    <row r="7473" spans="9:10">
      <c r="I7473" s="2"/>
    </row>
    <row r="7477" spans="9:10">
      <c r="I7477" s="2"/>
    </row>
    <row r="7478" spans="9:10">
      <c r="I7478" s="2"/>
    </row>
    <row r="7480" spans="9:10">
      <c r="I7480" s="2"/>
    </row>
    <row r="7481" spans="9:10">
      <c r="I7481" s="2"/>
    </row>
    <row r="7482" spans="9:10">
      <c r="I7482" s="2"/>
    </row>
    <row r="7483" spans="9:10">
      <c r="I7483" s="2"/>
    </row>
    <row r="7488" spans="9:10">
      <c r="J7488" s="2"/>
    </row>
    <row r="7489" spans="9:10">
      <c r="J7489" s="2"/>
    </row>
    <row r="7492" spans="9:10">
      <c r="I7492" s="2"/>
    </row>
    <row r="7494" spans="9:10">
      <c r="I7494" s="2"/>
    </row>
    <row r="7495" spans="9:10">
      <c r="I7495" s="2"/>
    </row>
    <row r="7496" spans="9:10">
      <c r="I7496" s="2"/>
    </row>
    <row r="7497" spans="9:10">
      <c r="I7497" s="2"/>
    </row>
    <row r="7498" spans="9:10">
      <c r="I7498" s="2"/>
    </row>
    <row r="7504" spans="9:10">
      <c r="I7504" s="2"/>
    </row>
    <row r="7507" spans="9:9">
      <c r="I7507" s="2"/>
    </row>
    <row r="7509" spans="9:9">
      <c r="I7509" s="2"/>
    </row>
    <row r="7516" spans="9:9">
      <c r="I7516" s="2"/>
    </row>
    <row r="7517" spans="9:9">
      <c r="I7517" s="2"/>
    </row>
    <row r="7518" spans="9:9">
      <c r="I7518" s="2"/>
    </row>
    <row r="7519" spans="9:9">
      <c r="I7519" s="2"/>
    </row>
    <row r="7520" spans="9:9">
      <c r="I7520" s="2"/>
    </row>
    <row r="7521" spans="9:10">
      <c r="I7521" s="2"/>
    </row>
    <row r="7522" spans="9:10">
      <c r="I7522" s="2"/>
    </row>
    <row r="7523" spans="9:10">
      <c r="I7523" s="2"/>
    </row>
    <row r="7524" spans="9:10">
      <c r="I7524" s="2"/>
    </row>
    <row r="7528" spans="9:10">
      <c r="J7528" s="2"/>
    </row>
    <row r="7529" spans="9:10">
      <c r="J7529" s="2"/>
    </row>
    <row r="7532" spans="9:10">
      <c r="J7532" s="2"/>
    </row>
    <row r="7536" spans="9:10">
      <c r="I7536" s="2"/>
    </row>
    <row r="7537" spans="9:9">
      <c r="I7537" s="2"/>
    </row>
    <row r="7538" spans="9:9">
      <c r="I7538" s="2"/>
    </row>
    <row r="7539" spans="9:9">
      <c r="I7539" s="2"/>
    </row>
    <row r="7540" spans="9:9">
      <c r="I7540" s="2"/>
    </row>
    <row r="7542" spans="9:9">
      <c r="I7542" s="2"/>
    </row>
    <row r="7543" spans="9:9">
      <c r="I7543" s="2"/>
    </row>
    <row r="7544" spans="9:9">
      <c r="I7544" s="2"/>
    </row>
    <row r="7545" spans="9:9">
      <c r="I7545" s="2"/>
    </row>
    <row r="7546" spans="9:9">
      <c r="I7546" s="2"/>
    </row>
    <row r="7547" spans="9:9">
      <c r="I7547" s="2"/>
    </row>
    <row r="7548" spans="9:9">
      <c r="I7548" s="2"/>
    </row>
    <row r="7549" spans="9:9">
      <c r="I7549" s="2"/>
    </row>
    <row r="7550" spans="9:9">
      <c r="I7550" s="2"/>
    </row>
    <row r="7551" spans="9:9">
      <c r="I7551" s="2"/>
    </row>
    <row r="7552" spans="9:9">
      <c r="I7552" s="2"/>
    </row>
    <row r="7580" spans="9:9">
      <c r="I7580" s="2"/>
    </row>
    <row r="7581" spans="9:9">
      <c r="I7581" s="2"/>
    </row>
    <row r="7582" spans="9:9">
      <c r="I7582" s="2"/>
    </row>
    <row r="7597" spans="9:9">
      <c r="I7597" s="2"/>
    </row>
    <row r="7601" spans="9:9">
      <c r="I7601" s="2"/>
    </row>
    <row r="7607" spans="9:9">
      <c r="I7607" s="2"/>
    </row>
    <row r="7610" spans="9:9">
      <c r="I7610" s="2"/>
    </row>
    <row r="7613" spans="9:9">
      <c r="I7613" s="2"/>
    </row>
    <row r="7614" spans="9:9">
      <c r="I7614" s="2"/>
    </row>
    <row r="7615" spans="9:9">
      <c r="I7615" s="2"/>
    </row>
    <row r="7618" spans="9:10">
      <c r="J7618" s="2"/>
    </row>
    <row r="7620" spans="9:10">
      <c r="I7620" s="2"/>
    </row>
    <row r="7649" spans="9:10">
      <c r="I7649" s="2"/>
    </row>
    <row r="7651" spans="9:10">
      <c r="I7651" s="2"/>
    </row>
    <row r="7652" spans="9:10">
      <c r="I7652" s="2"/>
    </row>
    <row r="7663" spans="9:10">
      <c r="J7663" s="2"/>
    </row>
    <row r="7669" spans="9:9">
      <c r="I7669" s="2"/>
    </row>
    <row r="7670" spans="9:9">
      <c r="I7670" s="2"/>
    </row>
    <row r="7672" spans="9:9">
      <c r="I7672" s="2"/>
    </row>
    <row r="7681" spans="9:10">
      <c r="I7681" s="2"/>
    </row>
    <row r="7687" spans="9:10">
      <c r="J7687" s="2"/>
    </row>
    <row r="7693" spans="9:10">
      <c r="I7693" s="2"/>
    </row>
    <row r="7695" spans="9:10">
      <c r="I7695" s="2"/>
    </row>
    <row r="7702" spans="8:9">
      <c r="I7702" s="2"/>
    </row>
    <row r="7704" spans="8:9">
      <c r="I7704" s="2"/>
    </row>
    <row r="7705" spans="8:9">
      <c r="H7705" s="2"/>
    </row>
    <row r="7706" spans="8:9">
      <c r="H7706" s="2"/>
    </row>
    <row r="7707" spans="8:9">
      <c r="H7707" s="2"/>
    </row>
    <row r="7725" spans="8:10">
      <c r="H7725" s="2"/>
    </row>
    <row r="7727" spans="8:10">
      <c r="H7727" s="2"/>
      <c r="J7727" s="2"/>
    </row>
    <row r="7728" spans="8:10">
      <c r="H7728" s="2"/>
      <c r="I7728" s="2"/>
    </row>
    <row r="7729" spans="8:9">
      <c r="H7729" s="2"/>
      <c r="I7729" s="2"/>
    </row>
    <row r="7730" spans="8:9">
      <c r="H7730" s="2"/>
      <c r="I7730" s="2"/>
    </row>
    <row r="7731" spans="8:9">
      <c r="H7731" s="2"/>
      <c r="I7731" s="2"/>
    </row>
    <row r="7732" spans="8:9">
      <c r="H7732" s="2"/>
      <c r="I7732" s="2"/>
    </row>
    <row r="7733" spans="8:9">
      <c r="H7733" s="2"/>
      <c r="I7733" s="2"/>
    </row>
    <row r="7734" spans="8:9">
      <c r="H7734" s="2"/>
      <c r="I7734" s="2"/>
    </row>
    <row r="7735" spans="8:9">
      <c r="H7735" s="2"/>
      <c r="I7735" s="2"/>
    </row>
    <row r="7736" spans="8:9">
      <c r="H7736" s="2"/>
      <c r="I7736" s="2"/>
    </row>
    <row r="7737" spans="8:9">
      <c r="H7737" s="2"/>
      <c r="I7737" s="2"/>
    </row>
    <row r="7738" spans="8:9">
      <c r="H7738" s="2"/>
      <c r="I7738" s="2"/>
    </row>
    <row r="7739" spans="8:9">
      <c r="H7739" s="2"/>
      <c r="I7739" s="2"/>
    </row>
    <row r="7740" spans="8:9">
      <c r="H7740" s="2"/>
      <c r="I7740" s="2"/>
    </row>
    <row r="7741" spans="8:9">
      <c r="H7741" s="2"/>
      <c r="I7741" s="2"/>
    </row>
    <row r="7742" spans="8:9">
      <c r="H7742" s="2"/>
      <c r="I7742" s="2"/>
    </row>
    <row r="7743" spans="8:9">
      <c r="H7743" s="2"/>
    </row>
    <row r="7744" spans="8:9">
      <c r="H7744" s="2"/>
      <c r="I7744" s="2"/>
    </row>
    <row r="7745" spans="8:9">
      <c r="H7745" s="2"/>
      <c r="I7745" s="2"/>
    </row>
    <row r="7746" spans="8:9">
      <c r="H7746" s="2"/>
    </row>
    <row r="7747" spans="8:9">
      <c r="H7747" s="2"/>
    </row>
    <row r="7748" spans="8:9">
      <c r="H7748" s="2"/>
    </row>
    <row r="7749" spans="8:9">
      <c r="H7749" s="2"/>
    </row>
    <row r="7750" spans="8:9">
      <c r="H7750" s="2"/>
    </row>
    <row r="7751" spans="8:9">
      <c r="H7751" s="2"/>
    </row>
    <row r="7752" spans="8:9">
      <c r="H7752" s="2"/>
    </row>
    <row r="7753" spans="8:9">
      <c r="H7753" s="2"/>
    </row>
    <row r="7754" spans="8:9">
      <c r="H7754" s="2"/>
    </row>
    <row r="7755" spans="8:9">
      <c r="H7755" s="2"/>
    </row>
    <row r="7756" spans="8:9">
      <c r="H7756" s="2"/>
    </row>
    <row r="7757" spans="8:9">
      <c r="H7757" s="2"/>
    </row>
    <row r="7758" spans="8:9">
      <c r="H7758" s="2"/>
    </row>
    <row r="7759" spans="8:9">
      <c r="H7759" s="2"/>
    </row>
    <row r="7760" spans="8:9">
      <c r="H7760" s="2"/>
    </row>
    <row r="7761" spans="8:10">
      <c r="H7761" s="2"/>
    </row>
    <row r="7762" spans="8:10">
      <c r="H7762" s="2"/>
    </row>
    <row r="7763" spans="8:10">
      <c r="H7763" s="2"/>
    </row>
    <row r="7764" spans="8:10">
      <c r="H7764" s="2"/>
      <c r="J7764" s="2"/>
    </row>
    <row r="7765" spans="8:10">
      <c r="H7765" s="2"/>
    </row>
    <row r="7766" spans="8:10">
      <c r="H7766" s="2"/>
      <c r="I7766" s="2"/>
    </row>
    <row r="7767" spans="8:10">
      <c r="H7767" s="2"/>
      <c r="I7767" s="2"/>
    </row>
    <row r="7768" spans="8:10">
      <c r="H7768" s="2"/>
      <c r="I7768" s="2"/>
    </row>
    <row r="7769" spans="8:10">
      <c r="H7769" s="2"/>
    </row>
    <row r="7770" spans="8:10">
      <c r="H7770" s="2"/>
    </row>
    <row r="7771" spans="8:10">
      <c r="H7771" s="2"/>
    </row>
    <row r="7772" spans="8:10">
      <c r="H7772" s="2"/>
      <c r="J7772" s="2"/>
    </row>
    <row r="7773" spans="8:10">
      <c r="H7773" s="2"/>
      <c r="I7773" s="2"/>
    </row>
    <row r="7774" spans="8:10">
      <c r="H7774" s="2"/>
      <c r="I7774" s="2"/>
    </row>
    <row r="7775" spans="8:10">
      <c r="H7775" s="2"/>
      <c r="I7775" s="2"/>
    </row>
    <row r="7776" spans="8:10">
      <c r="H7776" s="2"/>
    </row>
    <row r="7777" spans="8:10">
      <c r="H7777" s="2"/>
      <c r="I7777" s="2"/>
    </row>
    <row r="7778" spans="8:10">
      <c r="H7778" s="2"/>
      <c r="I7778" s="2"/>
    </row>
    <row r="7779" spans="8:10">
      <c r="H7779" s="2"/>
      <c r="I7779" s="2"/>
    </row>
    <row r="7780" spans="8:10">
      <c r="H7780" s="2"/>
      <c r="I7780" s="2"/>
    </row>
    <row r="7781" spans="8:10">
      <c r="H7781" s="2"/>
      <c r="I7781" s="2"/>
    </row>
    <row r="7782" spans="8:10">
      <c r="H7782" s="2"/>
      <c r="I7782" s="2"/>
    </row>
    <row r="7783" spans="8:10">
      <c r="H7783" s="2"/>
      <c r="I7783" s="2"/>
    </row>
    <row r="7784" spans="8:10">
      <c r="H7784" s="2"/>
      <c r="I7784" s="2"/>
    </row>
    <row r="7785" spans="8:10">
      <c r="H7785" s="2"/>
    </row>
    <row r="7786" spans="8:10">
      <c r="H7786" s="2"/>
    </row>
    <row r="7787" spans="8:10">
      <c r="H7787" s="2"/>
      <c r="I7787" s="2"/>
    </row>
    <row r="7788" spans="8:10">
      <c r="H7788" s="2"/>
      <c r="J7788" s="2"/>
    </row>
    <row r="7789" spans="8:10">
      <c r="H7789" s="2"/>
    </row>
    <row r="7790" spans="8:10">
      <c r="H7790" s="2"/>
    </row>
    <row r="7791" spans="8:10">
      <c r="H7791" s="2"/>
    </row>
    <row r="7792" spans="8:10">
      <c r="H7792" s="2"/>
      <c r="I7792" s="2"/>
    </row>
    <row r="7793" spans="8:9">
      <c r="H7793" s="2"/>
    </row>
    <row r="7794" spans="8:9">
      <c r="H7794" s="2"/>
    </row>
    <row r="7795" spans="8:9">
      <c r="H7795" s="2"/>
    </row>
    <row r="7796" spans="8:9">
      <c r="H7796" s="2"/>
    </row>
    <row r="7797" spans="8:9">
      <c r="H7797" s="2"/>
    </row>
    <row r="7798" spans="8:9">
      <c r="H7798" s="2"/>
    </row>
    <row r="7799" spans="8:9">
      <c r="H7799" s="2"/>
      <c r="I7799" s="2"/>
    </row>
    <row r="7800" spans="8:9">
      <c r="H7800" s="2"/>
    </row>
    <row r="7801" spans="8:9">
      <c r="H7801" s="2"/>
    </row>
    <row r="7802" spans="8:9">
      <c r="H7802" s="2"/>
    </row>
    <row r="7803" spans="8:9">
      <c r="H7803" s="2"/>
    </row>
    <row r="7804" spans="8:9">
      <c r="H7804" s="2"/>
    </row>
    <row r="7805" spans="8:9">
      <c r="H7805" s="2"/>
    </row>
    <row r="7806" spans="8:9">
      <c r="H7806" s="2"/>
      <c r="I7806" s="2"/>
    </row>
    <row r="7807" spans="8:9">
      <c r="H7807" s="2"/>
    </row>
    <row r="7808" spans="8:9">
      <c r="H7808" s="2"/>
      <c r="I7808" s="2"/>
    </row>
    <row r="7809" spans="8:10">
      <c r="H7809" s="2"/>
    </row>
    <row r="7810" spans="8:10">
      <c r="H7810" s="2"/>
    </row>
    <row r="7811" spans="8:10">
      <c r="H7811" s="2"/>
    </row>
    <row r="7812" spans="8:10">
      <c r="H7812" s="2"/>
    </row>
    <row r="7813" spans="8:10">
      <c r="H7813" s="2"/>
    </row>
    <row r="7814" spans="8:10">
      <c r="H7814" s="2"/>
    </row>
    <row r="7815" spans="8:10">
      <c r="H7815" s="2"/>
      <c r="I7815" s="2"/>
    </row>
    <row r="7816" spans="8:10">
      <c r="H7816" s="2"/>
    </row>
    <row r="7817" spans="8:10">
      <c r="H7817" s="2"/>
    </row>
    <row r="7818" spans="8:10">
      <c r="H7818" s="2"/>
      <c r="I7818" s="2"/>
    </row>
    <row r="7819" spans="8:10">
      <c r="H7819" s="2"/>
    </row>
    <row r="7820" spans="8:10">
      <c r="H7820" s="2"/>
    </row>
    <row r="7821" spans="8:10">
      <c r="H7821" s="2"/>
    </row>
    <row r="7822" spans="8:10">
      <c r="H7822" s="2"/>
      <c r="J7822" s="2"/>
    </row>
    <row r="7823" spans="8:10">
      <c r="H7823" s="2"/>
      <c r="I7823" s="2"/>
    </row>
    <row r="7824" spans="8:10">
      <c r="H7824" s="2"/>
    </row>
    <row r="7825" spans="8:9">
      <c r="H7825" s="2"/>
    </row>
    <row r="7826" spans="8:9">
      <c r="H7826" s="2"/>
    </row>
    <row r="7827" spans="8:9">
      <c r="H7827" s="2"/>
    </row>
    <row r="7828" spans="8:9">
      <c r="H7828" s="2"/>
      <c r="I7828" s="2"/>
    </row>
    <row r="7829" spans="8:9">
      <c r="H7829" s="2"/>
    </row>
    <row r="7830" spans="8:9">
      <c r="H7830" s="2"/>
    </row>
    <row r="7831" spans="8:9">
      <c r="H7831" s="2"/>
      <c r="I7831" s="2"/>
    </row>
    <row r="7832" spans="8:9">
      <c r="H7832" s="2"/>
      <c r="I7832" s="2"/>
    </row>
    <row r="7833" spans="8:9">
      <c r="H7833" s="2"/>
      <c r="I7833" s="2"/>
    </row>
    <row r="7834" spans="8:9">
      <c r="H7834" s="2"/>
      <c r="I7834" s="2"/>
    </row>
    <row r="7835" spans="8:9">
      <c r="H7835" s="2"/>
    </row>
    <row r="7836" spans="8:9">
      <c r="H7836" s="2"/>
      <c r="I7836" s="2"/>
    </row>
    <row r="7837" spans="8:9">
      <c r="H7837" s="2"/>
      <c r="I7837" s="2"/>
    </row>
    <row r="7838" spans="8:9">
      <c r="H7838" s="2"/>
      <c r="I7838" s="2"/>
    </row>
    <row r="7839" spans="8:9">
      <c r="H7839" s="2"/>
      <c r="I7839" s="2"/>
    </row>
    <row r="7840" spans="8:9">
      <c r="H7840" s="2"/>
      <c r="I7840" s="2"/>
    </row>
    <row r="7841" spans="8:9">
      <c r="H7841" s="2"/>
      <c r="I7841" s="2"/>
    </row>
    <row r="7842" spans="8:9">
      <c r="H7842" s="2"/>
      <c r="I7842" s="2"/>
    </row>
    <row r="7843" spans="8:9">
      <c r="H7843" s="2"/>
      <c r="I7843" s="2"/>
    </row>
    <row r="7844" spans="8:9">
      <c r="H7844" s="2"/>
      <c r="I7844" s="2"/>
    </row>
    <row r="7845" spans="8:9">
      <c r="H7845" s="2"/>
      <c r="I7845" s="2"/>
    </row>
    <row r="7846" spans="8:9">
      <c r="H7846" s="2"/>
      <c r="I7846" s="2"/>
    </row>
    <row r="7847" spans="8:9">
      <c r="H7847" s="2"/>
      <c r="I7847" s="2"/>
    </row>
    <row r="7848" spans="8:9">
      <c r="H7848" s="2"/>
      <c r="I7848" s="2"/>
    </row>
    <row r="7849" spans="8:9">
      <c r="H7849" s="2"/>
      <c r="I7849" s="2"/>
    </row>
    <row r="7850" spans="8:9">
      <c r="H7850" s="2"/>
      <c r="I7850" s="2"/>
    </row>
    <row r="7851" spans="8:9">
      <c r="H7851" s="2"/>
      <c r="I7851" s="2"/>
    </row>
    <row r="7852" spans="8:9">
      <c r="H7852" s="2"/>
      <c r="I7852" s="2"/>
    </row>
    <row r="7853" spans="8:9">
      <c r="H7853" s="2"/>
      <c r="I7853" s="2"/>
    </row>
    <row r="7854" spans="8:9">
      <c r="H7854" s="2"/>
      <c r="I7854" s="2"/>
    </row>
    <row r="7855" spans="8:9">
      <c r="H7855" s="2"/>
      <c r="I7855" s="2"/>
    </row>
    <row r="7856" spans="8:9">
      <c r="H7856" s="2"/>
      <c r="I7856" s="2"/>
    </row>
    <row r="7857" spans="8:10">
      <c r="H7857" s="2"/>
      <c r="I7857" s="2"/>
    </row>
    <row r="7858" spans="8:10">
      <c r="H7858" s="2"/>
      <c r="I7858" s="2"/>
    </row>
    <row r="7859" spans="8:10">
      <c r="H7859" s="2"/>
      <c r="I7859" s="2"/>
    </row>
    <row r="7860" spans="8:10">
      <c r="H7860" s="2"/>
      <c r="I7860" s="2"/>
    </row>
    <row r="7861" spans="8:10">
      <c r="H7861" s="2"/>
      <c r="I7861" s="2"/>
    </row>
    <row r="7862" spans="8:10">
      <c r="H7862" s="2"/>
      <c r="I7862" s="2"/>
    </row>
    <row r="7863" spans="8:10">
      <c r="H7863" s="2"/>
      <c r="I7863" s="2"/>
    </row>
    <row r="7864" spans="8:10">
      <c r="H7864" s="2"/>
      <c r="I7864" s="2"/>
    </row>
    <row r="7865" spans="8:10">
      <c r="H7865" s="2"/>
      <c r="J7865" s="2"/>
    </row>
    <row r="7866" spans="8:10">
      <c r="H7866" s="2"/>
      <c r="I7866" s="2"/>
    </row>
    <row r="7867" spans="8:10">
      <c r="H7867" s="2"/>
      <c r="I7867" s="2"/>
    </row>
    <row r="7868" spans="8:10">
      <c r="H7868" s="2"/>
      <c r="I7868" s="2"/>
    </row>
    <row r="7869" spans="8:10">
      <c r="H7869" s="2"/>
      <c r="I7869" s="2"/>
    </row>
    <row r="7870" spans="8:10">
      <c r="H7870" s="2"/>
      <c r="I7870" s="2"/>
    </row>
    <row r="7871" spans="8:10">
      <c r="H7871" s="2"/>
    </row>
    <row r="7872" spans="8:10">
      <c r="H7872" s="2"/>
      <c r="I7872" s="2"/>
    </row>
    <row r="7873" spans="8:10">
      <c r="H7873" s="2"/>
      <c r="I7873" s="2"/>
    </row>
    <row r="7874" spans="8:10">
      <c r="H7874" s="2"/>
      <c r="I7874" s="2"/>
    </row>
    <row r="7875" spans="8:10">
      <c r="H7875" s="2"/>
      <c r="I7875" s="2"/>
    </row>
    <row r="7876" spans="8:10">
      <c r="H7876" s="2"/>
      <c r="I7876" s="2"/>
    </row>
    <row r="7877" spans="8:10">
      <c r="H7877" s="2"/>
      <c r="I7877" s="2"/>
    </row>
    <row r="7878" spans="8:10">
      <c r="H7878" s="2"/>
    </row>
    <row r="7879" spans="8:10">
      <c r="H7879" s="2"/>
      <c r="I7879" s="2"/>
    </row>
    <row r="7880" spans="8:10">
      <c r="H7880" s="2"/>
      <c r="I7880" s="2"/>
    </row>
    <row r="7881" spans="8:10">
      <c r="H7881" s="2"/>
      <c r="J7881" s="2"/>
    </row>
    <row r="7882" spans="8:10">
      <c r="H7882" s="2"/>
      <c r="I7882" s="2"/>
    </row>
    <row r="7883" spans="8:10">
      <c r="H7883" s="2"/>
    </row>
    <row r="7884" spans="8:10">
      <c r="H7884" s="2"/>
    </row>
    <row r="7885" spans="8:10">
      <c r="H7885" s="2"/>
    </row>
    <row r="7886" spans="8:10">
      <c r="H7886" s="2"/>
    </row>
    <row r="7887" spans="8:10">
      <c r="H7887" s="2"/>
    </row>
    <row r="7888" spans="8:10">
      <c r="H7888" s="2"/>
    </row>
    <row r="7889" spans="8:9">
      <c r="H7889" s="2"/>
      <c r="I7889" s="2"/>
    </row>
    <row r="7890" spans="8:9">
      <c r="H7890" s="2"/>
      <c r="I7890" s="2"/>
    </row>
    <row r="7891" spans="8:9">
      <c r="H7891" s="2"/>
      <c r="I7891" s="2"/>
    </row>
    <row r="7892" spans="8:9">
      <c r="H7892" s="2"/>
      <c r="I7892" s="2"/>
    </row>
    <row r="7893" spans="8:9">
      <c r="H7893" s="2"/>
    </row>
    <row r="7894" spans="8:9">
      <c r="H7894" s="2"/>
      <c r="I7894" s="2"/>
    </row>
    <row r="7895" spans="8:9">
      <c r="H7895" s="2"/>
      <c r="I7895" s="2"/>
    </row>
    <row r="7896" spans="8:9">
      <c r="H7896" s="2"/>
      <c r="I7896" s="2"/>
    </row>
    <row r="7897" spans="8:9">
      <c r="H7897" s="2"/>
      <c r="I7897" s="2"/>
    </row>
    <row r="7898" spans="8:9">
      <c r="H7898" s="2"/>
      <c r="I7898" s="2"/>
    </row>
    <row r="7899" spans="8:9">
      <c r="H7899" s="2"/>
      <c r="I7899" s="2"/>
    </row>
    <row r="7900" spans="8:9">
      <c r="H7900" s="2"/>
      <c r="I7900" s="2"/>
    </row>
    <row r="7901" spans="8:9">
      <c r="H7901" s="2"/>
      <c r="I7901" s="2"/>
    </row>
    <row r="7902" spans="8:9">
      <c r="H7902" s="2"/>
      <c r="I7902" s="2"/>
    </row>
    <row r="7903" spans="8:9">
      <c r="H7903" s="2"/>
      <c r="I7903" s="2"/>
    </row>
    <row r="7904" spans="8:9">
      <c r="H7904" s="2"/>
    </row>
    <row r="7905" spans="8:9">
      <c r="H7905" s="2"/>
      <c r="I7905" s="2"/>
    </row>
    <row r="7906" spans="8:9">
      <c r="H7906" s="2"/>
    </row>
    <row r="7907" spans="8:9">
      <c r="H7907" s="2"/>
      <c r="I7907" s="2"/>
    </row>
    <row r="7908" spans="8:9">
      <c r="H7908" s="2"/>
      <c r="I7908" s="2"/>
    </row>
    <row r="7909" spans="8:9">
      <c r="H7909" s="2"/>
      <c r="I7909" s="2"/>
    </row>
    <row r="7910" spans="8:9">
      <c r="H7910" s="2"/>
      <c r="I7910" s="2"/>
    </row>
    <row r="7911" spans="8:9">
      <c r="H7911" s="2"/>
    </row>
    <row r="7912" spans="8:9">
      <c r="H7912" s="2"/>
    </row>
    <row r="7913" spans="8:9">
      <c r="H7913" s="2"/>
    </row>
    <row r="7914" spans="8:9">
      <c r="H7914" s="2"/>
    </row>
    <row r="7915" spans="8:9">
      <c r="H7915" s="2"/>
      <c r="I7915" s="2"/>
    </row>
    <row r="7916" spans="8:9">
      <c r="H7916" s="2"/>
    </row>
    <row r="7917" spans="8:9">
      <c r="H7917" s="2"/>
      <c r="I7917" s="2"/>
    </row>
    <row r="7918" spans="8:9">
      <c r="H7918" s="2"/>
    </row>
    <row r="7919" spans="8:9">
      <c r="H7919" s="2"/>
      <c r="I7919" s="2"/>
    </row>
    <row r="7920" spans="8:9">
      <c r="H7920" s="2"/>
    </row>
    <row r="7921" spans="8:10">
      <c r="H7921" s="2"/>
    </row>
    <row r="7922" spans="8:10">
      <c r="H7922" s="2"/>
      <c r="J7922" s="2"/>
    </row>
    <row r="7923" spans="8:10">
      <c r="H7923" s="2"/>
      <c r="J7923" s="2"/>
    </row>
    <row r="7924" spans="8:10">
      <c r="H7924" s="2"/>
    </row>
    <row r="7925" spans="8:10">
      <c r="H7925" s="2"/>
    </row>
    <row r="7926" spans="8:10">
      <c r="H7926" s="2"/>
    </row>
    <row r="7927" spans="8:10">
      <c r="H7927" s="2"/>
    </row>
    <row r="7928" spans="8:10">
      <c r="H7928" s="2"/>
    </row>
    <row r="7929" spans="8:10">
      <c r="H7929" s="2"/>
    </row>
    <row r="7930" spans="8:10">
      <c r="H7930" s="2"/>
    </row>
    <row r="7931" spans="8:10">
      <c r="H7931" s="2"/>
      <c r="I7931" s="2"/>
    </row>
    <row r="7932" spans="8:10">
      <c r="H7932" s="2"/>
      <c r="I7932" s="2"/>
    </row>
    <row r="7933" spans="8:10">
      <c r="H7933" s="2"/>
      <c r="I7933" s="2"/>
    </row>
    <row r="7934" spans="8:10">
      <c r="H7934" s="2"/>
      <c r="I7934" s="2"/>
    </row>
    <row r="7935" spans="8:10">
      <c r="H7935" s="2"/>
      <c r="I7935" s="2"/>
    </row>
    <row r="7936" spans="8:10">
      <c r="H7936" s="2"/>
      <c r="I7936" s="2"/>
    </row>
    <row r="7937" spans="8:9">
      <c r="H7937" s="2"/>
      <c r="I7937" s="2"/>
    </row>
    <row r="7938" spans="8:9">
      <c r="H7938" s="2"/>
      <c r="I7938" s="2"/>
    </row>
    <row r="7939" spans="8:9">
      <c r="H7939" s="2"/>
      <c r="I7939" s="2"/>
    </row>
    <row r="7940" spans="8:9">
      <c r="H7940" s="2"/>
      <c r="I7940" s="2"/>
    </row>
    <row r="7941" spans="8:9">
      <c r="H7941" s="2"/>
      <c r="I7941" s="2"/>
    </row>
    <row r="7942" spans="8:9">
      <c r="H7942" s="2"/>
      <c r="I7942" s="2"/>
    </row>
    <row r="7943" spans="8:9">
      <c r="H7943" s="2"/>
      <c r="I7943" s="2"/>
    </row>
    <row r="7944" spans="8:9">
      <c r="H7944" s="2"/>
      <c r="I7944" s="2"/>
    </row>
    <row r="7945" spans="8:9">
      <c r="H7945" s="2"/>
      <c r="I7945" s="2"/>
    </row>
    <row r="7946" spans="8:9">
      <c r="H7946" s="2"/>
    </row>
    <row r="7947" spans="8:9">
      <c r="H7947" s="2"/>
      <c r="I7947" s="2"/>
    </row>
    <row r="7948" spans="8:9">
      <c r="H7948" s="2"/>
      <c r="I7948" s="2"/>
    </row>
    <row r="7949" spans="8:9">
      <c r="H7949" s="2"/>
      <c r="I7949" s="2"/>
    </row>
    <row r="7950" spans="8:9">
      <c r="H7950" s="2"/>
      <c r="I7950" s="2"/>
    </row>
    <row r="7951" spans="8:9">
      <c r="H7951" s="2"/>
    </row>
    <row r="7952" spans="8:9">
      <c r="H7952" s="2"/>
      <c r="I7952" s="2"/>
    </row>
    <row r="7953" spans="8:9">
      <c r="H7953" s="2"/>
    </row>
    <row r="7954" spans="8:9">
      <c r="H7954" s="2"/>
      <c r="I7954" s="2"/>
    </row>
    <row r="7955" spans="8:9">
      <c r="H7955" s="2"/>
    </row>
    <row r="7956" spans="8:9">
      <c r="H7956" s="2"/>
    </row>
    <row r="7957" spans="8:9">
      <c r="H7957" s="2"/>
    </row>
    <row r="7958" spans="8:9">
      <c r="H7958" s="2"/>
    </row>
    <row r="7959" spans="8:9">
      <c r="H7959" s="2"/>
      <c r="I7959" s="2"/>
    </row>
    <row r="7960" spans="8:9">
      <c r="H7960" s="2"/>
      <c r="I7960" s="2"/>
    </row>
    <row r="7961" spans="8:9">
      <c r="H7961" s="2"/>
      <c r="I7961" s="2"/>
    </row>
    <row r="7962" spans="8:9">
      <c r="H7962" s="2"/>
      <c r="I7962" s="2"/>
    </row>
    <row r="7963" spans="8:9">
      <c r="H7963" s="2"/>
    </row>
    <row r="7964" spans="8:9">
      <c r="H7964" s="2"/>
      <c r="I7964" s="2"/>
    </row>
    <row r="7965" spans="8:9">
      <c r="H7965" s="2"/>
      <c r="I7965" s="2"/>
    </row>
    <row r="7966" spans="8:9">
      <c r="H7966" s="2"/>
    </row>
    <row r="7967" spans="8:9">
      <c r="H7967" s="2"/>
      <c r="I7967" s="2"/>
    </row>
    <row r="7968" spans="8:9">
      <c r="H7968" s="2"/>
    </row>
    <row r="7969" spans="8:8">
      <c r="H7969" s="2"/>
    </row>
    <row r="7970" spans="8:8">
      <c r="H7970" s="2"/>
    </row>
    <row r="7971" spans="8:8">
      <c r="H7971" s="2"/>
    </row>
    <row r="7972" spans="8:8">
      <c r="H7972" s="2"/>
    </row>
    <row r="7973" spans="8:8">
      <c r="H7973" s="2"/>
    </row>
    <row r="7974" spans="8:8">
      <c r="H7974" s="2"/>
    </row>
    <row r="7975" spans="8:8">
      <c r="H7975" s="2"/>
    </row>
    <row r="7976" spans="8:8">
      <c r="H7976" s="2"/>
    </row>
    <row r="7977" spans="8:8">
      <c r="H7977" s="2"/>
    </row>
    <row r="7978" spans="8:8">
      <c r="H7978" s="2"/>
    </row>
    <row r="7979" spans="8:8">
      <c r="H7979" s="2"/>
    </row>
    <row r="7980" spans="8:8">
      <c r="H7980" s="2"/>
    </row>
    <row r="7981" spans="8:8">
      <c r="H7981" s="2"/>
    </row>
    <row r="7982" spans="8:8">
      <c r="H7982" s="2"/>
    </row>
    <row r="7983" spans="8:8">
      <c r="H7983" s="2"/>
    </row>
    <row r="7984" spans="8:8">
      <c r="H7984" s="2"/>
    </row>
    <row r="7985" spans="8:8">
      <c r="H7985" s="2"/>
    </row>
    <row r="7986" spans="8:8">
      <c r="H7986" s="2"/>
    </row>
    <row r="7987" spans="8:8">
      <c r="H7987" s="2"/>
    </row>
    <row r="7988" spans="8:8">
      <c r="H7988" s="2"/>
    </row>
    <row r="7989" spans="8:8">
      <c r="H7989" s="2"/>
    </row>
    <row r="7990" spans="8:8">
      <c r="H7990" s="2"/>
    </row>
    <row r="7991" spans="8:8">
      <c r="H7991" s="2"/>
    </row>
    <row r="7992" spans="8:8">
      <c r="H7992" s="2"/>
    </row>
    <row r="7993" spans="8:8">
      <c r="H7993" s="2"/>
    </row>
    <row r="7994" spans="8:8">
      <c r="H7994" s="2"/>
    </row>
    <row r="7995" spans="8:8">
      <c r="H7995" s="2"/>
    </row>
    <row r="7996" spans="8:8">
      <c r="H7996" s="2"/>
    </row>
    <row r="7997" spans="8:8">
      <c r="H7997" s="2"/>
    </row>
    <row r="7998" spans="8:8">
      <c r="H7998" s="2"/>
    </row>
    <row r="7999" spans="8:8">
      <c r="H7999" s="2"/>
    </row>
    <row r="8000" spans="8:8">
      <c r="H8000" s="2"/>
    </row>
    <row r="8001" spans="8:9">
      <c r="H8001" s="2"/>
    </row>
    <row r="8002" spans="8:9">
      <c r="H8002" s="2"/>
    </row>
    <row r="8003" spans="8:9">
      <c r="H8003" s="2"/>
    </row>
    <row r="8004" spans="8:9">
      <c r="H8004" s="2"/>
    </row>
    <row r="8005" spans="8:9">
      <c r="H8005" s="2"/>
    </row>
    <row r="8006" spans="8:9">
      <c r="H8006" s="2"/>
    </row>
    <row r="8007" spans="8:9">
      <c r="H8007" s="2"/>
    </row>
    <row r="8008" spans="8:9">
      <c r="H8008" s="2"/>
    </row>
    <row r="8009" spans="8:9">
      <c r="H8009" s="2"/>
      <c r="I8009" s="2"/>
    </row>
    <row r="8010" spans="8:9">
      <c r="H8010" s="2"/>
      <c r="I8010" s="2"/>
    </row>
    <row r="8011" spans="8:9">
      <c r="H8011" s="2"/>
      <c r="I8011" s="2"/>
    </row>
    <row r="8012" spans="8:9">
      <c r="H8012" s="2"/>
      <c r="I8012" s="2"/>
    </row>
    <row r="8013" spans="8:9">
      <c r="H8013" s="2"/>
      <c r="I8013" s="2"/>
    </row>
    <row r="8014" spans="8:9">
      <c r="H8014" s="2"/>
      <c r="I8014" s="2"/>
    </row>
    <row r="8015" spans="8:9">
      <c r="H8015" s="2"/>
      <c r="I8015" s="2"/>
    </row>
    <row r="8016" spans="8:9">
      <c r="H8016" s="2"/>
      <c r="I8016" s="2"/>
    </row>
    <row r="8017" spans="8:9">
      <c r="H8017" s="2"/>
      <c r="I8017" s="2"/>
    </row>
    <row r="8018" spans="8:9">
      <c r="H8018" s="2"/>
      <c r="I8018" s="2"/>
    </row>
    <row r="8019" spans="8:9">
      <c r="H8019" s="2"/>
      <c r="I8019" s="2"/>
    </row>
    <row r="8020" spans="8:9">
      <c r="H8020" s="2"/>
      <c r="I8020" s="2"/>
    </row>
    <row r="8021" spans="8:9">
      <c r="H8021" s="2"/>
      <c r="I8021" s="2"/>
    </row>
    <row r="8022" spans="8:9">
      <c r="H8022" s="2"/>
      <c r="I8022" s="2"/>
    </row>
    <row r="8023" spans="8:9">
      <c r="H8023" s="2"/>
      <c r="I8023" s="2"/>
    </row>
    <row r="8024" spans="8:9">
      <c r="H8024" s="2"/>
      <c r="I8024" s="2"/>
    </row>
    <row r="8025" spans="8:9">
      <c r="H8025" s="2"/>
    </row>
    <row r="8026" spans="8:9">
      <c r="H8026" s="2"/>
    </row>
    <row r="8027" spans="8:9">
      <c r="H8027" s="2"/>
    </row>
    <row r="8028" spans="8:9">
      <c r="H8028" s="2"/>
    </row>
    <row r="8029" spans="8:9">
      <c r="H8029" s="2"/>
    </row>
    <row r="8030" spans="8:9">
      <c r="H8030" s="2"/>
    </row>
    <row r="8031" spans="8:9">
      <c r="H8031" s="2"/>
    </row>
    <row r="8032" spans="8:9">
      <c r="H8032" s="2"/>
    </row>
    <row r="8033" spans="8:8">
      <c r="H8033" s="2"/>
    </row>
    <row r="8034" spans="8:8">
      <c r="H8034" s="2"/>
    </row>
    <row r="8035" spans="8:8">
      <c r="H8035" s="2"/>
    </row>
    <row r="8036" spans="8:8">
      <c r="H8036" s="2"/>
    </row>
    <row r="8037" spans="8:8">
      <c r="H8037" s="2"/>
    </row>
    <row r="8038" spans="8:8">
      <c r="H8038" s="2"/>
    </row>
    <row r="8039" spans="8:8">
      <c r="H8039" s="2"/>
    </row>
    <row r="8040" spans="8:8">
      <c r="H8040" s="2"/>
    </row>
    <row r="8041" spans="8:8">
      <c r="H8041" s="2"/>
    </row>
    <row r="8042" spans="8:8">
      <c r="H8042" s="2"/>
    </row>
    <row r="8043" spans="8:8">
      <c r="H8043" s="2"/>
    </row>
    <row r="8044" spans="8:8">
      <c r="H8044" s="2"/>
    </row>
    <row r="8045" spans="8:8">
      <c r="H8045" s="2"/>
    </row>
    <row r="8046" spans="8:8">
      <c r="H8046" s="2"/>
    </row>
    <row r="8047" spans="8:8">
      <c r="H8047" s="2"/>
    </row>
    <row r="8048" spans="8:8">
      <c r="H8048" s="2"/>
    </row>
    <row r="8049" spans="8:9">
      <c r="H8049" s="2"/>
    </row>
    <row r="8050" spans="8:9">
      <c r="H8050" s="2"/>
    </row>
    <row r="8051" spans="8:9">
      <c r="H8051" s="2"/>
    </row>
    <row r="8052" spans="8:9">
      <c r="H8052" s="2"/>
    </row>
    <row r="8053" spans="8:9">
      <c r="H8053" s="2"/>
    </row>
    <row r="8054" spans="8:9">
      <c r="H8054" s="2"/>
    </row>
    <row r="8055" spans="8:9">
      <c r="H8055" s="2"/>
    </row>
    <row r="8056" spans="8:9">
      <c r="H8056" s="2"/>
    </row>
    <row r="8057" spans="8:9">
      <c r="H8057" s="2"/>
    </row>
    <row r="8058" spans="8:9">
      <c r="H8058" s="2"/>
    </row>
    <row r="8059" spans="8:9">
      <c r="H8059" s="2"/>
    </row>
    <row r="8060" spans="8:9">
      <c r="H8060" s="2"/>
    </row>
    <row r="8061" spans="8:9">
      <c r="H8061" s="2"/>
    </row>
    <row r="8062" spans="8:9">
      <c r="H8062" s="2"/>
    </row>
    <row r="8063" spans="8:9">
      <c r="H8063" s="2"/>
      <c r="I8063" s="2"/>
    </row>
    <row r="8064" spans="8:9">
      <c r="H8064" s="2"/>
      <c r="I8064" s="2"/>
    </row>
    <row r="8065" spans="8:8">
      <c r="H8065" s="2"/>
    </row>
    <row r="8066" spans="8:8">
      <c r="H8066" s="2"/>
    </row>
    <row r="8067" spans="8:8">
      <c r="H8067" s="2"/>
    </row>
    <row r="8068" spans="8:8">
      <c r="H8068" s="2"/>
    </row>
    <row r="8069" spans="8:8">
      <c r="H8069" s="2"/>
    </row>
    <row r="8070" spans="8:8">
      <c r="H8070" s="2"/>
    </row>
    <row r="8071" spans="8:8">
      <c r="H8071" s="2"/>
    </row>
    <row r="8072" spans="8:8">
      <c r="H8072" s="2"/>
    </row>
    <row r="8073" spans="8:8">
      <c r="H8073" s="2"/>
    </row>
    <row r="8074" spans="8:8">
      <c r="H8074" s="2"/>
    </row>
    <row r="8075" spans="8:8">
      <c r="H8075" s="2"/>
    </row>
    <row r="8076" spans="8:8">
      <c r="H8076" s="2"/>
    </row>
    <row r="8077" spans="8:8">
      <c r="H8077" s="2"/>
    </row>
    <row r="8078" spans="8:8">
      <c r="H8078" s="2"/>
    </row>
    <row r="8079" spans="8:8">
      <c r="H8079" s="2"/>
    </row>
    <row r="8080" spans="8:8">
      <c r="H8080" s="2"/>
    </row>
    <row r="8081" spans="8:8">
      <c r="H8081" s="2"/>
    </row>
    <row r="8082" spans="8:8">
      <c r="H8082" s="2"/>
    </row>
    <row r="8083" spans="8:8">
      <c r="H8083" s="2"/>
    </row>
    <row r="8084" spans="8:8">
      <c r="H8084" s="2"/>
    </row>
    <row r="8085" spans="8:8">
      <c r="H8085" s="2"/>
    </row>
    <row r="8475" spans="9:9">
      <c r="I8475" s="2"/>
    </row>
    <row r="8497" spans="9:9">
      <c r="I8497" s="2"/>
    </row>
    <row r="8550" spans="9:10">
      <c r="J8550" s="2"/>
    </row>
    <row r="8552" spans="9:10">
      <c r="I8552" s="2"/>
    </row>
    <row r="8626" spans="9:9">
      <c r="I8626" s="2"/>
    </row>
    <row r="8662" spans="9:10">
      <c r="I8662" s="2"/>
    </row>
    <row r="8665" spans="9:10">
      <c r="J8665" s="2"/>
    </row>
    <row r="8717" spans="9:9">
      <c r="I8717" s="2"/>
    </row>
    <row r="8718" spans="9:9">
      <c r="I8718" s="2"/>
    </row>
    <row r="8821" spans="9:10">
      <c r="I8821" s="2"/>
    </row>
    <row r="8822" spans="9:10">
      <c r="I8822" s="2"/>
    </row>
    <row r="8824" spans="9:10">
      <c r="I8824" s="2"/>
    </row>
    <row r="8826" spans="9:10">
      <c r="I8826" s="2"/>
    </row>
    <row r="8827" spans="9:10">
      <c r="I8827" s="2"/>
    </row>
    <row r="8828" spans="9:10">
      <c r="I8828" s="2"/>
    </row>
    <row r="8829" spans="9:10">
      <c r="J8829" s="2"/>
    </row>
    <row r="8831" spans="9:10">
      <c r="I8831" s="2"/>
    </row>
    <row r="8879" spans="9:9">
      <c r="I8879" s="2"/>
    </row>
    <row r="8880" spans="9:9">
      <c r="I8880" s="2"/>
    </row>
    <row r="8929" spans="9:9">
      <c r="I8929" s="2"/>
    </row>
    <row r="8952" spans="10:10">
      <c r="J8952" s="2"/>
    </row>
    <row r="8961" spans="9:9">
      <c r="I8961" s="2"/>
    </row>
    <row r="8965" spans="9:9">
      <c r="I8965" s="2"/>
    </row>
    <row r="8967" spans="9:9">
      <c r="I8967" s="2"/>
    </row>
    <row r="8968" spans="9:9">
      <c r="I8968" s="2"/>
    </row>
    <row r="8969" spans="9:9">
      <c r="I8969" s="2"/>
    </row>
    <row r="8971" spans="9:9">
      <c r="I8971" s="2"/>
    </row>
    <row r="8973" spans="9:9">
      <c r="I8973" s="2"/>
    </row>
    <row r="8974" spans="9:9">
      <c r="I8974" s="2"/>
    </row>
    <row r="8975" spans="9:9">
      <c r="I8975" s="2"/>
    </row>
    <row r="8990" spans="9:9">
      <c r="I8990" s="2"/>
    </row>
    <row r="9028" spans="9:9">
      <c r="I9028" s="2"/>
    </row>
    <row r="9031" spans="9:9">
      <c r="I9031" s="2"/>
    </row>
    <row r="9035" spans="9:9">
      <c r="I9035" s="2"/>
    </row>
    <row r="9040" spans="9:9">
      <c r="I9040" s="2"/>
    </row>
    <row r="9042" spans="8:9">
      <c r="I9042" s="2"/>
    </row>
    <row r="9043" spans="8:9">
      <c r="I9043" s="2"/>
    </row>
    <row r="9045" spans="8:9">
      <c r="I9045" s="2"/>
    </row>
    <row r="9047" spans="8:9">
      <c r="I9047" s="2"/>
    </row>
    <row r="9048" spans="8:9">
      <c r="I9048" s="2"/>
    </row>
    <row r="9049" spans="8:9">
      <c r="I9049" s="2"/>
    </row>
    <row r="9050" spans="8:9">
      <c r="H9050" s="2"/>
    </row>
    <row r="9051" spans="8:9">
      <c r="H9051" s="2"/>
    </row>
    <row r="9052" spans="8:9">
      <c r="H9052" s="2"/>
    </row>
    <row r="9053" spans="8:9">
      <c r="H9053" s="2"/>
    </row>
    <row r="9054" spans="8:9">
      <c r="H9054" s="2"/>
    </row>
    <row r="9055" spans="8:9">
      <c r="H9055" s="2"/>
    </row>
    <row r="9056" spans="8:9">
      <c r="H9056" s="2"/>
    </row>
    <row r="9057" spans="8:10">
      <c r="H9057" s="2"/>
    </row>
    <row r="9058" spans="8:10">
      <c r="H9058" s="2"/>
    </row>
    <row r="9059" spans="8:10">
      <c r="H9059" s="2"/>
    </row>
    <row r="9060" spans="8:10">
      <c r="H9060" s="2"/>
    </row>
    <row r="9061" spans="8:10">
      <c r="H9061" s="2"/>
    </row>
    <row r="9062" spans="8:10">
      <c r="H9062" s="2"/>
    </row>
    <row r="9063" spans="8:10">
      <c r="H9063" s="2"/>
    </row>
    <row r="9064" spans="8:10">
      <c r="H9064" s="2"/>
    </row>
    <row r="9065" spans="8:10">
      <c r="H9065" s="2"/>
    </row>
    <row r="9066" spans="8:10">
      <c r="H9066" s="2"/>
      <c r="J9066" s="2"/>
    </row>
    <row r="9067" spans="8:10">
      <c r="H9067" s="2"/>
    </row>
    <row r="9068" spans="8:10">
      <c r="H9068" s="2"/>
    </row>
    <row r="9069" spans="8:10">
      <c r="H9069" s="2"/>
    </row>
    <row r="9070" spans="8:10">
      <c r="H9070" s="2"/>
    </row>
    <row r="9071" spans="8:10">
      <c r="H9071" s="2"/>
    </row>
    <row r="9072" spans="8:10">
      <c r="H9072" s="2"/>
    </row>
    <row r="9073" spans="8:8">
      <c r="H9073" s="2"/>
    </row>
    <row r="9074" spans="8:8">
      <c r="H9074" s="2"/>
    </row>
    <row r="9101" spans="8:10">
      <c r="H9101" s="2"/>
      <c r="I9101" s="2"/>
    </row>
    <row r="9102" spans="8:10">
      <c r="H9102" s="2"/>
    </row>
    <row r="9103" spans="8:10">
      <c r="H9103" s="2"/>
      <c r="J9103" s="2"/>
    </row>
    <row r="9104" spans="8:10">
      <c r="H9104" s="2"/>
      <c r="J9104" s="2"/>
    </row>
    <row r="9105" spans="8:10">
      <c r="H9105" s="2"/>
      <c r="I9105" s="2"/>
    </row>
    <row r="9106" spans="8:10">
      <c r="H9106" s="2"/>
      <c r="I9106" s="2"/>
    </row>
    <row r="9107" spans="8:10">
      <c r="H9107" s="2"/>
    </row>
    <row r="9108" spans="8:10">
      <c r="H9108" s="2"/>
      <c r="J9108" s="2"/>
    </row>
    <row r="9109" spans="8:10">
      <c r="H9109" s="2"/>
      <c r="J9109" s="2"/>
    </row>
    <row r="9110" spans="8:10">
      <c r="H9110" s="2"/>
      <c r="J9110" s="2"/>
    </row>
    <row r="9111" spans="8:10">
      <c r="H9111" s="2"/>
      <c r="J9111" s="2"/>
    </row>
    <row r="9112" spans="8:10">
      <c r="H9112" s="2"/>
      <c r="I9112" s="2"/>
    </row>
    <row r="9113" spans="8:10">
      <c r="H9113" s="2"/>
      <c r="I9113" s="2"/>
    </row>
    <row r="9114" spans="8:10">
      <c r="H9114" s="2"/>
    </row>
    <row r="9115" spans="8:10">
      <c r="H9115" s="2"/>
    </row>
    <row r="9116" spans="8:10">
      <c r="H9116" s="2"/>
      <c r="I9116" s="2"/>
    </row>
    <row r="9117" spans="8:10">
      <c r="H9117" s="2"/>
      <c r="I9117" s="2"/>
    </row>
    <row r="9118" spans="8:10">
      <c r="H9118" s="2"/>
    </row>
    <row r="9119" spans="8:10">
      <c r="H9119" s="2"/>
      <c r="I9119" s="2"/>
    </row>
    <row r="9120" spans="8:10">
      <c r="H9120" s="2"/>
      <c r="I9120" s="2"/>
    </row>
    <row r="9121" spans="8:10">
      <c r="H9121" s="2"/>
      <c r="I9121" s="2"/>
    </row>
    <row r="9122" spans="8:10">
      <c r="H9122" s="2"/>
      <c r="I9122" s="2"/>
    </row>
    <row r="9123" spans="8:10">
      <c r="H9123" s="2"/>
      <c r="J9123" s="2"/>
    </row>
    <row r="9124" spans="8:10">
      <c r="H9124" s="2"/>
      <c r="I9124" s="2"/>
    </row>
    <row r="9125" spans="8:10">
      <c r="H9125" s="2"/>
      <c r="I9125" s="2"/>
    </row>
    <row r="9126" spans="8:10">
      <c r="H9126" s="2"/>
      <c r="J9126" s="2"/>
    </row>
    <row r="9127" spans="8:10">
      <c r="H9127" s="2"/>
      <c r="I9127" s="2"/>
    </row>
    <row r="9128" spans="8:10">
      <c r="H9128" s="2"/>
    </row>
    <row r="9129" spans="8:10">
      <c r="H9129" s="2"/>
    </row>
    <row r="9130" spans="8:10">
      <c r="H9130" s="2"/>
      <c r="I9130" s="2"/>
    </row>
    <row r="9131" spans="8:10">
      <c r="H9131" s="2"/>
      <c r="I9131" s="2"/>
    </row>
    <row r="9132" spans="8:10">
      <c r="H9132" s="2"/>
      <c r="J9132" s="2"/>
    </row>
    <row r="9133" spans="8:10">
      <c r="H9133" s="2"/>
    </row>
    <row r="9134" spans="8:10">
      <c r="H9134" s="2"/>
    </row>
    <row r="9135" spans="8:10">
      <c r="H9135" s="2"/>
    </row>
    <row r="9136" spans="8:10">
      <c r="H9136" s="2"/>
    </row>
    <row r="9137" spans="8:9">
      <c r="H9137" s="2"/>
    </row>
    <row r="9138" spans="8:9">
      <c r="H9138" s="2"/>
    </row>
    <row r="9139" spans="8:9">
      <c r="H9139" s="2"/>
    </row>
    <row r="9140" spans="8:9">
      <c r="H9140" s="2"/>
    </row>
    <row r="9141" spans="8:9">
      <c r="H9141" s="2"/>
    </row>
    <row r="9142" spans="8:9">
      <c r="H9142" s="2"/>
    </row>
    <row r="9143" spans="8:9">
      <c r="H9143" s="2"/>
      <c r="I9143" s="2"/>
    </row>
    <row r="9144" spans="8:9">
      <c r="H9144" s="2"/>
      <c r="I9144" s="2"/>
    </row>
    <row r="9145" spans="8:9">
      <c r="H9145" s="2"/>
    </row>
    <row r="9146" spans="8:9">
      <c r="H9146" s="2"/>
    </row>
    <row r="9147" spans="8:9">
      <c r="H9147" s="2"/>
    </row>
    <row r="9148" spans="8:9">
      <c r="H9148" s="2"/>
    </row>
    <row r="9149" spans="8:9">
      <c r="H9149" s="2"/>
    </row>
    <row r="9150" spans="8:9">
      <c r="H9150" s="2"/>
    </row>
    <row r="9151" spans="8:9">
      <c r="H9151" s="2"/>
    </row>
    <row r="9152" spans="8:9">
      <c r="H9152" s="2"/>
    </row>
    <row r="9153" spans="8:9">
      <c r="H9153" s="2"/>
    </row>
    <row r="9154" spans="8:9">
      <c r="H9154" s="2"/>
    </row>
    <row r="9155" spans="8:9">
      <c r="H9155" s="2"/>
      <c r="I9155" s="2"/>
    </row>
    <row r="9156" spans="8:9">
      <c r="H9156" s="2"/>
      <c r="I9156" s="2"/>
    </row>
    <row r="9157" spans="8:9">
      <c r="H9157" s="2"/>
      <c r="I9157" s="2"/>
    </row>
    <row r="9158" spans="8:9">
      <c r="H9158" s="2"/>
    </row>
    <row r="9159" spans="8:9">
      <c r="H9159" s="2"/>
      <c r="I9159" s="2"/>
    </row>
    <row r="9160" spans="8:9">
      <c r="H9160" s="2"/>
    </row>
    <row r="9161" spans="8:9">
      <c r="H9161" s="2"/>
      <c r="I9161" s="2"/>
    </row>
    <row r="9162" spans="8:9">
      <c r="H9162" s="2"/>
    </row>
    <row r="9163" spans="8:9">
      <c r="H9163" s="2"/>
    </row>
    <row r="9164" spans="8:9">
      <c r="H9164" s="2"/>
    </row>
    <row r="9165" spans="8:9">
      <c r="H9165" s="2"/>
      <c r="I9165" s="2"/>
    </row>
    <row r="9166" spans="8:9">
      <c r="H9166" s="2"/>
    </row>
    <row r="9167" spans="8:9">
      <c r="H9167" s="2"/>
    </row>
    <row r="9168" spans="8:9">
      <c r="H9168" s="2"/>
    </row>
    <row r="9169" spans="8:9">
      <c r="H9169" s="2"/>
    </row>
    <row r="9170" spans="8:9">
      <c r="H9170" s="2"/>
      <c r="I9170" s="2"/>
    </row>
    <row r="9171" spans="8:9">
      <c r="H9171" s="2"/>
    </row>
    <row r="9172" spans="8:9">
      <c r="H9172" s="2"/>
      <c r="I9172" s="2"/>
    </row>
    <row r="9173" spans="8:9">
      <c r="H9173" s="2"/>
    </row>
    <row r="9174" spans="8:9">
      <c r="H9174" s="2"/>
      <c r="I9174" s="2"/>
    </row>
    <row r="9175" spans="8:9">
      <c r="H9175" s="2"/>
    </row>
    <row r="9176" spans="8:9">
      <c r="H9176" s="2"/>
      <c r="I9176" s="2"/>
    </row>
    <row r="9177" spans="8:9">
      <c r="H9177" s="2"/>
    </row>
    <row r="9178" spans="8:9">
      <c r="H9178" s="2"/>
      <c r="I9178" s="2"/>
    </row>
    <row r="9179" spans="8:9">
      <c r="H9179" s="2"/>
      <c r="I9179" s="2"/>
    </row>
    <row r="9180" spans="8:9">
      <c r="H9180" s="2"/>
      <c r="I9180" s="2"/>
    </row>
    <row r="9181" spans="8:9">
      <c r="H9181" s="2"/>
      <c r="I9181" s="2"/>
    </row>
    <row r="9182" spans="8:9">
      <c r="H9182" s="2"/>
      <c r="I9182" s="2"/>
    </row>
    <row r="9183" spans="8:9">
      <c r="H9183" s="2"/>
      <c r="I9183" s="2"/>
    </row>
    <row r="9184" spans="8:9">
      <c r="H9184" s="2"/>
      <c r="I9184" s="2"/>
    </row>
    <row r="9185" spans="8:9">
      <c r="H9185" s="2"/>
      <c r="I9185" s="2"/>
    </row>
    <row r="9186" spans="8:9">
      <c r="H9186" s="2"/>
      <c r="I9186" s="2"/>
    </row>
    <row r="9187" spans="8:9">
      <c r="H9187" s="2"/>
      <c r="I9187" s="2"/>
    </row>
    <row r="9188" spans="8:9">
      <c r="H9188" s="2"/>
    </row>
    <row r="9189" spans="8:9">
      <c r="H9189" s="2"/>
    </row>
    <row r="9190" spans="8:9">
      <c r="H9190" s="2"/>
    </row>
    <row r="9191" spans="8:9">
      <c r="H9191" s="2"/>
    </row>
    <row r="9192" spans="8:9">
      <c r="H9192" s="2"/>
    </row>
    <row r="9193" spans="8:9">
      <c r="H9193" s="2"/>
    </row>
    <row r="9194" spans="8:9">
      <c r="H9194" s="2"/>
    </row>
    <row r="9195" spans="8:9">
      <c r="H9195" s="2"/>
      <c r="I9195" s="2"/>
    </row>
    <row r="9196" spans="8:9">
      <c r="H9196" s="2"/>
    </row>
    <row r="9197" spans="8:9">
      <c r="H9197" s="2"/>
    </row>
    <row r="9198" spans="8:9">
      <c r="H9198" s="2"/>
    </row>
    <row r="9199" spans="8:9">
      <c r="H9199" s="2"/>
    </row>
    <row r="9200" spans="8:9">
      <c r="H9200" s="2"/>
    </row>
    <row r="9201" spans="8:9">
      <c r="H9201" s="2"/>
    </row>
    <row r="9202" spans="8:9">
      <c r="H9202" s="2"/>
    </row>
    <row r="9203" spans="8:9">
      <c r="H9203" s="2"/>
    </row>
    <row r="9204" spans="8:9">
      <c r="H9204" s="2"/>
    </row>
    <row r="9205" spans="8:9">
      <c r="H9205" s="2"/>
    </row>
    <row r="9206" spans="8:9">
      <c r="H9206" s="2"/>
    </row>
    <row r="9207" spans="8:9">
      <c r="H9207" s="2"/>
    </row>
    <row r="9208" spans="8:9">
      <c r="H9208" s="2"/>
    </row>
    <row r="9209" spans="8:9">
      <c r="H9209" s="2"/>
    </row>
    <row r="9210" spans="8:9">
      <c r="H9210" s="2"/>
    </row>
    <row r="9211" spans="8:9">
      <c r="H9211" s="2"/>
    </row>
    <row r="9212" spans="8:9">
      <c r="H9212" s="2"/>
    </row>
    <row r="9213" spans="8:9">
      <c r="H9213" s="2"/>
    </row>
    <row r="9214" spans="8:9">
      <c r="H9214" s="2"/>
    </row>
    <row r="9215" spans="8:9">
      <c r="H9215" s="2"/>
      <c r="I9215" s="2"/>
    </row>
    <row r="9216" spans="8:9">
      <c r="H9216" s="2"/>
    </row>
    <row r="9217" spans="8:9">
      <c r="H9217" s="2"/>
      <c r="I9217" s="2"/>
    </row>
    <row r="9218" spans="8:9">
      <c r="H9218" s="2"/>
    </row>
    <row r="9219" spans="8:9">
      <c r="H9219" s="2"/>
    </row>
    <row r="9220" spans="8:9">
      <c r="H9220" s="2"/>
    </row>
    <row r="9221" spans="8:9">
      <c r="H9221" s="2"/>
    </row>
    <row r="9222" spans="8:9">
      <c r="H9222" s="2"/>
    </row>
    <row r="9223" spans="8:9">
      <c r="H9223" s="2"/>
    </row>
    <row r="9224" spans="8:9">
      <c r="H9224" s="2"/>
    </row>
    <row r="9225" spans="8:9">
      <c r="H9225" s="2"/>
    </row>
    <row r="9226" spans="8:9">
      <c r="H9226" s="2"/>
    </row>
    <row r="9227" spans="8:9">
      <c r="H9227" s="2"/>
    </row>
    <row r="9228" spans="8:9">
      <c r="H9228" s="2"/>
    </row>
    <row r="9229" spans="8:9">
      <c r="H9229" s="2"/>
    </row>
    <row r="9230" spans="8:9">
      <c r="H9230" s="2"/>
    </row>
    <row r="9231" spans="8:9">
      <c r="H9231" s="2"/>
    </row>
    <row r="9232" spans="8:9">
      <c r="H9232" s="2"/>
    </row>
    <row r="9233" spans="8:9">
      <c r="H9233" s="2"/>
    </row>
    <row r="9234" spans="8:9">
      <c r="H9234" s="2"/>
      <c r="I9234" s="2"/>
    </row>
    <row r="9235" spans="8:9">
      <c r="H9235" s="2"/>
      <c r="I9235" s="2"/>
    </row>
    <row r="9236" spans="8:9">
      <c r="H9236" s="2"/>
      <c r="I9236" s="2"/>
    </row>
    <row r="9237" spans="8:9">
      <c r="H9237" s="2"/>
      <c r="I9237" s="2"/>
    </row>
    <row r="9238" spans="8:9">
      <c r="H9238" s="2"/>
      <c r="I9238" s="2"/>
    </row>
    <row r="9239" spans="8:9">
      <c r="H9239" s="2"/>
      <c r="I9239" s="2"/>
    </row>
    <row r="9240" spans="8:9">
      <c r="H9240" s="2"/>
      <c r="I9240" s="2"/>
    </row>
    <row r="9241" spans="8:9">
      <c r="H9241" s="2"/>
      <c r="I9241" s="2"/>
    </row>
    <row r="9242" spans="8:9">
      <c r="H9242" s="2"/>
    </row>
    <row r="9243" spans="8:9">
      <c r="H9243" s="2"/>
    </row>
    <row r="9244" spans="8:9">
      <c r="H9244" s="2"/>
    </row>
    <row r="9245" spans="8:9">
      <c r="H9245" s="2"/>
    </row>
    <row r="9246" spans="8:9">
      <c r="H9246" s="2"/>
    </row>
    <row r="9247" spans="8:9">
      <c r="H9247" s="2"/>
    </row>
    <row r="9248" spans="8:9">
      <c r="H9248" s="2"/>
    </row>
    <row r="9249" spans="8:9">
      <c r="H9249" s="2"/>
      <c r="I9249" s="2"/>
    </row>
    <row r="9250" spans="8:9">
      <c r="H9250" s="2"/>
      <c r="I9250" s="2"/>
    </row>
    <row r="9251" spans="8:9">
      <c r="H9251" s="2"/>
      <c r="I9251" s="2"/>
    </row>
    <row r="9252" spans="8:9">
      <c r="H9252" s="2"/>
      <c r="I9252" s="2"/>
    </row>
    <row r="9253" spans="8:9">
      <c r="H9253" s="2"/>
      <c r="I9253" s="2"/>
    </row>
    <row r="9254" spans="8:9">
      <c r="H9254" s="2"/>
      <c r="I9254" s="2"/>
    </row>
    <row r="9255" spans="8:9">
      <c r="H9255" s="2"/>
      <c r="I9255" s="2"/>
    </row>
    <row r="9256" spans="8:9">
      <c r="H9256" s="2"/>
      <c r="I9256" s="2"/>
    </row>
    <row r="9257" spans="8:9">
      <c r="H9257" s="2"/>
      <c r="I9257" s="2"/>
    </row>
    <row r="9258" spans="8:9">
      <c r="H9258" s="2"/>
    </row>
    <row r="9259" spans="8:9">
      <c r="H9259" s="2"/>
    </row>
    <row r="9260" spans="8:9">
      <c r="H9260" s="2"/>
    </row>
    <row r="9261" spans="8:9">
      <c r="H9261" s="2"/>
    </row>
    <row r="9262" spans="8:9">
      <c r="H9262" s="2"/>
    </row>
    <row r="9263" spans="8:9">
      <c r="H9263" s="2"/>
    </row>
    <row r="9264" spans="8:9">
      <c r="H9264" s="2"/>
    </row>
    <row r="9265" spans="8:9">
      <c r="H9265" s="2"/>
    </row>
    <row r="9266" spans="8:9">
      <c r="H9266" s="2"/>
    </row>
    <row r="9267" spans="8:9">
      <c r="H9267" s="2"/>
    </row>
    <row r="9268" spans="8:9">
      <c r="H9268" s="2"/>
      <c r="I9268" s="2"/>
    </row>
    <row r="9269" spans="8:9">
      <c r="H9269" s="2"/>
    </row>
    <row r="9270" spans="8:9">
      <c r="H9270" s="2"/>
    </row>
    <row r="9271" spans="8:9">
      <c r="H9271" s="2"/>
    </row>
    <row r="9272" spans="8:9">
      <c r="H9272" s="2"/>
    </row>
    <row r="9273" spans="8:9">
      <c r="H9273" s="2"/>
    </row>
    <row r="9274" spans="8:9">
      <c r="H9274" s="2"/>
    </row>
    <row r="9275" spans="8:9">
      <c r="H9275" s="2"/>
    </row>
    <row r="9276" spans="8:9">
      <c r="H9276" s="2"/>
    </row>
    <row r="9277" spans="8:9">
      <c r="H9277" s="2"/>
    </row>
    <row r="9278" spans="8:9">
      <c r="H9278" s="2"/>
    </row>
    <row r="9279" spans="8:9">
      <c r="H9279" s="2"/>
    </row>
    <row r="9280" spans="8:9">
      <c r="H9280" s="2"/>
    </row>
    <row r="9281" spans="8:8">
      <c r="H9281" s="2"/>
    </row>
    <row r="9282" spans="8:8">
      <c r="H9282" s="2"/>
    </row>
    <row r="9283" spans="8:8">
      <c r="H9283" s="2"/>
    </row>
    <row r="9284" spans="8:8">
      <c r="H9284" s="2"/>
    </row>
    <row r="9285" spans="8:8">
      <c r="H9285" s="2"/>
    </row>
    <row r="9286" spans="8:8">
      <c r="H9286" s="2"/>
    </row>
    <row r="9287" spans="8:8">
      <c r="H9287" s="2"/>
    </row>
    <row r="9288" spans="8:8">
      <c r="H9288" s="2"/>
    </row>
    <row r="9289" spans="8:8">
      <c r="H9289" s="2"/>
    </row>
    <row r="9290" spans="8:8">
      <c r="H9290" s="2"/>
    </row>
    <row r="9291" spans="8:8">
      <c r="H9291" s="2"/>
    </row>
    <row r="9292" spans="8:8">
      <c r="H9292" s="2"/>
    </row>
    <row r="9293" spans="8:8">
      <c r="H9293" s="2"/>
    </row>
    <row r="9294" spans="8:8">
      <c r="H9294" s="2"/>
    </row>
    <row r="9295" spans="8:8">
      <c r="H9295" s="2"/>
    </row>
    <row r="9296" spans="8:8">
      <c r="H9296" s="2"/>
    </row>
    <row r="9297" spans="8:9">
      <c r="H9297" s="2"/>
    </row>
    <row r="9298" spans="8:9">
      <c r="H9298" s="2"/>
    </row>
    <row r="9299" spans="8:9">
      <c r="H9299" s="2"/>
    </row>
    <row r="9300" spans="8:9">
      <c r="H9300" s="2"/>
    </row>
    <row r="9301" spans="8:9">
      <c r="H9301" s="2"/>
    </row>
    <row r="9302" spans="8:9">
      <c r="H9302" s="2"/>
    </row>
    <row r="9303" spans="8:9">
      <c r="H9303" s="2"/>
    </row>
    <row r="9304" spans="8:9">
      <c r="H9304" s="2"/>
    </row>
    <row r="9305" spans="8:9">
      <c r="H9305" s="2"/>
    </row>
    <row r="9306" spans="8:9">
      <c r="H9306" s="2"/>
    </row>
    <row r="9307" spans="8:9">
      <c r="H9307" s="2"/>
    </row>
    <row r="9308" spans="8:9">
      <c r="H9308" s="2"/>
    </row>
    <row r="9309" spans="8:9">
      <c r="H9309" s="2"/>
    </row>
    <row r="9310" spans="8:9">
      <c r="H9310" s="2"/>
    </row>
    <row r="9311" spans="8:9">
      <c r="H9311" s="2"/>
      <c r="I9311" s="2"/>
    </row>
    <row r="9312" spans="8:9">
      <c r="H9312" s="2"/>
      <c r="I9312" s="2"/>
    </row>
    <row r="9313" spans="8:9">
      <c r="H9313" s="2"/>
    </row>
    <row r="9314" spans="8:9">
      <c r="H9314" s="2"/>
      <c r="I9314" s="2"/>
    </row>
    <row r="9315" spans="8:9">
      <c r="H9315" s="2"/>
    </row>
    <row r="9316" spans="8:9">
      <c r="H9316" s="2"/>
    </row>
    <row r="9317" spans="8:9">
      <c r="H9317" s="2"/>
    </row>
    <row r="9318" spans="8:9">
      <c r="H9318" s="2"/>
    </row>
    <row r="9319" spans="8:9">
      <c r="H9319" s="2"/>
    </row>
    <row r="9320" spans="8:9">
      <c r="H9320" s="2"/>
    </row>
    <row r="9321" spans="8:9">
      <c r="H9321" s="2"/>
      <c r="I9321" s="2"/>
    </row>
    <row r="9322" spans="8:9">
      <c r="H9322" s="2"/>
    </row>
    <row r="9323" spans="8:9">
      <c r="H9323" s="2"/>
    </row>
    <row r="9324" spans="8:9">
      <c r="H9324" s="2"/>
    </row>
    <row r="9325" spans="8:9">
      <c r="H9325" s="2"/>
    </row>
    <row r="9326" spans="8:9">
      <c r="H9326" s="2"/>
      <c r="I9326" s="2"/>
    </row>
    <row r="9327" spans="8:9">
      <c r="H9327" s="2"/>
      <c r="I9327" s="2"/>
    </row>
    <row r="9328" spans="8:9">
      <c r="H9328" s="2"/>
      <c r="I9328" s="2"/>
    </row>
    <row r="9329" spans="8:9">
      <c r="H9329" s="2"/>
      <c r="I9329" s="2"/>
    </row>
    <row r="9330" spans="8:9">
      <c r="H9330" s="2"/>
      <c r="I9330" s="2"/>
    </row>
    <row r="9331" spans="8:9">
      <c r="H9331" s="2"/>
      <c r="I9331" s="2"/>
    </row>
    <row r="9332" spans="8:9">
      <c r="H9332" s="2"/>
    </row>
    <row r="9333" spans="8:9">
      <c r="H9333" s="2"/>
      <c r="I9333" s="2"/>
    </row>
    <row r="9334" spans="8:9">
      <c r="H9334" s="2"/>
      <c r="I9334" s="2"/>
    </row>
    <row r="9335" spans="8:9">
      <c r="H9335" s="2"/>
      <c r="I9335" s="2"/>
    </row>
    <row r="9336" spans="8:9">
      <c r="H9336" s="2"/>
    </row>
    <row r="9337" spans="8:9">
      <c r="H9337" s="2"/>
      <c r="I9337" s="2"/>
    </row>
    <row r="9338" spans="8:9">
      <c r="H9338" s="2"/>
      <c r="I9338" s="2"/>
    </row>
    <row r="9339" spans="8:9">
      <c r="H9339" s="2"/>
    </row>
    <row r="9340" spans="8:9">
      <c r="H9340" s="2"/>
    </row>
    <row r="9341" spans="8:9">
      <c r="H9341" s="2"/>
    </row>
    <row r="9342" spans="8:9">
      <c r="H9342" s="2"/>
      <c r="I9342" s="2"/>
    </row>
    <row r="9343" spans="8:9">
      <c r="H9343" s="2"/>
    </row>
    <row r="9344" spans="8:9">
      <c r="H9344" s="2"/>
    </row>
    <row r="9345" spans="8:9">
      <c r="H9345" s="2"/>
    </row>
    <row r="9346" spans="8:9">
      <c r="H9346" s="2"/>
      <c r="I9346" s="2"/>
    </row>
    <row r="9347" spans="8:9">
      <c r="H9347" s="2"/>
      <c r="I9347" s="2"/>
    </row>
    <row r="9348" spans="8:9">
      <c r="H9348" s="2"/>
      <c r="I9348" s="2"/>
    </row>
    <row r="9349" spans="8:9">
      <c r="H9349" s="2"/>
    </row>
    <row r="9350" spans="8:9">
      <c r="H9350" s="2"/>
    </row>
    <row r="9351" spans="8:9">
      <c r="H9351" s="2"/>
    </row>
    <row r="9352" spans="8:9">
      <c r="H9352" s="2"/>
    </row>
    <row r="9353" spans="8:9">
      <c r="H9353" s="2"/>
    </row>
    <row r="9354" spans="8:9">
      <c r="H9354" s="2"/>
    </row>
    <row r="9355" spans="8:9">
      <c r="H9355" s="2"/>
    </row>
    <row r="9356" spans="8:9">
      <c r="H9356" s="2"/>
    </row>
    <row r="9357" spans="8:9">
      <c r="H9357" s="2"/>
    </row>
    <row r="9358" spans="8:9">
      <c r="H9358" s="2"/>
    </row>
    <row r="9359" spans="8:9">
      <c r="H9359" s="2"/>
    </row>
    <row r="9360" spans="8:9">
      <c r="H9360" s="2"/>
    </row>
    <row r="9361" spans="8:9">
      <c r="H9361" s="2"/>
    </row>
    <row r="9362" spans="8:9">
      <c r="H9362" s="2"/>
    </row>
    <row r="9363" spans="8:9">
      <c r="H9363" s="2"/>
    </row>
    <row r="9364" spans="8:9">
      <c r="H9364" s="2"/>
    </row>
    <row r="9365" spans="8:9">
      <c r="H9365" s="2"/>
    </row>
    <row r="9366" spans="8:9">
      <c r="H9366" s="2"/>
    </row>
    <row r="9367" spans="8:9">
      <c r="H9367" s="2"/>
    </row>
    <row r="9368" spans="8:9">
      <c r="H9368" s="2"/>
    </row>
    <row r="9369" spans="8:9">
      <c r="H9369" s="2"/>
      <c r="I9369" s="2"/>
    </row>
    <row r="9370" spans="8:9">
      <c r="H9370" s="2"/>
    </row>
    <row r="9371" spans="8:9">
      <c r="H9371" s="2"/>
    </row>
    <row r="9372" spans="8:9">
      <c r="H9372" s="2"/>
    </row>
    <row r="9373" spans="8:9">
      <c r="H9373" s="2"/>
    </row>
    <row r="9374" spans="8:9">
      <c r="H9374" s="2"/>
    </row>
    <row r="9375" spans="8:9">
      <c r="H9375" s="2"/>
    </row>
    <row r="9376" spans="8:9">
      <c r="H9376" s="2"/>
      <c r="I9376" s="2"/>
    </row>
    <row r="9377" spans="8:9">
      <c r="H9377" s="2"/>
    </row>
    <row r="9378" spans="8:9">
      <c r="H9378" s="2"/>
    </row>
    <row r="9379" spans="8:9">
      <c r="H9379" s="2"/>
    </row>
    <row r="9380" spans="8:9">
      <c r="H9380" s="2"/>
    </row>
    <row r="9381" spans="8:9">
      <c r="H9381" s="2"/>
    </row>
    <row r="9382" spans="8:9">
      <c r="H9382" s="2"/>
    </row>
    <row r="9383" spans="8:9">
      <c r="H9383" s="2"/>
    </row>
    <row r="9384" spans="8:9">
      <c r="H9384" s="2"/>
    </row>
    <row r="9385" spans="8:9">
      <c r="H9385" s="2"/>
    </row>
    <row r="9386" spans="8:9">
      <c r="H9386" s="2"/>
    </row>
    <row r="9387" spans="8:9">
      <c r="H9387" s="2"/>
    </row>
    <row r="9388" spans="8:9">
      <c r="H9388" s="2"/>
    </row>
    <row r="9389" spans="8:9">
      <c r="H9389" s="2"/>
    </row>
    <row r="9390" spans="8:9">
      <c r="H9390" s="2"/>
      <c r="I9390" s="2"/>
    </row>
    <row r="9391" spans="8:9">
      <c r="H9391" s="2"/>
      <c r="I9391" s="2"/>
    </row>
    <row r="10013" spans="10:10">
      <c r="J10013" s="2"/>
    </row>
    <row r="10068" spans="9:9">
      <c r="I10068" s="2"/>
    </row>
    <row r="10096" spans="9:9">
      <c r="I10096" s="2"/>
    </row>
    <row r="10098" spans="9:9">
      <c r="I10098" s="2"/>
    </row>
    <row r="10147" spans="9:9">
      <c r="I10147" s="2"/>
    </row>
    <row r="10205" spans="9:9">
      <c r="I10205" s="2"/>
    </row>
    <row r="10216" spans="10:10">
      <c r="J10216" s="2"/>
    </row>
    <row r="10227" spans="9:10">
      <c r="I10227" s="2"/>
    </row>
    <row r="10229" spans="9:10">
      <c r="J10229" s="2"/>
    </row>
    <row r="10247" spans="9:9">
      <c r="I10247" s="2"/>
    </row>
    <row r="10248" spans="9:9">
      <c r="I10248" s="2"/>
    </row>
    <row r="10249" spans="9:9">
      <c r="I10249" s="2"/>
    </row>
    <row r="10282" spans="10:10">
      <c r="J10282" s="2"/>
    </row>
    <row r="10286" spans="10:10">
      <c r="J10286" s="2"/>
    </row>
    <row r="10289" spans="9:10">
      <c r="J10289" s="2"/>
    </row>
    <row r="10299" spans="9:10">
      <c r="I10299" s="2"/>
    </row>
    <row r="10305" spans="9:10">
      <c r="I10305" s="2"/>
    </row>
    <row r="10306" spans="9:10">
      <c r="J10306" s="2"/>
    </row>
    <row r="10307" spans="9:10">
      <c r="J10307" s="2"/>
    </row>
    <row r="10308" spans="9:10">
      <c r="I10308" s="2"/>
    </row>
    <row r="10309" spans="9:10">
      <c r="I10309" s="2"/>
    </row>
    <row r="10310" spans="9:10">
      <c r="I10310" s="2"/>
    </row>
    <row r="10311" spans="9:10">
      <c r="I10311" s="2"/>
    </row>
    <row r="10312" spans="9:10">
      <c r="J10312" s="2"/>
    </row>
    <row r="10313" spans="9:10">
      <c r="I10313" s="2"/>
    </row>
    <row r="10314" spans="9:10">
      <c r="I10314" s="2"/>
    </row>
    <row r="10315" spans="9:10">
      <c r="I10315" s="2"/>
    </row>
    <row r="10316" spans="9:10">
      <c r="I10316" s="2"/>
    </row>
    <row r="10317" spans="9:10">
      <c r="I10317" s="2"/>
    </row>
    <row r="10318" spans="9:10">
      <c r="I10318" s="2"/>
    </row>
    <row r="10319" spans="9:10">
      <c r="I10319" s="2"/>
    </row>
    <row r="10320" spans="9:10">
      <c r="I10320" s="2"/>
    </row>
    <row r="10327" spans="10:10">
      <c r="J10327" s="2"/>
    </row>
    <row r="10328" spans="10:10">
      <c r="J10328" s="2"/>
    </row>
    <row r="10345" spans="9:9">
      <c r="I10345" s="2"/>
    </row>
    <row r="10349" spans="9:9">
      <c r="I10349" s="2"/>
    </row>
    <row r="10350" spans="9:9">
      <c r="I10350" s="2"/>
    </row>
    <row r="10351" spans="9:9">
      <c r="I10351" s="2"/>
    </row>
    <row r="10352" spans="9:9">
      <c r="I10352" s="2"/>
    </row>
    <row r="10358" spans="9:9">
      <c r="I10358" s="2"/>
    </row>
    <row r="10362" spans="9:9">
      <c r="I10362" s="2"/>
    </row>
    <row r="10370" spans="9:9">
      <c r="I10370" s="2"/>
    </row>
    <row r="10379" spans="9:9">
      <c r="I10379" s="2"/>
    </row>
    <row r="10390" spans="9:9">
      <c r="I10390" s="2"/>
    </row>
    <row r="10392" spans="9:9">
      <c r="I10392" s="2"/>
    </row>
    <row r="10396" spans="9:9">
      <c r="I10396" s="2"/>
    </row>
    <row r="10397" spans="9:9">
      <c r="I10397" s="2"/>
    </row>
    <row r="10401" spans="9:9">
      <c r="I10401" s="2"/>
    </row>
    <row r="10402" spans="9:9">
      <c r="I10402" s="2"/>
    </row>
    <row r="10409" spans="9:9">
      <c r="I10409" s="2"/>
    </row>
    <row r="10419" spans="9:9">
      <c r="I10419" s="2"/>
    </row>
    <row r="10420" spans="9:9">
      <c r="I10420" s="2"/>
    </row>
    <row r="10421" spans="9:9">
      <c r="I10421" s="2"/>
    </row>
    <row r="10422" spans="9:9">
      <c r="I10422" s="2"/>
    </row>
    <row r="10435" spans="9:9">
      <c r="I10435" s="2"/>
    </row>
    <row r="10436" spans="9:9">
      <c r="I10436" s="2"/>
    </row>
    <row r="10437" spans="9:9">
      <c r="I10437" s="2"/>
    </row>
    <row r="10438" spans="9:9">
      <c r="I10438" s="2"/>
    </row>
    <row r="10440" spans="9:9">
      <c r="I10440" s="2"/>
    </row>
    <row r="10442" spans="9:9">
      <c r="I10442" s="2"/>
    </row>
    <row r="10447" spans="9:9">
      <c r="I10447" s="2"/>
    </row>
    <row r="10448" spans="9:9">
      <c r="I10448" s="2"/>
    </row>
    <row r="10449" spans="9:9">
      <c r="I10449" s="2"/>
    </row>
    <row r="10451" spans="9:9">
      <c r="I10451" s="2"/>
    </row>
    <row r="10452" spans="9:9">
      <c r="I10452" s="2"/>
    </row>
    <row r="10453" spans="9:9">
      <c r="I10453" s="2"/>
    </row>
    <row r="10454" spans="9:9">
      <c r="I10454" s="2"/>
    </row>
    <row r="10456" spans="9:9">
      <c r="I10456" s="2"/>
    </row>
    <row r="10457" spans="9:9">
      <c r="I10457" s="2"/>
    </row>
    <row r="10458" spans="9:9">
      <c r="I10458" s="2"/>
    </row>
    <row r="10459" spans="9:9">
      <c r="I10459" s="2"/>
    </row>
    <row r="10460" spans="9:9">
      <c r="I10460" s="2"/>
    </row>
    <row r="10463" spans="9:9">
      <c r="I10463" s="2"/>
    </row>
    <row r="10464" spans="9:9">
      <c r="I10464" s="2"/>
    </row>
    <row r="10465" spans="9:10">
      <c r="I10465" s="2"/>
    </row>
    <row r="10466" spans="9:10">
      <c r="I10466" s="2"/>
    </row>
    <row r="10467" spans="9:10">
      <c r="I10467" s="2"/>
    </row>
    <row r="10472" spans="9:10">
      <c r="I10472" s="2"/>
    </row>
    <row r="10473" spans="9:10">
      <c r="I10473" s="2"/>
    </row>
    <row r="10477" spans="9:10">
      <c r="J10477" s="2"/>
    </row>
    <row r="10478" spans="9:10">
      <c r="I10478" s="2"/>
    </row>
    <row r="10479" spans="9:10">
      <c r="I10479" s="2"/>
    </row>
    <row r="10480" spans="9:10">
      <c r="I10480" s="2"/>
    </row>
    <row r="10483" spans="8:9">
      <c r="I10483" s="2"/>
    </row>
    <row r="10485" spans="8:9">
      <c r="H10485" s="2"/>
    </row>
    <row r="10486" spans="8:9">
      <c r="H10486" s="2"/>
    </row>
    <row r="10487" spans="8:9">
      <c r="H10487" s="2"/>
    </row>
    <row r="10488" spans="8:9">
      <c r="H10488" s="2"/>
    </row>
    <row r="10489" spans="8:9">
      <c r="H10489" s="2"/>
    </row>
    <row r="10490" spans="8:9">
      <c r="H10490" s="2"/>
    </row>
    <row r="10491" spans="8:9">
      <c r="H10491" s="2"/>
    </row>
    <row r="10492" spans="8:9">
      <c r="H10492" s="2"/>
    </row>
    <row r="10493" spans="8:9">
      <c r="H10493" s="2"/>
    </row>
    <row r="10494" spans="8:9">
      <c r="H10494" s="2"/>
    </row>
    <row r="10495" spans="8:9">
      <c r="H10495" s="2"/>
    </row>
    <row r="10496" spans="8:9">
      <c r="H10496" s="2"/>
    </row>
    <row r="10497" spans="8:8">
      <c r="H10497" s="2"/>
    </row>
    <row r="10498" spans="8:8">
      <c r="H10498" s="2"/>
    </row>
    <row r="10499" spans="8:8">
      <c r="H10499" s="2"/>
    </row>
    <row r="10500" spans="8:8">
      <c r="H10500" s="2"/>
    </row>
    <row r="10501" spans="8:8">
      <c r="H10501" s="2"/>
    </row>
    <row r="10502" spans="8:8">
      <c r="H10502" s="2"/>
    </row>
    <row r="10503" spans="8:8">
      <c r="H10503" s="2"/>
    </row>
    <row r="10504" spans="8:8">
      <c r="H10504" s="2"/>
    </row>
    <row r="10505" spans="8:8">
      <c r="H10505" s="2"/>
    </row>
    <row r="10506" spans="8:8">
      <c r="H10506" s="2"/>
    </row>
    <row r="10507" spans="8:8">
      <c r="H10507" s="2"/>
    </row>
    <row r="10508" spans="8:8">
      <c r="H10508" s="2"/>
    </row>
    <row r="10509" spans="8:8">
      <c r="H10509" s="2"/>
    </row>
    <row r="10510" spans="8:8">
      <c r="H10510" s="2"/>
    </row>
    <row r="10511" spans="8:8">
      <c r="H10511" s="2"/>
    </row>
    <row r="10512" spans="8:8">
      <c r="H10512" s="2"/>
    </row>
    <row r="10513" spans="8:8">
      <c r="H10513" s="2"/>
    </row>
    <row r="10537" spans="8:10">
      <c r="H10537" s="2"/>
    </row>
    <row r="10538" spans="8:10">
      <c r="H10538" s="2"/>
    </row>
    <row r="10539" spans="8:10">
      <c r="H10539" s="2"/>
    </row>
    <row r="10540" spans="8:10">
      <c r="H10540" s="2"/>
    </row>
    <row r="10541" spans="8:10">
      <c r="H10541" s="2"/>
      <c r="J10541" s="2"/>
    </row>
    <row r="10542" spans="8:10">
      <c r="H10542" s="2"/>
      <c r="I10542" s="2"/>
    </row>
    <row r="10543" spans="8:10">
      <c r="H10543" s="2"/>
      <c r="I10543" s="2"/>
    </row>
    <row r="10544" spans="8:10">
      <c r="H10544" s="2"/>
      <c r="I10544" s="2"/>
    </row>
    <row r="10545" spans="8:10">
      <c r="H10545" s="2"/>
      <c r="I10545" s="2"/>
    </row>
    <row r="10546" spans="8:10">
      <c r="H10546" s="2"/>
      <c r="I10546" s="2"/>
    </row>
    <row r="10547" spans="8:10">
      <c r="H10547" s="2"/>
      <c r="I10547" s="2"/>
    </row>
    <row r="10548" spans="8:10">
      <c r="H10548" s="2"/>
    </row>
    <row r="10549" spans="8:10">
      <c r="H10549" s="2"/>
      <c r="I10549" s="2"/>
    </row>
    <row r="10550" spans="8:10">
      <c r="H10550" s="2"/>
      <c r="I10550" s="2"/>
    </row>
    <row r="10551" spans="8:10">
      <c r="H10551" s="2"/>
      <c r="I10551" s="2"/>
    </row>
    <row r="10552" spans="8:10">
      <c r="H10552" s="2"/>
      <c r="I10552" s="2"/>
    </row>
    <row r="10553" spans="8:10">
      <c r="H10553" s="2"/>
      <c r="I10553" s="2"/>
    </row>
    <row r="10554" spans="8:10">
      <c r="H10554" s="2"/>
      <c r="I10554" s="2"/>
    </row>
    <row r="10555" spans="8:10">
      <c r="H10555" s="2"/>
      <c r="I10555" s="2"/>
    </row>
    <row r="10556" spans="8:10">
      <c r="H10556" s="2"/>
      <c r="I10556" s="2"/>
    </row>
    <row r="10557" spans="8:10">
      <c r="H10557" s="2"/>
      <c r="J10557" s="2"/>
    </row>
    <row r="10558" spans="8:10">
      <c r="H10558" s="2"/>
      <c r="I10558" s="2"/>
    </row>
    <row r="10559" spans="8:10">
      <c r="H10559" s="2"/>
      <c r="J10559" s="2"/>
    </row>
    <row r="10560" spans="8:10">
      <c r="H10560" s="2"/>
      <c r="J10560" s="2"/>
    </row>
    <row r="10561" spans="8:10">
      <c r="H10561" s="2"/>
      <c r="I10561" s="2"/>
    </row>
    <row r="10562" spans="8:10">
      <c r="H10562" s="2"/>
      <c r="J10562" s="2"/>
    </row>
    <row r="10563" spans="8:10">
      <c r="H10563" s="2"/>
    </row>
    <row r="10564" spans="8:10">
      <c r="H10564" s="2"/>
    </row>
    <row r="10565" spans="8:10">
      <c r="H10565" s="2"/>
      <c r="J10565" s="2"/>
    </row>
    <row r="10566" spans="8:10">
      <c r="H10566" s="2"/>
      <c r="J10566" s="2"/>
    </row>
    <row r="10567" spans="8:10">
      <c r="H10567" s="2"/>
    </row>
    <row r="10568" spans="8:10">
      <c r="H10568" s="2"/>
    </row>
    <row r="10569" spans="8:10">
      <c r="H10569" s="2"/>
    </row>
    <row r="10570" spans="8:10">
      <c r="H10570" s="2"/>
    </row>
    <row r="10571" spans="8:10">
      <c r="H10571" s="2"/>
      <c r="I10571" s="2"/>
    </row>
    <row r="10572" spans="8:10">
      <c r="H10572" s="2"/>
      <c r="I10572" s="2"/>
    </row>
    <row r="10573" spans="8:10">
      <c r="H10573" s="2"/>
      <c r="I10573" s="2"/>
    </row>
    <row r="10574" spans="8:10">
      <c r="H10574" s="2"/>
      <c r="I10574" s="2"/>
    </row>
    <row r="10575" spans="8:10">
      <c r="H10575" s="2"/>
    </row>
    <row r="10576" spans="8:10">
      <c r="H10576" s="2"/>
      <c r="J10576" s="2"/>
    </row>
    <row r="10577" spans="8:9">
      <c r="H10577" s="2"/>
    </row>
    <row r="10578" spans="8:9">
      <c r="H10578" s="2"/>
    </row>
    <row r="10579" spans="8:9">
      <c r="H10579" s="2"/>
    </row>
    <row r="10580" spans="8:9">
      <c r="H10580" s="2"/>
    </row>
    <row r="10581" spans="8:9">
      <c r="H10581" s="2"/>
    </row>
    <row r="10582" spans="8:9">
      <c r="H10582" s="2"/>
    </row>
    <row r="10583" spans="8:9">
      <c r="H10583" s="2"/>
    </row>
    <row r="10584" spans="8:9">
      <c r="H10584" s="2"/>
    </row>
    <row r="10585" spans="8:9">
      <c r="H10585" s="2"/>
    </row>
    <row r="10586" spans="8:9">
      <c r="H10586" s="2"/>
    </row>
    <row r="10587" spans="8:9">
      <c r="H10587" s="2"/>
      <c r="I10587" s="2"/>
    </row>
    <row r="10588" spans="8:9">
      <c r="H10588" s="2"/>
      <c r="I10588" s="2"/>
    </row>
    <row r="10589" spans="8:9">
      <c r="H10589" s="2"/>
      <c r="I10589" s="2"/>
    </row>
    <row r="10590" spans="8:9">
      <c r="H10590" s="2"/>
      <c r="I10590" s="2"/>
    </row>
    <row r="10591" spans="8:9">
      <c r="H10591" s="2"/>
      <c r="I10591" s="2"/>
    </row>
    <row r="10592" spans="8:9">
      <c r="H10592" s="2"/>
      <c r="I10592" s="2"/>
    </row>
    <row r="10593" spans="8:10">
      <c r="H10593" s="2"/>
      <c r="I10593" s="2"/>
    </row>
    <row r="10594" spans="8:10">
      <c r="H10594" s="2"/>
      <c r="I10594" s="2"/>
    </row>
    <row r="10595" spans="8:10">
      <c r="H10595" s="2"/>
      <c r="I10595" s="2"/>
    </row>
    <row r="10596" spans="8:10">
      <c r="H10596" s="2"/>
      <c r="I10596" s="2"/>
    </row>
    <row r="10597" spans="8:10">
      <c r="H10597" s="2"/>
      <c r="I10597" s="2"/>
    </row>
    <row r="10598" spans="8:10">
      <c r="H10598" s="2"/>
      <c r="I10598" s="2"/>
    </row>
    <row r="10599" spans="8:10">
      <c r="H10599" s="2"/>
      <c r="I10599" s="2"/>
    </row>
    <row r="10600" spans="8:10">
      <c r="H10600" s="2"/>
      <c r="I10600" s="2"/>
    </row>
    <row r="10601" spans="8:10">
      <c r="H10601" s="2"/>
    </row>
    <row r="10602" spans="8:10">
      <c r="H10602" s="2"/>
    </row>
    <row r="10603" spans="8:10">
      <c r="H10603" s="2"/>
      <c r="J10603" s="2"/>
    </row>
    <row r="10604" spans="8:10">
      <c r="H10604" s="2"/>
      <c r="J10604" s="2"/>
    </row>
    <row r="10605" spans="8:10">
      <c r="H10605" s="2"/>
      <c r="I10605" s="2"/>
    </row>
    <row r="10606" spans="8:10">
      <c r="H10606" s="2"/>
      <c r="I10606" s="2"/>
    </row>
    <row r="10607" spans="8:10">
      <c r="H10607" s="2"/>
    </row>
    <row r="10608" spans="8:10">
      <c r="H10608" s="2"/>
    </row>
    <row r="10609" spans="8:10">
      <c r="H10609" s="2"/>
      <c r="I10609" s="2"/>
    </row>
    <row r="10610" spans="8:10">
      <c r="H10610" s="2"/>
      <c r="I10610" s="2"/>
    </row>
    <row r="10611" spans="8:10">
      <c r="H10611" s="2"/>
      <c r="I10611" s="2"/>
    </row>
    <row r="10612" spans="8:10">
      <c r="H10612" s="2"/>
    </row>
    <row r="10613" spans="8:10">
      <c r="H10613" s="2"/>
    </row>
    <row r="10614" spans="8:10">
      <c r="H10614" s="2"/>
    </row>
    <row r="10615" spans="8:10">
      <c r="H10615" s="2"/>
    </row>
    <row r="10616" spans="8:10">
      <c r="H10616" s="2"/>
      <c r="I10616" s="2"/>
    </row>
    <row r="10617" spans="8:10">
      <c r="H10617" s="2"/>
      <c r="I10617" s="2"/>
    </row>
    <row r="10618" spans="8:10">
      <c r="H10618" s="2"/>
    </row>
    <row r="10619" spans="8:10">
      <c r="H10619" s="2"/>
    </row>
    <row r="10620" spans="8:10">
      <c r="H10620" s="2"/>
    </row>
    <row r="10621" spans="8:10">
      <c r="H10621" s="2"/>
      <c r="J10621" s="2"/>
    </row>
    <row r="10622" spans="8:10">
      <c r="H10622" s="2"/>
      <c r="J10622" s="2"/>
    </row>
    <row r="10623" spans="8:10">
      <c r="H10623" s="2"/>
      <c r="I10623" s="2"/>
    </row>
    <row r="10624" spans="8:10">
      <c r="H10624" s="2"/>
      <c r="I10624" s="2"/>
    </row>
    <row r="10625" spans="8:10">
      <c r="H10625" s="2"/>
      <c r="I10625" s="2"/>
    </row>
    <row r="10626" spans="8:10">
      <c r="H10626" s="2"/>
      <c r="J10626" s="2"/>
    </row>
    <row r="10627" spans="8:10">
      <c r="H10627" s="2"/>
      <c r="J10627" s="2"/>
    </row>
    <row r="10628" spans="8:10">
      <c r="H10628" s="2"/>
      <c r="J10628" s="2"/>
    </row>
    <row r="10629" spans="8:10">
      <c r="H10629" s="2"/>
    </row>
    <row r="10630" spans="8:10">
      <c r="H10630" s="2"/>
    </row>
    <row r="10631" spans="8:10">
      <c r="H10631" s="2"/>
    </row>
    <row r="10632" spans="8:10">
      <c r="H10632" s="2"/>
    </row>
    <row r="10633" spans="8:10">
      <c r="H10633" s="2"/>
    </row>
    <row r="10634" spans="8:10">
      <c r="H10634" s="2"/>
      <c r="J10634" s="2"/>
    </row>
    <row r="10635" spans="8:10">
      <c r="H10635" s="2"/>
      <c r="J10635" s="2"/>
    </row>
    <row r="10636" spans="8:10">
      <c r="H10636" s="2"/>
      <c r="J10636" s="2"/>
    </row>
    <row r="10637" spans="8:10">
      <c r="H10637" s="2"/>
    </row>
    <row r="10638" spans="8:10">
      <c r="H10638" s="2"/>
    </row>
    <row r="10639" spans="8:10">
      <c r="H10639" s="2"/>
    </row>
    <row r="10640" spans="8:10">
      <c r="H10640" s="2"/>
      <c r="I10640" s="2"/>
    </row>
    <row r="10641" spans="8:10">
      <c r="H10641" s="2"/>
    </row>
    <row r="10642" spans="8:10">
      <c r="H10642" s="2"/>
    </row>
    <row r="10643" spans="8:10">
      <c r="H10643" s="2"/>
    </row>
    <row r="10644" spans="8:10">
      <c r="H10644" s="2"/>
    </row>
    <row r="10645" spans="8:10">
      <c r="H10645" s="2"/>
    </row>
    <row r="10646" spans="8:10">
      <c r="H10646" s="2"/>
    </row>
    <row r="10647" spans="8:10">
      <c r="H10647" s="2"/>
      <c r="J10647" s="2"/>
    </row>
    <row r="10648" spans="8:10">
      <c r="H10648" s="2"/>
      <c r="J10648" s="2"/>
    </row>
    <row r="10649" spans="8:10">
      <c r="H10649" s="2"/>
      <c r="J10649" s="2"/>
    </row>
    <row r="10650" spans="8:10">
      <c r="H10650" s="2"/>
      <c r="J10650" s="2"/>
    </row>
    <row r="10651" spans="8:10">
      <c r="H10651" s="2"/>
      <c r="J10651" s="2"/>
    </row>
    <row r="10652" spans="8:10">
      <c r="H10652" s="2"/>
    </row>
    <row r="10653" spans="8:10">
      <c r="H10653" s="2"/>
    </row>
    <row r="10654" spans="8:10">
      <c r="H10654" s="2"/>
    </row>
    <row r="10655" spans="8:10">
      <c r="H10655" s="2"/>
    </row>
    <row r="10656" spans="8:10">
      <c r="H10656" s="2"/>
    </row>
    <row r="10657" spans="8:9">
      <c r="H10657" s="2"/>
    </row>
    <row r="10658" spans="8:9">
      <c r="H10658" s="2"/>
      <c r="I10658" s="2"/>
    </row>
    <row r="10659" spans="8:9">
      <c r="H10659" s="2"/>
      <c r="I10659" s="2"/>
    </row>
    <row r="10660" spans="8:9">
      <c r="H10660" s="2"/>
      <c r="I10660" s="2"/>
    </row>
    <row r="10661" spans="8:9">
      <c r="H10661" s="2"/>
      <c r="I10661" s="2"/>
    </row>
    <row r="10662" spans="8:9">
      <c r="H10662" s="2"/>
    </row>
    <row r="10663" spans="8:9">
      <c r="H10663" s="2"/>
    </row>
    <row r="10664" spans="8:9">
      <c r="H10664" s="2"/>
    </row>
    <row r="10665" spans="8:9">
      <c r="H10665" s="2"/>
    </row>
    <row r="10666" spans="8:9">
      <c r="H10666" s="2"/>
    </row>
    <row r="10667" spans="8:9">
      <c r="H10667" s="2"/>
    </row>
    <row r="10668" spans="8:9">
      <c r="H10668" s="2"/>
    </row>
    <row r="10669" spans="8:9">
      <c r="H10669" s="2"/>
    </row>
    <row r="10670" spans="8:9">
      <c r="H10670" s="2"/>
    </row>
    <row r="10671" spans="8:9">
      <c r="H10671" s="2"/>
      <c r="I10671" s="2"/>
    </row>
    <row r="10672" spans="8:9">
      <c r="H10672" s="2"/>
    </row>
    <row r="10673" spans="8:9">
      <c r="H10673" s="2"/>
    </row>
    <row r="10674" spans="8:9">
      <c r="H10674" s="2"/>
    </row>
    <row r="10675" spans="8:9">
      <c r="H10675" s="2"/>
    </row>
    <row r="10676" spans="8:9">
      <c r="H10676" s="2"/>
    </row>
    <row r="10677" spans="8:9">
      <c r="H10677" s="2"/>
      <c r="I10677" s="2"/>
    </row>
    <row r="10678" spans="8:9">
      <c r="H10678" s="2"/>
      <c r="I10678" s="2"/>
    </row>
    <row r="10679" spans="8:9">
      <c r="H10679" s="2"/>
    </row>
    <row r="10680" spans="8:9">
      <c r="H10680" s="2"/>
    </row>
    <row r="10681" spans="8:9">
      <c r="H10681" s="2"/>
    </row>
    <row r="10682" spans="8:9">
      <c r="H10682" s="2"/>
      <c r="I10682" s="2"/>
    </row>
    <row r="10683" spans="8:9">
      <c r="H10683" s="2"/>
    </row>
    <row r="10684" spans="8:9">
      <c r="H10684" s="2"/>
      <c r="I10684" s="2"/>
    </row>
    <row r="10685" spans="8:9">
      <c r="H10685" s="2"/>
    </row>
    <row r="10686" spans="8:9">
      <c r="H10686" s="2"/>
    </row>
    <row r="10687" spans="8:9">
      <c r="H10687" s="2"/>
    </row>
    <row r="10688" spans="8:9">
      <c r="H10688" s="2"/>
    </row>
    <row r="10689" spans="8:9">
      <c r="H10689" s="2"/>
    </row>
    <row r="10690" spans="8:9">
      <c r="H10690" s="2"/>
    </row>
    <row r="10691" spans="8:9">
      <c r="H10691" s="2"/>
    </row>
    <row r="10692" spans="8:9">
      <c r="H10692" s="2"/>
    </row>
    <row r="10693" spans="8:9">
      <c r="H10693" s="2"/>
    </row>
    <row r="10694" spans="8:9">
      <c r="H10694" s="2"/>
    </row>
    <row r="10695" spans="8:9">
      <c r="H10695" s="2"/>
    </row>
    <row r="10696" spans="8:9">
      <c r="H10696" s="2"/>
      <c r="I10696" s="2"/>
    </row>
    <row r="10697" spans="8:9">
      <c r="H10697" s="2"/>
    </row>
    <row r="10698" spans="8:9">
      <c r="H10698" s="2"/>
    </row>
    <row r="10699" spans="8:9">
      <c r="H10699" s="2"/>
    </row>
    <row r="10700" spans="8:9">
      <c r="H10700" s="2"/>
    </row>
    <row r="10701" spans="8:9">
      <c r="H10701" s="2"/>
      <c r="I10701" s="2"/>
    </row>
    <row r="10702" spans="8:9">
      <c r="H10702" s="2"/>
      <c r="I10702" s="2"/>
    </row>
    <row r="10703" spans="8:9">
      <c r="H10703" s="2"/>
      <c r="I10703" s="2"/>
    </row>
    <row r="10704" spans="8:9">
      <c r="H10704" s="2"/>
    </row>
    <row r="10705" spans="8:9">
      <c r="H10705" s="2"/>
    </row>
    <row r="10706" spans="8:9">
      <c r="H10706" s="2"/>
    </row>
    <row r="10707" spans="8:9">
      <c r="H10707" s="2"/>
    </row>
    <row r="10708" spans="8:9">
      <c r="H10708" s="2"/>
    </row>
    <row r="10709" spans="8:9">
      <c r="H10709" s="2"/>
    </row>
    <row r="10710" spans="8:9">
      <c r="H10710" s="2"/>
    </row>
    <row r="10711" spans="8:9">
      <c r="H10711" s="2"/>
    </row>
    <row r="10712" spans="8:9">
      <c r="H10712" s="2"/>
    </row>
    <row r="10713" spans="8:9">
      <c r="H10713" s="2"/>
    </row>
    <row r="10714" spans="8:9">
      <c r="H10714" s="2"/>
    </row>
    <row r="10715" spans="8:9">
      <c r="H10715" s="2"/>
    </row>
    <row r="10716" spans="8:9">
      <c r="H10716" s="2"/>
    </row>
    <row r="10717" spans="8:9">
      <c r="H10717" s="2"/>
    </row>
    <row r="10718" spans="8:9">
      <c r="H10718" s="2"/>
      <c r="I10718" s="2"/>
    </row>
    <row r="10719" spans="8:9">
      <c r="H10719" s="2"/>
    </row>
    <row r="10720" spans="8:9">
      <c r="H10720" s="2"/>
    </row>
    <row r="10721" spans="8:9">
      <c r="H10721" s="2"/>
    </row>
    <row r="10722" spans="8:9">
      <c r="H10722" s="2"/>
    </row>
    <row r="10723" spans="8:9">
      <c r="H10723" s="2"/>
      <c r="I10723" s="2"/>
    </row>
    <row r="10724" spans="8:9">
      <c r="H10724" s="2"/>
    </row>
    <row r="10725" spans="8:9">
      <c r="H10725" s="2"/>
      <c r="I10725" s="2"/>
    </row>
    <row r="10726" spans="8:9">
      <c r="H10726" s="2"/>
    </row>
    <row r="10727" spans="8:9">
      <c r="H10727" s="2"/>
      <c r="I10727" s="2"/>
    </row>
    <row r="10728" spans="8:9">
      <c r="H10728" s="2"/>
      <c r="I10728" s="2"/>
    </row>
    <row r="10729" spans="8:9">
      <c r="H10729" s="2"/>
      <c r="I10729" s="2"/>
    </row>
    <row r="10730" spans="8:9">
      <c r="H10730" s="2"/>
    </row>
    <row r="10731" spans="8:9">
      <c r="H10731" s="2"/>
    </row>
    <row r="10732" spans="8:9">
      <c r="H10732" s="2"/>
      <c r="I10732" s="2"/>
    </row>
    <row r="10733" spans="8:9">
      <c r="H10733" s="2"/>
      <c r="I10733" s="2"/>
    </row>
    <row r="10734" spans="8:9">
      <c r="H10734" s="2"/>
      <c r="I10734" s="2"/>
    </row>
    <row r="10735" spans="8:9">
      <c r="H10735" s="2"/>
    </row>
    <row r="10736" spans="8:9">
      <c r="H10736" s="2"/>
    </row>
    <row r="10737" spans="8:8">
      <c r="H10737" s="2"/>
    </row>
    <row r="10738" spans="8:8">
      <c r="H10738" s="2"/>
    </row>
    <row r="10739" spans="8:8">
      <c r="H10739" s="2"/>
    </row>
    <row r="10740" spans="8:8">
      <c r="H10740" s="2"/>
    </row>
    <row r="10741" spans="8:8">
      <c r="H10741" s="2"/>
    </row>
    <row r="10742" spans="8:8">
      <c r="H10742" s="2"/>
    </row>
    <row r="10743" spans="8:8">
      <c r="H10743" s="2"/>
    </row>
    <row r="10744" spans="8:8">
      <c r="H10744" s="2"/>
    </row>
    <row r="10745" spans="8:8">
      <c r="H10745" s="2"/>
    </row>
    <row r="10746" spans="8:8">
      <c r="H10746" s="2"/>
    </row>
    <row r="10747" spans="8:8">
      <c r="H10747" s="2"/>
    </row>
    <row r="10748" spans="8:8">
      <c r="H10748" s="2"/>
    </row>
    <row r="10749" spans="8:8">
      <c r="H10749" s="2"/>
    </row>
    <row r="10750" spans="8:8">
      <c r="H10750" s="2"/>
    </row>
    <row r="10751" spans="8:8">
      <c r="H10751" s="2"/>
    </row>
    <row r="10752" spans="8:8">
      <c r="H10752" s="2"/>
    </row>
    <row r="10753" spans="8:9">
      <c r="H10753" s="2"/>
    </row>
    <row r="10754" spans="8:9">
      <c r="H10754" s="2"/>
    </row>
    <row r="10755" spans="8:9">
      <c r="H10755" s="2"/>
    </row>
    <row r="10756" spans="8:9">
      <c r="H10756" s="2"/>
    </row>
    <row r="10757" spans="8:9">
      <c r="H10757" s="2"/>
    </row>
    <row r="10758" spans="8:9">
      <c r="H10758" s="2"/>
      <c r="I10758" s="2"/>
    </row>
    <row r="10759" spans="8:9">
      <c r="H10759" s="2"/>
    </row>
    <row r="10760" spans="8:9">
      <c r="H10760" s="2"/>
      <c r="I10760" s="2"/>
    </row>
    <row r="10761" spans="8:9">
      <c r="H10761" s="2"/>
    </row>
    <row r="10762" spans="8:9">
      <c r="H10762" s="2"/>
    </row>
    <row r="10763" spans="8:9">
      <c r="H10763" s="2"/>
    </row>
    <row r="10764" spans="8:9">
      <c r="H10764" s="2"/>
    </row>
    <row r="10765" spans="8:9">
      <c r="H10765" s="2"/>
    </row>
    <row r="10766" spans="8:9">
      <c r="H10766" s="2"/>
    </row>
    <row r="10767" spans="8:9">
      <c r="H10767" s="2"/>
    </row>
    <row r="10768" spans="8:9">
      <c r="H10768" s="2"/>
    </row>
    <row r="10769" spans="8:8">
      <c r="H10769" s="2"/>
    </row>
    <row r="10770" spans="8:8">
      <c r="H10770" s="2"/>
    </row>
    <row r="10771" spans="8:8">
      <c r="H10771" s="2"/>
    </row>
    <row r="10772" spans="8:8">
      <c r="H10772" s="2"/>
    </row>
    <row r="10773" spans="8:8">
      <c r="H10773" s="2"/>
    </row>
    <row r="10774" spans="8:8">
      <c r="H10774" s="2"/>
    </row>
    <row r="10775" spans="8:8">
      <c r="H10775" s="2"/>
    </row>
    <row r="10776" spans="8:8">
      <c r="H10776" s="2"/>
    </row>
    <row r="10777" spans="8:8">
      <c r="H10777" s="2"/>
    </row>
    <row r="10778" spans="8:8">
      <c r="H10778" s="2"/>
    </row>
    <row r="10779" spans="8:8">
      <c r="H10779" s="2"/>
    </row>
    <row r="10780" spans="8:8">
      <c r="H10780" s="2"/>
    </row>
    <row r="10781" spans="8:8">
      <c r="H10781" s="2"/>
    </row>
    <row r="10782" spans="8:8">
      <c r="H10782" s="2"/>
    </row>
    <row r="10783" spans="8:8">
      <c r="H10783" s="2"/>
    </row>
    <row r="10784" spans="8:8">
      <c r="H10784" s="2"/>
    </row>
    <row r="10785" spans="8:8">
      <c r="H10785" s="2"/>
    </row>
    <row r="10786" spans="8:8">
      <c r="H10786" s="2"/>
    </row>
    <row r="10787" spans="8:8">
      <c r="H10787" s="2"/>
    </row>
    <row r="10788" spans="8:8">
      <c r="H10788" s="2"/>
    </row>
    <row r="10789" spans="8:8">
      <c r="H10789" s="2"/>
    </row>
    <row r="10790" spans="8:8">
      <c r="H10790" s="2"/>
    </row>
    <row r="10791" spans="8:8">
      <c r="H10791" s="2"/>
    </row>
    <row r="10792" spans="8:8">
      <c r="H10792" s="2"/>
    </row>
    <row r="10793" spans="8:8">
      <c r="H10793" s="2"/>
    </row>
    <row r="10794" spans="8:8">
      <c r="H10794" s="2"/>
    </row>
    <row r="10795" spans="8:8">
      <c r="H10795" s="2"/>
    </row>
    <row r="10796" spans="8:8">
      <c r="H10796" s="2"/>
    </row>
    <row r="10797" spans="8:8">
      <c r="H10797" s="2"/>
    </row>
    <row r="10798" spans="8:8">
      <c r="H10798" s="2"/>
    </row>
    <row r="10799" spans="8:8">
      <c r="H10799" s="2"/>
    </row>
    <row r="10800" spans="8:8">
      <c r="H10800" s="2"/>
    </row>
    <row r="10801" spans="8:9">
      <c r="H10801" s="2"/>
    </row>
    <row r="10802" spans="8:9">
      <c r="H10802" s="2"/>
    </row>
    <row r="10803" spans="8:9">
      <c r="H10803" s="2"/>
    </row>
    <row r="10804" spans="8:9">
      <c r="H10804" s="2"/>
    </row>
    <row r="10805" spans="8:9">
      <c r="H10805" s="2"/>
    </row>
    <row r="10806" spans="8:9">
      <c r="H10806" s="2"/>
      <c r="I10806" s="2"/>
    </row>
    <row r="10807" spans="8:9">
      <c r="H10807" s="2"/>
      <c r="I10807" s="2"/>
    </row>
    <row r="10808" spans="8:9">
      <c r="H10808" s="2"/>
    </row>
    <row r="10809" spans="8:9">
      <c r="H10809" s="2"/>
    </row>
    <row r="10810" spans="8:9">
      <c r="H10810" s="2"/>
    </row>
    <row r="10811" spans="8:9">
      <c r="H10811" s="2"/>
    </row>
    <row r="10812" spans="8:9">
      <c r="H10812" s="2"/>
    </row>
    <row r="10813" spans="8:9">
      <c r="H10813" s="2"/>
    </row>
    <row r="10814" spans="8:9">
      <c r="H10814" s="2"/>
    </row>
    <row r="10815" spans="8:9">
      <c r="H10815" s="2"/>
    </row>
    <row r="10816" spans="8:9">
      <c r="H10816" s="2"/>
      <c r="I10816" s="2"/>
    </row>
    <row r="10817" spans="8:9">
      <c r="H10817" s="2"/>
    </row>
    <row r="10818" spans="8:9">
      <c r="H10818" s="2"/>
    </row>
    <row r="10819" spans="8:9">
      <c r="H10819" s="2"/>
      <c r="I10819" s="2"/>
    </row>
    <row r="10820" spans="8:9">
      <c r="H10820" s="2"/>
    </row>
    <row r="10821" spans="8:9">
      <c r="H10821" s="2"/>
      <c r="I10821" s="2"/>
    </row>
    <row r="10822" spans="8:9">
      <c r="H10822" s="2"/>
      <c r="I10822" s="2"/>
    </row>
    <row r="10823" spans="8:9">
      <c r="H10823" s="2"/>
      <c r="I10823" s="2"/>
    </row>
    <row r="10824" spans="8:9">
      <c r="H10824" s="2"/>
      <c r="I10824" s="2"/>
    </row>
    <row r="10825" spans="8:9">
      <c r="H10825" s="2"/>
    </row>
    <row r="10826" spans="8:9">
      <c r="H10826" s="2"/>
    </row>
    <row r="10827" spans="8:9">
      <c r="H10827" s="2"/>
      <c r="I10827" s="2"/>
    </row>
    <row r="10828" spans="8:9">
      <c r="H10828" s="2"/>
    </row>
    <row r="10829" spans="8:9">
      <c r="H10829" s="2"/>
      <c r="I10829" s="2"/>
    </row>
    <row r="10830" spans="8:9">
      <c r="H10830" s="2"/>
    </row>
    <row r="10831" spans="8:9">
      <c r="H10831" s="2"/>
    </row>
    <row r="10832" spans="8:9">
      <c r="H10832" s="2"/>
    </row>
    <row r="10833" spans="8:9">
      <c r="H10833" s="2"/>
      <c r="I10833" s="2"/>
    </row>
    <row r="10834" spans="8:9">
      <c r="H10834" s="2"/>
      <c r="I10834" s="2"/>
    </row>
    <row r="10835" spans="8:9">
      <c r="H10835" s="2"/>
      <c r="I10835" s="2"/>
    </row>
    <row r="10836" spans="8:9">
      <c r="H10836" s="2"/>
      <c r="I10836" s="2"/>
    </row>
    <row r="10837" spans="8:9">
      <c r="H10837" s="2"/>
      <c r="I10837" s="2"/>
    </row>
    <row r="10838" spans="8:9">
      <c r="H10838" s="2"/>
    </row>
    <row r="10839" spans="8:9">
      <c r="H10839" s="2"/>
      <c r="I10839" s="2"/>
    </row>
    <row r="10840" spans="8:9">
      <c r="H10840" s="2"/>
    </row>
    <row r="10841" spans="8:9">
      <c r="H10841" s="2"/>
    </row>
    <row r="10842" spans="8:9">
      <c r="H10842" s="2"/>
    </row>
    <row r="10843" spans="8:9">
      <c r="H10843" s="2"/>
    </row>
    <row r="10844" spans="8:9">
      <c r="H10844" s="2"/>
    </row>
    <row r="10845" spans="8:9">
      <c r="H10845" s="2"/>
    </row>
    <row r="10846" spans="8:9">
      <c r="H10846" s="2"/>
    </row>
    <row r="10847" spans="8:9">
      <c r="H10847" s="2"/>
    </row>
    <row r="10848" spans="8:9">
      <c r="H10848" s="2"/>
    </row>
    <row r="10849" spans="8:8">
      <c r="H10849" s="2"/>
    </row>
    <row r="10850" spans="8:8">
      <c r="H10850" s="2"/>
    </row>
    <row r="10851" spans="8:8">
      <c r="H10851" s="2"/>
    </row>
    <row r="10852" spans="8:8">
      <c r="H10852" s="2"/>
    </row>
    <row r="10853" spans="8:8">
      <c r="H10853" s="2"/>
    </row>
    <row r="10854" spans="8:8">
      <c r="H10854" s="2"/>
    </row>
    <row r="10855" spans="8:8">
      <c r="H10855" s="2"/>
    </row>
    <row r="10856" spans="8:8">
      <c r="H10856" s="2"/>
    </row>
    <row r="10857" spans="8:8">
      <c r="H10857" s="2"/>
    </row>
    <row r="10858" spans="8:8">
      <c r="H10858" s="2"/>
    </row>
    <row r="10859" spans="8:8">
      <c r="H10859" s="2"/>
    </row>
    <row r="10860" spans="8:8">
      <c r="H10860" s="2"/>
    </row>
    <row r="10861" spans="8:8">
      <c r="H10861" s="2"/>
    </row>
    <row r="10862" spans="8:8">
      <c r="H10862" s="2"/>
    </row>
    <row r="10863" spans="8:8">
      <c r="H10863" s="2"/>
    </row>
    <row r="10864" spans="8:8">
      <c r="H10864" s="2"/>
    </row>
    <row r="10865" spans="8:8">
      <c r="H10865" s="2"/>
    </row>
    <row r="10866" spans="8:8">
      <c r="H10866" s="2"/>
    </row>
    <row r="10867" spans="8:8">
      <c r="H10867" s="2"/>
    </row>
    <row r="10868" spans="8:8">
      <c r="H10868" s="2"/>
    </row>
    <row r="10869" spans="8:8">
      <c r="H10869" s="2"/>
    </row>
    <row r="10870" spans="8:8">
      <c r="H10870" s="2"/>
    </row>
    <row r="10871" spans="8:8">
      <c r="H10871" s="2"/>
    </row>
    <row r="10872" spans="8:8">
      <c r="H10872" s="2"/>
    </row>
    <row r="10873" spans="8:8">
      <c r="H10873" s="2"/>
    </row>
    <row r="10874" spans="8:8">
      <c r="H10874" s="2"/>
    </row>
    <row r="10875" spans="8:8">
      <c r="H10875" s="2"/>
    </row>
    <row r="10876" spans="8:8">
      <c r="H10876" s="2"/>
    </row>
    <row r="10877" spans="8:8">
      <c r="H10877" s="2"/>
    </row>
    <row r="10878" spans="8:8">
      <c r="H10878" s="2"/>
    </row>
    <row r="10879" spans="8:8">
      <c r="H10879" s="2"/>
    </row>
    <row r="10880" spans="8:8">
      <c r="H10880" s="2"/>
    </row>
    <row r="10881" spans="8:8">
      <c r="H10881" s="2"/>
    </row>
    <row r="10882" spans="8:8">
      <c r="H10882" s="2"/>
    </row>
    <row r="10883" spans="8:8">
      <c r="H10883" s="2"/>
    </row>
    <row r="10884" spans="8:8">
      <c r="H10884" s="2"/>
    </row>
    <row r="10885" spans="8:8">
      <c r="H10885" s="2"/>
    </row>
    <row r="10886" spans="8:8">
      <c r="H10886" s="2"/>
    </row>
    <row r="10887" spans="8:8">
      <c r="H10887" s="2"/>
    </row>
    <row r="10888" spans="8:8">
      <c r="H10888" s="2"/>
    </row>
    <row r="10889" spans="8:8">
      <c r="H10889" s="2"/>
    </row>
    <row r="10890" spans="8:8">
      <c r="H10890" s="2"/>
    </row>
    <row r="10891" spans="8:8">
      <c r="H10891" s="2"/>
    </row>
    <row r="10892" spans="8:8">
      <c r="H10892" s="2"/>
    </row>
    <row r="10893" spans="8:8">
      <c r="H10893" s="2"/>
    </row>
    <row r="10894" spans="8:8">
      <c r="H10894" s="2"/>
    </row>
    <row r="10895" spans="8:8">
      <c r="H10895" s="2"/>
    </row>
    <row r="11005" spans="10:10">
      <c r="J11005" s="2"/>
    </row>
    <row r="11012" spans="9:9">
      <c r="I11012" s="2"/>
    </row>
    <row r="11013" spans="9:9">
      <c r="I11013" s="2"/>
    </row>
    <row r="11075" spans="9:9">
      <c r="I11075" s="2"/>
    </row>
    <row r="11106" spans="9:9">
      <c r="I11106" s="2"/>
    </row>
    <row r="11120" spans="9:9">
      <c r="I11120" s="2"/>
    </row>
    <row r="11125" spans="9:9">
      <c r="I11125" s="2"/>
    </row>
    <row r="11126" spans="9:9">
      <c r="I11126" s="2"/>
    </row>
    <row r="11130" spans="9:9">
      <c r="I11130" s="2"/>
    </row>
    <row r="11132" spans="9:9">
      <c r="I11132" s="2"/>
    </row>
    <row r="11136" spans="9:9">
      <c r="I11136" s="2"/>
    </row>
    <row r="11137" spans="9:9">
      <c r="I11137" s="2"/>
    </row>
    <row r="11138" spans="9:9">
      <c r="I11138" s="2"/>
    </row>
    <row r="11140" spans="9:9">
      <c r="I11140" s="2"/>
    </row>
    <row r="11144" spans="9:9">
      <c r="I11144" s="2"/>
    </row>
    <row r="11146" spans="9:9">
      <c r="I11146" s="2"/>
    </row>
    <row r="11148" spans="9:9">
      <c r="I11148" s="2"/>
    </row>
    <row r="11151" spans="9:9">
      <c r="I11151" s="2"/>
    </row>
    <row r="11152" spans="9:9">
      <c r="I11152" s="2"/>
    </row>
    <row r="11153" spans="9:9">
      <c r="I11153" s="2"/>
    </row>
    <row r="11154" spans="9:9">
      <c r="I11154" s="2"/>
    </row>
    <row r="11155" spans="9:9">
      <c r="I11155" s="2"/>
    </row>
    <row r="11158" spans="9:9">
      <c r="I11158" s="2"/>
    </row>
    <row r="11160" spans="9:9">
      <c r="I11160" s="2"/>
    </row>
    <row r="11161" spans="9:9">
      <c r="I11161" s="2"/>
    </row>
    <row r="11163" spans="9:9">
      <c r="I11163" s="2"/>
    </row>
    <row r="11166" spans="9:9">
      <c r="I11166" s="2"/>
    </row>
    <row r="11167" spans="9:9">
      <c r="I11167" s="2"/>
    </row>
    <row r="11168" spans="9:9">
      <c r="I11168" s="2"/>
    </row>
    <row r="11170" spans="9:9">
      <c r="I11170" s="2"/>
    </row>
    <row r="11174" spans="9:9">
      <c r="I11174" s="2"/>
    </row>
    <row r="11175" spans="9:9">
      <c r="I11175" s="2"/>
    </row>
    <row r="11176" spans="9:9">
      <c r="I11176" s="2"/>
    </row>
    <row r="11191" spans="9:9">
      <c r="I11191" s="2"/>
    </row>
    <row r="11207" spans="9:10">
      <c r="I11207" s="2"/>
    </row>
    <row r="11209" spans="9:10">
      <c r="I11209" s="2"/>
    </row>
    <row r="11211" spans="9:10">
      <c r="J11211" s="2"/>
    </row>
    <row r="11215" spans="9:10">
      <c r="J11215" s="2"/>
    </row>
    <row r="11218" spans="9:10">
      <c r="J11218" s="2"/>
    </row>
    <row r="11219" spans="9:10">
      <c r="I11219" s="2"/>
    </row>
    <row r="11220" spans="9:10">
      <c r="I11220" s="2"/>
    </row>
    <row r="11253" spans="9:10">
      <c r="I11253" s="2"/>
    </row>
    <row r="11254" spans="9:10">
      <c r="I11254" s="2"/>
    </row>
    <row r="11255" spans="9:10">
      <c r="I11255" s="2"/>
    </row>
    <row r="11256" spans="9:10">
      <c r="I11256" s="2"/>
    </row>
    <row r="11257" spans="9:10">
      <c r="I11257" s="2"/>
    </row>
    <row r="11258" spans="9:10">
      <c r="I11258" s="2"/>
    </row>
    <row r="11262" spans="9:10">
      <c r="J11262" s="2"/>
    </row>
    <row r="11284" spans="9:9">
      <c r="I11284" s="2"/>
    </row>
    <row r="11285" spans="9:9">
      <c r="I11285" s="2"/>
    </row>
    <row r="11287" spans="9:9">
      <c r="I11287" s="2"/>
    </row>
    <row r="11297" spans="9:9">
      <c r="I11297" s="2"/>
    </row>
    <row r="11300" spans="9:9">
      <c r="I11300" s="2"/>
    </row>
    <row r="11301" spans="9:9">
      <c r="I11301" s="2"/>
    </row>
    <row r="11302" spans="9:9">
      <c r="I11302" s="2"/>
    </row>
    <row r="11303" spans="9:9">
      <c r="I11303" s="2"/>
    </row>
    <row r="11304" spans="9:9">
      <c r="I11304" s="2"/>
    </row>
    <row r="11305" spans="9:9">
      <c r="I11305" s="2"/>
    </row>
    <row r="11306" spans="9:9">
      <c r="I11306" s="2"/>
    </row>
    <row r="11307" spans="9:9">
      <c r="I11307" s="2"/>
    </row>
    <row r="11308" spans="9:9">
      <c r="I11308" s="2"/>
    </row>
    <row r="11309" spans="9:9">
      <c r="I11309" s="2"/>
    </row>
    <row r="11310" spans="9:9">
      <c r="I11310" s="2"/>
    </row>
    <row r="11311" spans="9:9">
      <c r="I11311" s="2"/>
    </row>
    <row r="11313" spans="9:9">
      <c r="I11313" s="2"/>
    </row>
    <row r="11314" spans="9:9">
      <c r="I11314" s="2"/>
    </row>
    <row r="11315" spans="9:9">
      <c r="I11315" s="2"/>
    </row>
    <row r="11321" spans="9:9">
      <c r="I11321" s="2"/>
    </row>
    <row r="11323" spans="9:9">
      <c r="I11323" s="2"/>
    </row>
    <row r="11324" spans="9:9">
      <c r="I11324" s="2"/>
    </row>
    <row r="11325" spans="9:9">
      <c r="I11325" s="2"/>
    </row>
    <row r="11327" spans="9:9">
      <c r="I11327" s="2"/>
    </row>
    <row r="11329" spans="9:9">
      <c r="I11329" s="2"/>
    </row>
    <row r="11330" spans="9:9">
      <c r="I11330" s="2"/>
    </row>
    <row r="11332" spans="9:9">
      <c r="I11332" s="2"/>
    </row>
    <row r="11333" spans="9:9">
      <c r="I11333" s="2"/>
    </row>
    <row r="11334" spans="9:9">
      <c r="I11334" s="2"/>
    </row>
    <row r="11336" spans="9:9">
      <c r="I11336" s="2"/>
    </row>
    <row r="11337" spans="9:9">
      <c r="I11337" s="2"/>
    </row>
    <row r="11338" spans="9:9">
      <c r="I11338" s="2"/>
    </row>
    <row r="11339" spans="9:9">
      <c r="I11339" s="2"/>
    </row>
    <row r="11340" spans="9:9">
      <c r="I11340" s="2"/>
    </row>
    <row r="11341" spans="9:9">
      <c r="I11341" s="2"/>
    </row>
    <row r="11342" spans="9:9">
      <c r="I11342" s="2"/>
    </row>
    <row r="11343" spans="9:9">
      <c r="I11343" s="2"/>
    </row>
    <row r="11344" spans="9:9">
      <c r="I11344" s="2"/>
    </row>
    <row r="11345" spans="9:9">
      <c r="I11345" s="2"/>
    </row>
    <row r="11346" spans="9:9">
      <c r="I11346" s="2"/>
    </row>
    <row r="11347" spans="9:9">
      <c r="I11347" s="2"/>
    </row>
    <row r="11348" spans="9:9">
      <c r="I11348" s="2"/>
    </row>
    <row r="11349" spans="9:9">
      <c r="I11349" s="2"/>
    </row>
    <row r="11352" spans="9:9">
      <c r="I11352" s="2"/>
    </row>
    <row r="11353" spans="9:9">
      <c r="I11353" s="2"/>
    </row>
    <row r="11354" spans="9:9">
      <c r="I11354" s="2"/>
    </row>
    <row r="11355" spans="9:9">
      <c r="I11355" s="2"/>
    </row>
    <row r="11356" spans="9:9">
      <c r="I11356" s="2"/>
    </row>
    <row r="11357" spans="9:9">
      <c r="I11357" s="2"/>
    </row>
    <row r="11358" spans="9:9">
      <c r="I11358" s="2"/>
    </row>
    <row r="11359" spans="9:9">
      <c r="I11359" s="2"/>
    </row>
    <row r="11360" spans="9:9">
      <c r="I11360" s="2"/>
    </row>
    <row r="11361" spans="9:9">
      <c r="I11361" s="2"/>
    </row>
    <row r="11362" spans="9:9">
      <c r="I11362" s="2"/>
    </row>
    <row r="11365" spans="9:9">
      <c r="I11365" s="2"/>
    </row>
    <row r="11366" spans="9:9">
      <c r="I11366" s="2"/>
    </row>
    <row r="11367" spans="9:9">
      <c r="I11367" s="2"/>
    </row>
    <row r="11388" spans="9:9">
      <c r="I11388" s="2"/>
    </row>
    <row r="11390" spans="9:9">
      <c r="I11390" s="2"/>
    </row>
    <row r="11393" spans="9:9">
      <c r="I11393" s="2"/>
    </row>
    <row r="11394" spans="9:9">
      <c r="I11394" s="2"/>
    </row>
    <row r="11395" spans="9:9">
      <c r="I11395" s="2"/>
    </row>
    <row r="11398" spans="9:9">
      <c r="I11398" s="2"/>
    </row>
    <row r="11399" spans="9:9">
      <c r="I11399" s="2"/>
    </row>
    <row r="11400" spans="9:9">
      <c r="I11400" s="2"/>
    </row>
    <row r="11401" spans="9:9">
      <c r="I11401" s="2"/>
    </row>
    <row r="11402" spans="9:9">
      <c r="I11402" s="2"/>
    </row>
    <row r="11403" spans="9:9">
      <c r="I11403" s="2"/>
    </row>
    <row r="11404" spans="9:9">
      <c r="I11404" s="2"/>
    </row>
    <row r="11405" spans="9:9">
      <c r="I11405" s="2"/>
    </row>
    <row r="11406" spans="9:9">
      <c r="I11406" s="2"/>
    </row>
    <row r="11407" spans="9:9">
      <c r="I11407" s="2"/>
    </row>
    <row r="11408" spans="9:9">
      <c r="I11408" s="2"/>
    </row>
    <row r="11409" spans="9:9">
      <c r="I11409" s="2"/>
    </row>
    <row r="11410" spans="9:9">
      <c r="I11410" s="2"/>
    </row>
    <row r="11411" spans="9:9">
      <c r="I11411" s="2"/>
    </row>
    <row r="11412" spans="9:9">
      <c r="I11412" s="2"/>
    </row>
    <row r="11413" spans="9:9">
      <c r="I11413" s="2"/>
    </row>
    <row r="11414" spans="9:9">
      <c r="I11414" s="2"/>
    </row>
    <row r="11415" spans="9:9">
      <c r="I11415" s="2"/>
    </row>
    <row r="11416" spans="9:9">
      <c r="I11416" s="2"/>
    </row>
    <row r="11422" spans="9:9">
      <c r="I11422" s="2"/>
    </row>
    <row r="11425" spans="9:9">
      <c r="I11425" s="2"/>
    </row>
    <row r="11426" spans="9:9">
      <c r="I11426" s="2"/>
    </row>
    <row r="11428" spans="9:9">
      <c r="I11428" s="2"/>
    </row>
    <row r="11429" spans="9:9">
      <c r="I11429" s="2"/>
    </row>
    <row r="11433" spans="9:9">
      <c r="I11433" s="2"/>
    </row>
    <row r="11434" spans="9:9">
      <c r="I11434" s="2"/>
    </row>
    <row r="11435" spans="9:9">
      <c r="I11435" s="2"/>
    </row>
    <row r="11436" spans="9:9">
      <c r="I11436" s="2"/>
    </row>
    <row r="11437" spans="9:9">
      <c r="I11437" s="2"/>
    </row>
    <row r="11438" spans="9:9">
      <c r="I11438" s="2"/>
    </row>
    <row r="11439" spans="9:9">
      <c r="I11439" s="2"/>
    </row>
    <row r="11440" spans="9:9">
      <c r="I11440" s="2"/>
    </row>
    <row r="11445" spans="9:9">
      <c r="I11445" s="2"/>
    </row>
    <row r="11446" spans="9:9">
      <c r="I11446" s="2"/>
    </row>
    <row r="11449" spans="9:9">
      <c r="I11449" s="2"/>
    </row>
    <row r="11450" spans="9:9">
      <c r="I11450" s="2"/>
    </row>
    <row r="11452" spans="9:9">
      <c r="I11452" s="2"/>
    </row>
    <row r="11455" spans="9:9">
      <c r="I11455" s="2"/>
    </row>
    <row r="11458" spans="9:9">
      <c r="I11458" s="2"/>
    </row>
    <row r="11460" spans="9:9">
      <c r="I11460" s="2"/>
    </row>
    <row r="11461" spans="9:9">
      <c r="I11461" s="2"/>
    </row>
    <row r="11462" spans="9:9">
      <c r="I11462" s="2"/>
    </row>
    <row r="11463" spans="9:9">
      <c r="I11463" s="2"/>
    </row>
    <row r="11464" spans="9:9">
      <c r="I11464" s="2"/>
    </row>
    <row r="11465" spans="9:9">
      <c r="I11465" s="2"/>
    </row>
    <row r="11466" spans="9:9">
      <c r="I11466" s="2"/>
    </row>
    <row r="11469" spans="9:9">
      <c r="I11469" s="2"/>
    </row>
    <row r="11470" spans="9:9">
      <c r="I11470" s="2"/>
    </row>
    <row r="11471" spans="9:9">
      <c r="I11471" s="2"/>
    </row>
    <row r="11472" spans="9:9">
      <c r="I11472" s="2"/>
    </row>
    <row r="11473" spans="9:10">
      <c r="I11473" s="2"/>
    </row>
    <row r="11474" spans="9:10">
      <c r="I11474" s="2"/>
    </row>
    <row r="11476" spans="9:10">
      <c r="I11476" s="2"/>
    </row>
    <row r="11477" spans="9:10">
      <c r="I11477" s="2"/>
    </row>
    <row r="11478" spans="9:10">
      <c r="I11478" s="2"/>
    </row>
    <row r="11479" spans="9:10">
      <c r="I11479" s="2"/>
    </row>
    <row r="11480" spans="9:10">
      <c r="J11480" s="2"/>
    </row>
    <row r="11481" spans="9:10">
      <c r="J11481" s="2"/>
    </row>
    <row r="11482" spans="9:10">
      <c r="I11482" s="2"/>
    </row>
    <row r="11483" spans="9:10">
      <c r="I11483" s="2"/>
    </row>
    <row r="11484" spans="9:10">
      <c r="I11484" s="2"/>
    </row>
    <row r="11485" spans="9:10">
      <c r="I11485" s="2"/>
    </row>
    <row r="11486" spans="9:10">
      <c r="I11486" s="2"/>
    </row>
    <row r="11487" spans="9:10">
      <c r="I11487" s="2"/>
    </row>
    <row r="11488" spans="9:10">
      <c r="I11488" s="2"/>
    </row>
    <row r="11489" spans="9:9">
      <c r="I11489" s="2"/>
    </row>
    <row r="11491" spans="9:9">
      <c r="I11491" s="2"/>
    </row>
    <row r="11492" spans="9:9">
      <c r="I11492" s="2"/>
    </row>
    <row r="11493" spans="9:9">
      <c r="I11493" s="2"/>
    </row>
    <row r="11494" spans="9:9">
      <c r="I11494" s="2"/>
    </row>
    <row r="11495" spans="9:9">
      <c r="I11495" s="2"/>
    </row>
    <row r="11496" spans="9:9">
      <c r="I11496" s="2"/>
    </row>
    <row r="11499" spans="9:9">
      <c r="I11499" s="2"/>
    </row>
    <row r="11500" spans="9:9">
      <c r="I11500" s="2"/>
    </row>
    <row r="11504" spans="9:9">
      <c r="I11504" s="2"/>
    </row>
    <row r="11507" spans="9:10">
      <c r="I11507" s="2"/>
    </row>
    <row r="11510" spans="9:10">
      <c r="I11510" s="2"/>
    </row>
    <row r="11513" spans="9:10">
      <c r="J11513" s="2"/>
    </row>
    <row r="11514" spans="9:10">
      <c r="I11514" s="2"/>
    </row>
    <row r="11515" spans="9:10">
      <c r="I11515" s="2"/>
    </row>
    <row r="11516" spans="9:10">
      <c r="I11516" s="2"/>
    </row>
    <row r="11532" spans="9:9">
      <c r="I11532" s="2"/>
    </row>
    <row r="11537" spans="9:10">
      <c r="J11537" s="2"/>
    </row>
    <row r="11538" spans="9:10">
      <c r="I11538" s="2"/>
    </row>
    <row r="11540" spans="9:10">
      <c r="I11540" s="2"/>
    </row>
    <row r="11549" spans="9:10">
      <c r="I11549" s="2"/>
    </row>
    <row r="11551" spans="9:10">
      <c r="I11551" s="2"/>
    </row>
    <row r="11558" spans="9:10">
      <c r="I11558" s="2"/>
    </row>
    <row r="11562" spans="9:10">
      <c r="J11562" s="2"/>
    </row>
    <row r="11564" spans="9:10">
      <c r="J11564" s="2"/>
    </row>
    <row r="11565" spans="9:10">
      <c r="J11565" s="2"/>
    </row>
    <row r="11575" spans="9:9">
      <c r="I11575" s="2"/>
    </row>
    <row r="11578" spans="9:9">
      <c r="I11578" s="2"/>
    </row>
    <row r="11582" spans="9:9">
      <c r="I11582" s="2"/>
    </row>
    <row r="11587" spans="8:9">
      <c r="I11587" s="2"/>
    </row>
    <row r="11592" spans="8:9">
      <c r="I11592" s="2"/>
    </row>
    <row r="11599" spans="8:9">
      <c r="H11599" s="2"/>
    </row>
    <row r="11600" spans="8:9">
      <c r="H11600" s="2"/>
    </row>
    <row r="11601" spans="8:8">
      <c r="H11601" s="2"/>
    </row>
    <row r="11602" spans="8:8">
      <c r="H11602" s="2"/>
    </row>
    <row r="11603" spans="8:8">
      <c r="H11603" s="2"/>
    </row>
    <row r="11604" spans="8:8">
      <c r="H11604" s="2"/>
    </row>
    <row r="11605" spans="8:8">
      <c r="H11605" s="2"/>
    </row>
    <row r="11606" spans="8:8">
      <c r="H11606" s="2"/>
    </row>
    <row r="11607" spans="8:8">
      <c r="H11607" s="2"/>
    </row>
    <row r="11608" spans="8:8">
      <c r="H11608" s="2"/>
    </row>
    <row r="11609" spans="8:8">
      <c r="H11609" s="2"/>
    </row>
    <row r="11610" spans="8:8">
      <c r="H11610" s="2"/>
    </row>
    <row r="11611" spans="8:8">
      <c r="H11611" s="2"/>
    </row>
    <row r="11612" spans="8:8">
      <c r="H11612" s="2"/>
    </row>
    <row r="11613" spans="8:8">
      <c r="H11613" s="2"/>
    </row>
    <row r="11614" spans="8:8">
      <c r="H11614" s="2"/>
    </row>
    <row r="11615" spans="8:8">
      <c r="H11615" s="2"/>
    </row>
    <row r="11616" spans="8:8">
      <c r="H11616" s="2"/>
    </row>
    <row r="11617" spans="8:10">
      <c r="H11617" s="2"/>
    </row>
    <row r="11618" spans="8:10">
      <c r="H11618" s="2"/>
    </row>
    <row r="11619" spans="8:10">
      <c r="H11619" s="2"/>
    </row>
    <row r="11620" spans="8:10">
      <c r="H11620" s="2"/>
    </row>
    <row r="11621" spans="8:10">
      <c r="H11621" s="2"/>
    </row>
    <row r="11622" spans="8:10">
      <c r="H11622" s="2"/>
    </row>
    <row r="11623" spans="8:10">
      <c r="H11623" s="2"/>
    </row>
    <row r="11624" spans="8:10">
      <c r="H11624" s="2"/>
      <c r="J11624" s="2"/>
    </row>
    <row r="11625" spans="8:10">
      <c r="H11625" s="2"/>
      <c r="J11625" s="2"/>
    </row>
    <row r="11626" spans="8:10">
      <c r="H11626" s="2"/>
      <c r="J11626" s="2"/>
    </row>
    <row r="11627" spans="8:10">
      <c r="H11627" s="2"/>
      <c r="J11627" s="2"/>
    </row>
    <row r="11628" spans="8:10">
      <c r="H11628" s="2"/>
      <c r="J11628" s="2"/>
    </row>
    <row r="11629" spans="8:10">
      <c r="H11629" s="2"/>
      <c r="J11629" s="2"/>
    </row>
    <row r="11630" spans="8:10">
      <c r="H11630" s="2"/>
      <c r="J11630" s="2"/>
    </row>
    <row r="11631" spans="8:10">
      <c r="H11631" s="2"/>
      <c r="J11631" s="2"/>
    </row>
    <row r="11632" spans="8:10">
      <c r="H11632" s="2"/>
      <c r="J11632" s="2"/>
    </row>
    <row r="11633" spans="8:10">
      <c r="H11633" s="2"/>
      <c r="J11633" s="2"/>
    </row>
    <row r="11635" spans="8:10">
      <c r="H11635" s="2"/>
    </row>
    <row r="11636" spans="8:10">
      <c r="H11636" s="2"/>
    </row>
    <row r="11637" spans="8:10">
      <c r="H11637" s="2"/>
    </row>
    <row r="11638" spans="8:10">
      <c r="H11638" s="2"/>
    </row>
    <row r="11639" spans="8:10">
      <c r="H11639" s="2"/>
    </row>
    <row r="11640" spans="8:10">
      <c r="H11640" s="2"/>
    </row>
    <row r="11641" spans="8:10">
      <c r="H11641" s="2"/>
    </row>
    <row r="11642" spans="8:10">
      <c r="H11642" s="2"/>
      <c r="I11642" s="2"/>
    </row>
    <row r="11643" spans="8:10">
      <c r="H11643" s="2"/>
    </row>
    <row r="11644" spans="8:10">
      <c r="H11644" s="2"/>
    </row>
    <row r="11645" spans="8:10">
      <c r="H11645" s="2"/>
    </row>
    <row r="11646" spans="8:10">
      <c r="H11646" s="2"/>
    </row>
    <row r="11647" spans="8:10">
      <c r="H11647" s="2"/>
      <c r="I11647" s="2"/>
    </row>
    <row r="11648" spans="8:10">
      <c r="H11648" s="2"/>
      <c r="I11648" s="2"/>
    </row>
    <row r="11649" spans="8:9">
      <c r="H11649" s="2"/>
      <c r="I11649" s="2"/>
    </row>
    <row r="11650" spans="8:9">
      <c r="H11650" s="2"/>
    </row>
    <row r="11651" spans="8:9">
      <c r="H11651" s="2"/>
    </row>
    <row r="11652" spans="8:9">
      <c r="H11652" s="2"/>
    </row>
    <row r="11653" spans="8:9">
      <c r="H11653" s="2"/>
    </row>
    <row r="11654" spans="8:9">
      <c r="H11654" s="2"/>
    </row>
    <row r="11655" spans="8:9">
      <c r="H11655" s="2"/>
    </row>
    <row r="11656" spans="8:9">
      <c r="H11656" s="2"/>
    </row>
    <row r="11657" spans="8:9">
      <c r="H11657" s="2"/>
    </row>
    <row r="11658" spans="8:9">
      <c r="H11658" s="2"/>
    </row>
    <row r="11659" spans="8:9">
      <c r="H11659" s="2"/>
    </row>
    <row r="11660" spans="8:9">
      <c r="H11660" s="2"/>
    </row>
    <row r="11661" spans="8:9">
      <c r="H11661" s="2"/>
    </row>
    <row r="11662" spans="8:9">
      <c r="H11662" s="2"/>
    </row>
    <row r="11663" spans="8:9">
      <c r="H11663" s="2"/>
    </row>
    <row r="11664" spans="8:9">
      <c r="H11664" s="2"/>
    </row>
    <row r="11665" spans="8:9">
      <c r="H11665" s="2"/>
      <c r="I11665" s="2"/>
    </row>
    <row r="11666" spans="8:9">
      <c r="H11666" s="2"/>
    </row>
    <row r="11667" spans="8:9">
      <c r="H11667" s="2"/>
    </row>
    <row r="11668" spans="8:9">
      <c r="H11668" s="2"/>
    </row>
    <row r="11669" spans="8:9">
      <c r="H11669" s="2"/>
    </row>
    <row r="11670" spans="8:9">
      <c r="H11670" s="2"/>
      <c r="I11670" s="2"/>
    </row>
    <row r="11671" spans="8:9">
      <c r="H11671" s="2"/>
      <c r="I11671" s="2"/>
    </row>
    <row r="11672" spans="8:9">
      <c r="H11672" s="2"/>
      <c r="I11672" s="2"/>
    </row>
    <row r="11673" spans="8:9">
      <c r="H11673" s="2"/>
    </row>
    <row r="11674" spans="8:9">
      <c r="H11674" s="2"/>
    </row>
    <row r="11675" spans="8:9">
      <c r="H11675" s="2"/>
      <c r="I11675" s="2"/>
    </row>
    <row r="11676" spans="8:9">
      <c r="H11676" s="2"/>
      <c r="I11676" s="2"/>
    </row>
    <row r="11677" spans="8:9">
      <c r="H11677" s="2"/>
      <c r="I11677" s="2"/>
    </row>
    <row r="11678" spans="8:9">
      <c r="H11678" s="2"/>
    </row>
    <row r="11679" spans="8:9">
      <c r="H11679" s="2"/>
    </row>
    <row r="11680" spans="8:9">
      <c r="H11680" s="2"/>
    </row>
    <row r="11681" spans="8:9">
      <c r="H11681" s="2"/>
    </row>
    <row r="11682" spans="8:9">
      <c r="H11682" s="2"/>
    </row>
    <row r="11683" spans="8:9">
      <c r="H11683" s="2"/>
    </row>
    <row r="11684" spans="8:9">
      <c r="H11684" s="2"/>
    </row>
    <row r="11685" spans="8:9">
      <c r="H11685" s="2"/>
    </row>
    <row r="11686" spans="8:9">
      <c r="H11686" s="2"/>
    </row>
    <row r="11687" spans="8:9">
      <c r="H11687" s="2"/>
    </row>
    <row r="11688" spans="8:9">
      <c r="H11688" s="2"/>
      <c r="I11688" s="2"/>
    </row>
    <row r="11689" spans="8:9">
      <c r="H11689" s="2"/>
    </row>
    <row r="11690" spans="8:9">
      <c r="H11690" s="2"/>
    </row>
    <row r="11691" spans="8:9">
      <c r="H11691" s="2"/>
      <c r="I11691" s="2"/>
    </row>
    <row r="11692" spans="8:9">
      <c r="H11692" s="2"/>
      <c r="I11692" s="2"/>
    </row>
    <row r="11693" spans="8:9">
      <c r="H11693" s="2"/>
      <c r="I11693" s="2"/>
    </row>
    <row r="11694" spans="8:9">
      <c r="H11694" s="2"/>
      <c r="I11694" s="2"/>
    </row>
    <row r="11695" spans="8:9">
      <c r="H11695" s="2"/>
    </row>
    <row r="11696" spans="8:9">
      <c r="H11696" s="2"/>
    </row>
    <row r="11697" spans="8:9">
      <c r="H11697" s="2"/>
    </row>
    <row r="11698" spans="8:9">
      <c r="H11698" s="2"/>
    </row>
    <row r="11699" spans="8:9">
      <c r="H11699" s="2"/>
    </row>
    <row r="11700" spans="8:9">
      <c r="H11700" s="2"/>
      <c r="I11700" s="2"/>
    </row>
    <row r="11701" spans="8:9">
      <c r="H11701" s="2"/>
      <c r="I11701" s="2"/>
    </row>
    <row r="11702" spans="8:9">
      <c r="H11702" s="2"/>
      <c r="I11702" s="2"/>
    </row>
    <row r="11703" spans="8:9">
      <c r="H11703" s="2"/>
      <c r="I11703" s="2"/>
    </row>
    <row r="11704" spans="8:9">
      <c r="H11704" s="2"/>
      <c r="I11704" s="2"/>
    </row>
    <row r="11705" spans="8:9">
      <c r="H11705" s="2"/>
      <c r="I11705" s="2"/>
    </row>
    <row r="11706" spans="8:9">
      <c r="H11706" s="2"/>
      <c r="I11706" s="2"/>
    </row>
    <row r="11707" spans="8:9">
      <c r="H11707" s="2"/>
      <c r="I11707" s="2"/>
    </row>
    <row r="11708" spans="8:9">
      <c r="H11708" s="2"/>
      <c r="I11708" s="2"/>
    </row>
    <row r="11709" spans="8:9">
      <c r="H11709" s="2"/>
      <c r="I11709" s="2"/>
    </row>
    <row r="11710" spans="8:9">
      <c r="H11710" s="2"/>
      <c r="I11710" s="2"/>
    </row>
    <row r="11711" spans="8:9">
      <c r="H11711" s="2"/>
    </row>
    <row r="11712" spans="8:9">
      <c r="H11712" s="2"/>
      <c r="I11712" s="2"/>
    </row>
    <row r="11713" spans="8:10">
      <c r="H11713" s="2"/>
    </row>
    <row r="11714" spans="8:10">
      <c r="H11714" s="2"/>
      <c r="I11714" s="2"/>
    </row>
    <row r="11715" spans="8:10">
      <c r="H11715" s="2"/>
    </row>
    <row r="11716" spans="8:10">
      <c r="H11716" s="2"/>
      <c r="J11716" s="2"/>
    </row>
    <row r="11717" spans="8:10">
      <c r="H11717" s="2"/>
    </row>
    <row r="11718" spans="8:10">
      <c r="H11718" s="2"/>
    </row>
    <row r="11719" spans="8:10">
      <c r="H11719" s="2"/>
    </row>
    <row r="11720" spans="8:10">
      <c r="H11720" s="2"/>
      <c r="I11720" s="2"/>
    </row>
    <row r="11721" spans="8:10">
      <c r="H11721" s="2"/>
    </row>
    <row r="11722" spans="8:10">
      <c r="H11722" s="2"/>
      <c r="I11722" s="2"/>
    </row>
    <row r="11723" spans="8:10">
      <c r="H11723" s="2"/>
      <c r="I11723" s="2"/>
    </row>
    <row r="11724" spans="8:10">
      <c r="H11724" s="2"/>
      <c r="I11724" s="2"/>
    </row>
    <row r="11725" spans="8:10">
      <c r="H11725" s="2"/>
      <c r="I11725" s="2"/>
    </row>
    <row r="11726" spans="8:10">
      <c r="H11726" s="2"/>
      <c r="I11726" s="2"/>
    </row>
    <row r="11727" spans="8:10">
      <c r="H11727" s="2"/>
      <c r="I11727" s="2"/>
    </row>
    <row r="11728" spans="8:10">
      <c r="H11728" s="2"/>
      <c r="I11728" s="2"/>
    </row>
    <row r="11729" spans="8:9">
      <c r="H11729" s="2"/>
    </row>
    <row r="11730" spans="8:9">
      <c r="H11730" s="2"/>
      <c r="I11730" s="2"/>
    </row>
    <row r="11731" spans="8:9">
      <c r="H11731" s="2"/>
    </row>
    <row r="11732" spans="8:9">
      <c r="H11732" s="2"/>
    </row>
    <row r="11733" spans="8:9">
      <c r="H11733" s="2"/>
    </row>
    <row r="11734" spans="8:9">
      <c r="H11734" s="2"/>
    </row>
    <row r="11735" spans="8:9">
      <c r="H11735" s="2"/>
    </row>
    <row r="11736" spans="8:9">
      <c r="H11736" s="2"/>
    </row>
    <row r="11737" spans="8:9">
      <c r="H11737" s="2"/>
    </row>
    <row r="11738" spans="8:9">
      <c r="H11738" s="2"/>
      <c r="I11738" s="2"/>
    </row>
    <row r="11739" spans="8:9">
      <c r="H11739" s="2"/>
    </row>
    <row r="11740" spans="8:9">
      <c r="H11740" s="2"/>
    </row>
    <row r="11741" spans="8:9">
      <c r="H11741" s="2"/>
    </row>
    <row r="11742" spans="8:9">
      <c r="H11742" s="2"/>
    </row>
    <row r="11743" spans="8:9">
      <c r="H11743" s="2"/>
    </row>
    <row r="11744" spans="8:9">
      <c r="H11744" s="2"/>
    </row>
    <row r="11745" spans="8:9">
      <c r="H11745" s="2"/>
    </row>
    <row r="11746" spans="8:9">
      <c r="H11746" s="2"/>
    </row>
    <row r="11747" spans="8:9">
      <c r="H11747" s="2"/>
    </row>
    <row r="11748" spans="8:9">
      <c r="H11748" s="2"/>
      <c r="I11748" s="2"/>
    </row>
    <row r="11749" spans="8:9">
      <c r="H11749" s="2"/>
    </row>
    <row r="11750" spans="8:9">
      <c r="H11750" s="2"/>
    </row>
    <row r="11751" spans="8:9">
      <c r="H11751" s="2"/>
    </row>
    <row r="11752" spans="8:9">
      <c r="H11752" s="2"/>
    </row>
    <row r="11753" spans="8:9">
      <c r="H11753" s="2"/>
    </row>
    <row r="11754" spans="8:9">
      <c r="H11754" s="2"/>
    </row>
    <row r="11755" spans="8:9">
      <c r="H11755" s="2"/>
    </row>
    <row r="11756" spans="8:9">
      <c r="H11756" s="2"/>
    </row>
    <row r="11757" spans="8:9">
      <c r="H11757" s="2"/>
    </row>
    <row r="11758" spans="8:9">
      <c r="H11758" s="2"/>
    </row>
    <row r="11759" spans="8:9">
      <c r="H11759" s="2"/>
    </row>
    <row r="11760" spans="8:9">
      <c r="H11760" s="2"/>
      <c r="I11760" s="2"/>
    </row>
    <row r="11761" spans="8:9">
      <c r="H11761" s="2"/>
    </row>
    <row r="11762" spans="8:9">
      <c r="H11762" s="2"/>
      <c r="I11762" s="2"/>
    </row>
    <row r="11763" spans="8:9">
      <c r="H11763" s="2"/>
    </row>
    <row r="11764" spans="8:9">
      <c r="H11764" s="2"/>
      <c r="I11764" s="2"/>
    </row>
    <row r="11765" spans="8:9">
      <c r="H11765" s="2"/>
    </row>
    <row r="11766" spans="8:9">
      <c r="H11766" s="2"/>
      <c r="I11766" s="2"/>
    </row>
    <row r="11767" spans="8:9">
      <c r="H11767" s="2"/>
    </row>
    <row r="11768" spans="8:9">
      <c r="H11768" s="2"/>
      <c r="I11768" s="2"/>
    </row>
    <row r="11769" spans="8:9">
      <c r="H11769" s="2"/>
    </row>
    <row r="11770" spans="8:9">
      <c r="H11770" s="2"/>
    </row>
    <row r="11771" spans="8:9">
      <c r="H11771" s="2"/>
    </row>
    <row r="11772" spans="8:9">
      <c r="H11772" s="2"/>
    </row>
    <row r="11773" spans="8:9">
      <c r="H11773" s="2"/>
    </row>
    <row r="11774" spans="8:9">
      <c r="H11774" s="2"/>
    </row>
    <row r="11775" spans="8:9">
      <c r="H11775" s="2"/>
    </row>
    <row r="11776" spans="8:9">
      <c r="H11776" s="2"/>
    </row>
    <row r="11777" spans="8:9">
      <c r="H11777" s="2"/>
    </row>
    <row r="11778" spans="8:9">
      <c r="H11778" s="2"/>
    </row>
    <row r="11779" spans="8:9">
      <c r="H11779" s="2"/>
    </row>
    <row r="11780" spans="8:9">
      <c r="H11780" s="2"/>
    </row>
    <row r="11781" spans="8:9">
      <c r="H11781" s="2"/>
    </row>
    <row r="11782" spans="8:9">
      <c r="H11782" s="2"/>
      <c r="I11782" s="2"/>
    </row>
    <row r="11783" spans="8:9">
      <c r="H11783" s="2"/>
    </row>
    <row r="11784" spans="8:9">
      <c r="H11784" s="2"/>
      <c r="I11784" s="2"/>
    </row>
    <row r="11785" spans="8:9">
      <c r="H11785" s="2"/>
      <c r="I11785" s="2"/>
    </row>
    <row r="11786" spans="8:9">
      <c r="H11786" s="2"/>
      <c r="I11786" s="2"/>
    </row>
    <row r="11787" spans="8:9">
      <c r="H11787" s="2"/>
      <c r="I11787" s="2"/>
    </row>
    <row r="11788" spans="8:9">
      <c r="H11788" s="2"/>
      <c r="I11788" s="2"/>
    </row>
    <row r="11789" spans="8:9">
      <c r="H11789" s="2"/>
      <c r="I11789" s="2"/>
    </row>
    <row r="11790" spans="8:9">
      <c r="H11790" s="2"/>
      <c r="I11790" s="2"/>
    </row>
    <row r="11791" spans="8:9">
      <c r="H11791" s="2"/>
      <c r="I11791" s="2"/>
    </row>
    <row r="11792" spans="8:9">
      <c r="H11792" s="2"/>
    </row>
    <row r="11793" spans="8:9">
      <c r="H11793" s="2"/>
      <c r="I11793" s="2"/>
    </row>
    <row r="11794" spans="8:9">
      <c r="H11794" s="2"/>
      <c r="I11794" s="2"/>
    </row>
    <row r="11795" spans="8:9">
      <c r="H11795" s="2"/>
      <c r="I11795" s="2"/>
    </row>
    <row r="11796" spans="8:9">
      <c r="H11796" s="2"/>
      <c r="I11796" s="2"/>
    </row>
    <row r="11797" spans="8:9">
      <c r="H11797" s="2"/>
    </row>
    <row r="11798" spans="8:9">
      <c r="H11798" s="2"/>
    </row>
    <row r="11799" spans="8:9">
      <c r="H11799" s="2"/>
      <c r="I11799" s="2"/>
    </row>
    <row r="11800" spans="8:9">
      <c r="H11800" s="2"/>
      <c r="I11800" s="2"/>
    </row>
    <row r="11801" spans="8:9">
      <c r="H11801" s="2"/>
      <c r="I11801" s="2"/>
    </row>
    <row r="11802" spans="8:9">
      <c r="H11802" s="2"/>
      <c r="I11802" s="2"/>
    </row>
    <row r="11803" spans="8:9">
      <c r="H11803" s="2"/>
      <c r="I11803" s="2"/>
    </row>
    <row r="11804" spans="8:9">
      <c r="H11804" s="2"/>
      <c r="I11804" s="2"/>
    </row>
    <row r="11805" spans="8:9">
      <c r="H11805" s="2"/>
      <c r="I11805" s="2"/>
    </row>
    <row r="11806" spans="8:9">
      <c r="H11806" s="2"/>
    </row>
    <row r="11807" spans="8:9">
      <c r="H11807" s="2"/>
      <c r="I11807" s="2"/>
    </row>
    <row r="11808" spans="8:9">
      <c r="H11808" s="2"/>
      <c r="I11808" s="2"/>
    </row>
    <row r="11809" spans="8:9">
      <c r="H11809" s="2"/>
      <c r="I11809" s="2"/>
    </row>
    <row r="11810" spans="8:9">
      <c r="H11810" s="2"/>
      <c r="I11810" s="2"/>
    </row>
    <row r="11811" spans="8:9">
      <c r="H11811" s="2"/>
      <c r="I11811" s="2"/>
    </row>
    <row r="11812" spans="8:9">
      <c r="H11812" s="2"/>
      <c r="I11812" s="2"/>
    </row>
    <row r="11813" spans="8:9">
      <c r="H11813" s="2"/>
      <c r="I11813" s="2"/>
    </row>
    <row r="11814" spans="8:9">
      <c r="H11814" s="2"/>
      <c r="I11814" s="2"/>
    </row>
    <row r="11815" spans="8:9">
      <c r="H11815" s="2"/>
      <c r="I11815" s="2"/>
    </row>
    <row r="11816" spans="8:9">
      <c r="H11816" s="2"/>
    </row>
    <row r="11817" spans="8:9">
      <c r="H11817" s="2"/>
    </row>
    <row r="11818" spans="8:9">
      <c r="H11818" s="2"/>
      <c r="I11818" s="2"/>
    </row>
    <row r="11819" spans="8:9">
      <c r="H11819" s="2"/>
      <c r="I11819" s="2"/>
    </row>
    <row r="11820" spans="8:9">
      <c r="H11820" s="2"/>
    </row>
    <row r="11821" spans="8:9">
      <c r="H11821" s="2"/>
    </row>
    <row r="11822" spans="8:9">
      <c r="H11822" s="2"/>
    </row>
    <row r="11823" spans="8:9">
      <c r="H11823" s="2"/>
    </row>
    <row r="11824" spans="8:9">
      <c r="H11824" s="2"/>
      <c r="I11824" s="2"/>
    </row>
    <row r="11825" spans="8:9">
      <c r="H11825" s="2"/>
      <c r="I11825" s="2"/>
    </row>
    <row r="11826" spans="8:9">
      <c r="H11826" s="2"/>
      <c r="I11826" s="2"/>
    </row>
    <row r="11827" spans="8:9">
      <c r="H11827" s="2"/>
    </row>
    <row r="11828" spans="8:9">
      <c r="H11828" s="2"/>
    </row>
    <row r="11829" spans="8:9">
      <c r="H11829" s="2"/>
    </row>
    <row r="11830" spans="8:9">
      <c r="H11830" s="2"/>
    </row>
    <row r="11831" spans="8:9">
      <c r="H11831" s="2"/>
    </row>
    <row r="11832" spans="8:9">
      <c r="H11832" s="2"/>
    </row>
    <row r="11833" spans="8:9">
      <c r="H11833" s="2"/>
      <c r="I11833" s="2"/>
    </row>
    <row r="11834" spans="8:9">
      <c r="H11834" s="2"/>
      <c r="I11834" s="2"/>
    </row>
    <row r="11835" spans="8:9">
      <c r="H11835" s="2"/>
      <c r="I11835" s="2"/>
    </row>
    <row r="11836" spans="8:9">
      <c r="H11836" s="2"/>
      <c r="I11836" s="2"/>
    </row>
    <row r="11837" spans="8:9">
      <c r="H11837" s="2"/>
      <c r="I11837" s="2"/>
    </row>
    <row r="11838" spans="8:9">
      <c r="H11838" s="2"/>
      <c r="I11838" s="2"/>
    </row>
    <row r="11839" spans="8:9">
      <c r="H11839" s="2"/>
      <c r="I11839" s="2"/>
    </row>
    <row r="11840" spans="8:9">
      <c r="H11840" s="2"/>
    </row>
    <row r="11841" spans="8:9">
      <c r="H11841" s="2"/>
      <c r="I11841" s="2"/>
    </row>
    <row r="11842" spans="8:9">
      <c r="H11842" s="2"/>
      <c r="I11842" s="2"/>
    </row>
    <row r="11843" spans="8:9">
      <c r="H11843" s="2"/>
      <c r="I11843" s="2"/>
    </row>
    <row r="11844" spans="8:9">
      <c r="H11844" s="2"/>
      <c r="I11844" s="2"/>
    </row>
    <row r="11845" spans="8:9">
      <c r="H11845" s="2"/>
    </row>
    <row r="11846" spans="8:9">
      <c r="H11846" s="2"/>
    </row>
    <row r="11847" spans="8:9">
      <c r="H11847" s="2"/>
    </row>
    <row r="11848" spans="8:9">
      <c r="H11848" s="2"/>
    </row>
    <row r="11849" spans="8:9">
      <c r="H11849" s="2"/>
    </row>
    <row r="11850" spans="8:9">
      <c r="H11850" s="2"/>
      <c r="I11850" s="2"/>
    </row>
    <row r="11851" spans="8:9">
      <c r="H11851" s="2"/>
    </row>
    <row r="11852" spans="8:9">
      <c r="H11852" s="2"/>
      <c r="I11852" s="2"/>
    </row>
    <row r="11853" spans="8:9">
      <c r="H11853" s="2"/>
    </row>
    <row r="11854" spans="8:9">
      <c r="H11854" s="2"/>
      <c r="I11854" s="2"/>
    </row>
    <row r="11855" spans="8:9">
      <c r="H11855" s="2"/>
      <c r="I11855" s="2"/>
    </row>
    <row r="11856" spans="8:9">
      <c r="H11856" s="2"/>
    </row>
    <row r="11857" spans="8:8">
      <c r="H11857" s="2"/>
    </row>
    <row r="11858" spans="8:8">
      <c r="H11858" s="2"/>
    </row>
    <row r="11859" spans="8:8">
      <c r="H11859" s="2"/>
    </row>
    <row r="11860" spans="8:8">
      <c r="H11860" s="2"/>
    </row>
    <row r="11861" spans="8:8">
      <c r="H11861" s="2"/>
    </row>
    <row r="11862" spans="8:8">
      <c r="H11862" s="2"/>
    </row>
    <row r="11863" spans="8:8">
      <c r="H11863" s="2"/>
    </row>
    <row r="11864" spans="8:8">
      <c r="H11864" s="2"/>
    </row>
    <row r="11865" spans="8:8">
      <c r="H11865" s="2"/>
    </row>
    <row r="11866" spans="8:8">
      <c r="H11866" s="2"/>
    </row>
    <row r="11867" spans="8:8">
      <c r="H11867" s="2"/>
    </row>
    <row r="11868" spans="8:8">
      <c r="H11868" s="2"/>
    </row>
    <row r="11869" spans="8:8">
      <c r="H11869" s="2"/>
    </row>
    <row r="11870" spans="8:8">
      <c r="H11870" s="2"/>
    </row>
    <row r="11871" spans="8:8">
      <c r="H11871" s="2"/>
    </row>
    <row r="11872" spans="8:8">
      <c r="H11872" s="2"/>
    </row>
    <row r="11873" spans="8:9">
      <c r="H11873" s="2"/>
    </row>
    <row r="11874" spans="8:9">
      <c r="H11874" s="2"/>
    </row>
    <row r="11875" spans="8:9">
      <c r="H11875" s="2"/>
    </row>
    <row r="11876" spans="8:9">
      <c r="H11876" s="2"/>
    </row>
    <row r="11877" spans="8:9">
      <c r="H11877" s="2"/>
    </row>
    <row r="11878" spans="8:9">
      <c r="H11878" s="2"/>
    </row>
    <row r="11879" spans="8:9">
      <c r="H11879" s="2"/>
    </row>
    <row r="11880" spans="8:9">
      <c r="H11880" s="2"/>
    </row>
    <row r="11881" spans="8:9">
      <c r="H11881" s="2"/>
      <c r="I11881" s="2"/>
    </row>
    <row r="11882" spans="8:9">
      <c r="H11882" s="2"/>
      <c r="I11882" s="2"/>
    </row>
    <row r="11883" spans="8:9">
      <c r="H11883" s="2"/>
      <c r="I11883" s="2"/>
    </row>
    <row r="11884" spans="8:9">
      <c r="H11884" s="2"/>
      <c r="I11884" s="2"/>
    </row>
    <row r="11885" spans="8:9">
      <c r="H11885" s="2"/>
    </row>
    <row r="11886" spans="8:9">
      <c r="H11886" s="2"/>
    </row>
    <row r="11887" spans="8:9">
      <c r="H11887" s="2"/>
    </row>
    <row r="11888" spans="8:9">
      <c r="H11888" s="2"/>
    </row>
    <row r="11889" spans="8:8">
      <c r="H11889" s="2"/>
    </row>
    <row r="11890" spans="8:8">
      <c r="H11890" s="2"/>
    </row>
    <row r="11891" spans="8:8">
      <c r="H11891" s="2"/>
    </row>
    <row r="11892" spans="8:8">
      <c r="H11892" s="2"/>
    </row>
    <row r="11893" spans="8:8">
      <c r="H11893" s="2"/>
    </row>
    <row r="11894" spans="8:8">
      <c r="H11894" s="2"/>
    </row>
    <row r="11895" spans="8:8">
      <c r="H11895" s="2"/>
    </row>
    <row r="11896" spans="8:8">
      <c r="H11896" s="2"/>
    </row>
    <row r="11897" spans="8:8">
      <c r="H11897" s="2"/>
    </row>
    <row r="11898" spans="8:8">
      <c r="H11898" s="2"/>
    </row>
    <row r="11899" spans="8:8">
      <c r="H11899" s="2"/>
    </row>
    <row r="11900" spans="8:8">
      <c r="H11900" s="2"/>
    </row>
    <row r="11901" spans="8:8">
      <c r="H11901" s="2"/>
    </row>
    <row r="11902" spans="8:8">
      <c r="H11902" s="2"/>
    </row>
    <row r="11903" spans="8:8">
      <c r="H11903" s="2"/>
    </row>
    <row r="11904" spans="8:8">
      <c r="H11904" s="2"/>
    </row>
    <row r="11905" spans="8:9">
      <c r="H11905" s="2"/>
    </row>
    <row r="11906" spans="8:9">
      <c r="H11906" s="2"/>
    </row>
    <row r="11907" spans="8:9">
      <c r="H11907" s="2"/>
    </row>
    <row r="11908" spans="8:9">
      <c r="H11908" s="2"/>
      <c r="I11908" s="2"/>
    </row>
    <row r="11909" spans="8:9">
      <c r="H11909" s="2"/>
      <c r="I11909" s="2"/>
    </row>
    <row r="11910" spans="8:9">
      <c r="H11910" s="2"/>
      <c r="I11910" s="2"/>
    </row>
    <row r="11911" spans="8:9">
      <c r="H11911" s="2"/>
    </row>
    <row r="11912" spans="8:9">
      <c r="H11912" s="2"/>
    </row>
    <row r="11913" spans="8:9">
      <c r="H11913" s="2"/>
      <c r="I11913" s="2"/>
    </row>
    <row r="11914" spans="8:9">
      <c r="H11914" s="2"/>
    </row>
    <row r="11915" spans="8:9">
      <c r="H11915" s="2"/>
    </row>
    <row r="11916" spans="8:9">
      <c r="H11916" s="2"/>
      <c r="I11916" s="2"/>
    </row>
    <row r="11917" spans="8:9">
      <c r="H11917" s="2"/>
    </row>
    <row r="11918" spans="8:9">
      <c r="H11918" s="2"/>
      <c r="I11918" s="2"/>
    </row>
    <row r="11919" spans="8:9">
      <c r="H11919" s="2"/>
      <c r="I11919" s="2"/>
    </row>
    <row r="11920" spans="8:9">
      <c r="H11920" s="2"/>
    </row>
    <row r="11921" spans="8:9">
      <c r="H11921" s="2"/>
      <c r="I11921" s="2"/>
    </row>
    <row r="11922" spans="8:9">
      <c r="H11922" s="2"/>
      <c r="I11922" s="2"/>
    </row>
    <row r="11923" spans="8:9">
      <c r="H11923" s="2"/>
      <c r="I11923" s="2"/>
    </row>
    <row r="11924" spans="8:9">
      <c r="H11924" s="2"/>
      <c r="I11924" s="2"/>
    </row>
    <row r="11925" spans="8:9">
      <c r="H11925" s="2"/>
      <c r="I11925" s="2"/>
    </row>
    <row r="11926" spans="8:9">
      <c r="H11926" s="2"/>
      <c r="I11926" s="2"/>
    </row>
    <row r="11927" spans="8:9">
      <c r="H11927" s="2"/>
      <c r="I11927" s="2"/>
    </row>
    <row r="11928" spans="8:9">
      <c r="H11928" s="2"/>
      <c r="I11928" s="2"/>
    </row>
    <row r="11929" spans="8:9">
      <c r="H11929" s="2"/>
      <c r="I11929" s="2"/>
    </row>
    <row r="11930" spans="8:9">
      <c r="H11930" s="2"/>
      <c r="I11930" s="2"/>
    </row>
    <row r="11931" spans="8:9">
      <c r="H11931" s="2"/>
      <c r="I11931" s="2"/>
    </row>
    <row r="11932" spans="8:9">
      <c r="H11932" s="2"/>
      <c r="I11932" s="2"/>
    </row>
    <row r="11933" spans="8:9">
      <c r="H11933" s="2"/>
      <c r="I11933" s="2"/>
    </row>
    <row r="11934" spans="8:9">
      <c r="H11934" s="2"/>
      <c r="I11934" s="2"/>
    </row>
    <row r="11935" spans="8:9">
      <c r="H11935" s="2"/>
    </row>
    <row r="11936" spans="8:9">
      <c r="H11936" s="2"/>
      <c r="I11936" s="2"/>
    </row>
    <row r="11937" spans="8:9">
      <c r="H11937" s="2"/>
    </row>
    <row r="11938" spans="8:9">
      <c r="H11938" s="2"/>
      <c r="I11938" s="2"/>
    </row>
    <row r="11939" spans="8:9">
      <c r="H11939" s="2"/>
    </row>
    <row r="11940" spans="8:9">
      <c r="H11940" s="2"/>
    </row>
    <row r="11941" spans="8:9">
      <c r="H11941" s="2"/>
    </row>
    <row r="11942" spans="8:9">
      <c r="H11942" s="2"/>
    </row>
    <row r="12442" spans="9:9">
      <c r="I12442" s="2"/>
    </row>
    <row r="12443" spans="9:9">
      <c r="I12443" s="2"/>
    </row>
    <row r="12444" spans="9:9">
      <c r="I12444" s="2"/>
    </row>
    <row r="12445" spans="9:9">
      <c r="I12445" s="2"/>
    </row>
    <row r="12446" spans="9:9">
      <c r="I12446" s="2"/>
    </row>
    <row r="12447" spans="9:9">
      <c r="I12447" s="2"/>
    </row>
    <row r="12448" spans="9:9">
      <c r="I12448" s="2"/>
    </row>
    <row r="12449" spans="9:9">
      <c r="I12449" s="2"/>
    </row>
    <row r="12450" spans="9:9">
      <c r="I12450" s="2"/>
    </row>
    <row r="12451" spans="9:9">
      <c r="I12451" s="2"/>
    </row>
    <row r="12452" spans="9:9">
      <c r="I12452" s="2"/>
    </row>
    <row r="12453" spans="9:9">
      <c r="I12453" s="2"/>
    </row>
    <row r="12454" spans="9:9">
      <c r="I12454" s="2"/>
    </row>
    <row r="12455" spans="9:9">
      <c r="I12455" s="2"/>
    </row>
    <row r="12456" spans="9:9">
      <c r="I12456" s="2"/>
    </row>
    <row r="12471" spans="9:9">
      <c r="I12471" s="2"/>
    </row>
    <row r="12490" spans="9:9">
      <c r="I12490" s="2"/>
    </row>
    <row r="12491" spans="9:9">
      <c r="I12491" s="2"/>
    </row>
    <row r="12492" spans="9:9">
      <c r="I12492" s="2"/>
    </row>
    <row r="12493" spans="9:9">
      <c r="I12493" s="2"/>
    </row>
    <row r="12494" spans="9:9">
      <c r="I12494" s="2"/>
    </row>
    <row r="12495" spans="9:9">
      <c r="I12495" s="2"/>
    </row>
    <row r="12496" spans="9:9">
      <c r="I12496" s="2"/>
    </row>
    <row r="12497" spans="9:9">
      <c r="I12497" s="2"/>
    </row>
    <row r="12498" spans="9:9">
      <c r="I12498" s="2"/>
    </row>
    <row r="12499" spans="9:9">
      <c r="I12499" s="2"/>
    </row>
    <row r="12500" spans="9:9">
      <c r="I12500" s="2"/>
    </row>
    <row r="12531" spans="9:9">
      <c r="I12531" s="2"/>
    </row>
    <row r="12532" spans="9:9">
      <c r="I12532" s="2"/>
    </row>
    <row r="12606" spans="9:9">
      <c r="I12606" s="2"/>
    </row>
    <row r="12617" spans="9:9">
      <c r="I12617" s="2"/>
    </row>
    <row r="12622" spans="9:9">
      <c r="I12622" s="2"/>
    </row>
    <row r="12624" spans="9:9">
      <c r="I12624" s="2"/>
    </row>
    <row r="12626" spans="9:9">
      <c r="I12626" s="2"/>
    </row>
    <row r="12629" spans="9:9">
      <c r="I12629" s="2"/>
    </row>
    <row r="12631" spans="9:9">
      <c r="I12631" s="2"/>
    </row>
    <row r="12633" spans="9:9">
      <c r="I12633" s="2"/>
    </row>
    <row r="12648" spans="9:9">
      <c r="I12648" s="2"/>
    </row>
    <row r="12649" spans="9:9">
      <c r="I12649" s="2"/>
    </row>
    <row r="12672" spans="9:9">
      <c r="I12672" s="2"/>
    </row>
    <row r="12674" spans="9:9">
      <c r="I12674" s="2"/>
    </row>
    <row r="12675" spans="9:9">
      <c r="I12675" s="2"/>
    </row>
    <row r="12677" spans="9:9">
      <c r="I12677" s="2"/>
    </row>
    <row r="12678" spans="9:9">
      <c r="I12678" s="2"/>
    </row>
    <row r="12685" spans="9:9">
      <c r="I12685" s="2"/>
    </row>
    <row r="12686" spans="9:9">
      <c r="I12686" s="2"/>
    </row>
    <row r="12707" spans="9:9">
      <c r="I12707" s="2"/>
    </row>
    <row r="12708" spans="9:9">
      <c r="I12708" s="2"/>
    </row>
    <row r="12787" spans="9:10">
      <c r="J12787" s="2"/>
    </row>
    <row r="12790" spans="9:10">
      <c r="J12790" s="2"/>
    </row>
    <row r="12798" spans="9:10">
      <c r="J12798" s="2"/>
    </row>
    <row r="12799" spans="9:10">
      <c r="I12799" s="2"/>
    </row>
    <row r="12800" spans="9:10">
      <c r="J12800" s="2"/>
    </row>
    <row r="12821" spans="10:10">
      <c r="J12821" s="2"/>
    </row>
    <row r="12829" spans="10:10">
      <c r="J12829" s="2"/>
    </row>
    <row r="12835" spans="10:10">
      <c r="J12835" s="2"/>
    </row>
    <row r="12837" spans="10:10">
      <c r="J12837" s="2"/>
    </row>
    <row r="12838" spans="10:10">
      <c r="J12838" s="2"/>
    </row>
    <row r="12841" spans="10:10">
      <c r="J12841" s="2"/>
    </row>
    <row r="12888" spans="9:9">
      <c r="I12888" s="2"/>
    </row>
    <row r="12894" spans="9:9">
      <c r="I12894" s="2"/>
    </row>
    <row r="12897" spans="9:9">
      <c r="I12897" s="2"/>
    </row>
    <row r="12912" spans="9:9">
      <c r="I12912" s="2"/>
    </row>
    <row r="12914" spans="9:9">
      <c r="I12914" s="2"/>
    </row>
    <row r="12920" spans="9:9">
      <c r="I12920" s="2"/>
    </row>
    <row r="12923" spans="9:9">
      <c r="I12923" s="2"/>
    </row>
    <row r="12926" spans="9:9">
      <c r="I12926" s="2"/>
    </row>
    <row r="12930" spans="9:9">
      <c r="I12930" s="2"/>
    </row>
    <row r="12934" spans="9:9">
      <c r="I12934" s="2"/>
    </row>
    <row r="12937" spans="9:9">
      <c r="I12937" s="2"/>
    </row>
    <row r="12942" spans="9:9">
      <c r="I12942" s="2"/>
    </row>
    <row r="12944" spans="9:9">
      <c r="I12944" s="2"/>
    </row>
    <row r="12945" spans="8:8">
      <c r="H12945" s="2"/>
    </row>
    <row r="12946" spans="8:8">
      <c r="H12946" s="2"/>
    </row>
    <row r="12947" spans="8:8">
      <c r="H12947" s="2"/>
    </row>
    <row r="12948" spans="8:8">
      <c r="H12948" s="2"/>
    </row>
    <row r="12949" spans="8:8">
      <c r="H12949" s="2"/>
    </row>
    <row r="12950" spans="8:8">
      <c r="H12950" s="2"/>
    </row>
    <row r="12951" spans="8:8">
      <c r="H12951" s="2"/>
    </row>
    <row r="12952" spans="8:8">
      <c r="H12952" s="2"/>
    </row>
    <row r="12953" spans="8:8">
      <c r="H12953" s="2"/>
    </row>
    <row r="12954" spans="8:8">
      <c r="H12954" s="2"/>
    </row>
    <row r="12955" spans="8:8">
      <c r="H12955" s="2"/>
    </row>
    <row r="12956" spans="8:8">
      <c r="H12956" s="2"/>
    </row>
    <row r="12957" spans="8:8">
      <c r="H12957" s="2"/>
    </row>
    <row r="12958" spans="8:8">
      <c r="H12958" s="2"/>
    </row>
    <row r="12959" spans="8:8">
      <c r="H12959" s="2"/>
    </row>
    <row r="12960" spans="8:8">
      <c r="H12960" s="2"/>
    </row>
    <row r="12961" spans="8:9">
      <c r="H12961" s="2"/>
    </row>
    <row r="12962" spans="8:9">
      <c r="H12962" s="2"/>
    </row>
    <row r="12963" spans="8:9">
      <c r="H12963" s="2"/>
    </row>
    <row r="12964" spans="8:9">
      <c r="H12964" s="2"/>
    </row>
    <row r="12965" spans="8:9">
      <c r="H12965" s="2"/>
    </row>
    <row r="12966" spans="8:9">
      <c r="H12966" s="2"/>
    </row>
    <row r="12967" spans="8:9">
      <c r="H12967" s="2"/>
    </row>
    <row r="12968" spans="8:9">
      <c r="H12968" s="2"/>
    </row>
    <row r="12969" spans="8:9">
      <c r="H12969" s="2"/>
    </row>
    <row r="12970" spans="8:9">
      <c r="H12970" s="2"/>
      <c r="I12970" s="2"/>
    </row>
    <row r="12971" spans="8:9">
      <c r="H12971" s="2"/>
      <c r="I12971" s="2"/>
    </row>
    <row r="12972" spans="8:9">
      <c r="H12972" s="2"/>
      <c r="I12972" s="2"/>
    </row>
    <row r="12973" spans="8:9">
      <c r="H12973" s="2"/>
      <c r="I12973" s="2"/>
    </row>
    <row r="12974" spans="8:9">
      <c r="H12974" s="2"/>
      <c r="I12974" s="2"/>
    </row>
    <row r="12975" spans="8:9">
      <c r="H12975" s="2"/>
      <c r="I12975" s="2"/>
    </row>
    <row r="12976" spans="8:9">
      <c r="H12976" s="2"/>
    </row>
    <row r="12977" spans="8:9">
      <c r="H12977" s="2"/>
    </row>
    <row r="12978" spans="8:9">
      <c r="H12978" s="2"/>
    </row>
    <row r="12979" spans="8:9">
      <c r="H12979" s="2"/>
    </row>
    <row r="12980" spans="8:9">
      <c r="H12980" s="2"/>
      <c r="I12980" s="2"/>
    </row>
    <row r="12981" spans="8:9">
      <c r="H12981" s="2"/>
      <c r="I12981" s="2"/>
    </row>
    <row r="12982" spans="8:9">
      <c r="H12982" s="2"/>
    </row>
    <row r="12983" spans="8:9">
      <c r="H12983" s="2"/>
      <c r="I12983" s="2"/>
    </row>
    <row r="12984" spans="8:9">
      <c r="H12984" s="2"/>
      <c r="I12984" s="2"/>
    </row>
    <row r="12985" spans="8:9">
      <c r="H12985" s="2"/>
      <c r="I12985" s="2"/>
    </row>
    <row r="12986" spans="8:9">
      <c r="H12986" s="2"/>
    </row>
    <row r="12987" spans="8:9">
      <c r="H12987" s="2"/>
    </row>
    <row r="12988" spans="8:9">
      <c r="H12988" s="2"/>
    </row>
    <row r="12989" spans="8:9">
      <c r="H12989" s="2"/>
    </row>
    <row r="12990" spans="8:9">
      <c r="H12990" s="2"/>
      <c r="I12990" s="2"/>
    </row>
    <row r="12991" spans="8:9">
      <c r="H12991" s="2"/>
    </row>
    <row r="12992" spans="8:9">
      <c r="H12992" s="2"/>
      <c r="I12992" s="2"/>
    </row>
    <row r="12993" spans="8:9">
      <c r="H12993" s="2"/>
    </row>
    <row r="12994" spans="8:9">
      <c r="H12994" s="2"/>
    </row>
    <row r="12995" spans="8:9">
      <c r="H12995" s="2"/>
    </row>
    <row r="12996" spans="8:9">
      <c r="H12996" s="2"/>
    </row>
    <row r="12997" spans="8:9">
      <c r="H12997" s="2"/>
      <c r="I12997" s="2"/>
    </row>
    <row r="12998" spans="8:9">
      <c r="H12998" s="2"/>
      <c r="I12998" s="2"/>
    </row>
    <row r="12999" spans="8:9">
      <c r="H12999" s="2"/>
    </row>
    <row r="13000" spans="8:9">
      <c r="H13000" s="2"/>
      <c r="I13000" s="2"/>
    </row>
    <row r="13001" spans="8:9">
      <c r="H13001" s="2"/>
      <c r="I13001" s="2"/>
    </row>
    <row r="13002" spans="8:9">
      <c r="H13002" s="2"/>
    </row>
    <row r="13003" spans="8:9">
      <c r="H13003" s="2"/>
    </row>
    <row r="13004" spans="8:9">
      <c r="H13004" s="2"/>
      <c r="I13004" s="2"/>
    </row>
    <row r="13005" spans="8:9">
      <c r="H13005" s="2"/>
    </row>
    <row r="13006" spans="8:9">
      <c r="H13006" s="2"/>
    </row>
    <row r="13007" spans="8:9">
      <c r="H13007" s="2"/>
    </row>
    <row r="13008" spans="8:9">
      <c r="H13008" s="2"/>
    </row>
    <row r="13009" spans="8:9">
      <c r="H13009" s="2"/>
      <c r="I13009" s="2"/>
    </row>
    <row r="13010" spans="8:9">
      <c r="H13010" s="2"/>
    </row>
    <row r="13011" spans="8:9">
      <c r="H13011" s="2"/>
      <c r="I13011" s="2"/>
    </row>
    <row r="13012" spans="8:9">
      <c r="H13012" s="2"/>
      <c r="I13012" s="2"/>
    </row>
    <row r="13013" spans="8:9">
      <c r="H13013" s="2"/>
    </row>
    <row r="13014" spans="8:9">
      <c r="H13014" s="2"/>
    </row>
    <row r="13015" spans="8:9">
      <c r="H13015" s="2"/>
      <c r="I13015" s="2"/>
    </row>
    <row r="13016" spans="8:9">
      <c r="H13016" s="2"/>
      <c r="I13016" s="2"/>
    </row>
    <row r="13017" spans="8:9">
      <c r="H13017" s="2"/>
      <c r="I13017" s="2"/>
    </row>
    <row r="13018" spans="8:9">
      <c r="H13018" s="2"/>
      <c r="I13018" s="2"/>
    </row>
    <row r="13019" spans="8:9">
      <c r="H13019" s="2"/>
      <c r="I13019" s="2"/>
    </row>
    <row r="13020" spans="8:9">
      <c r="H13020" s="2"/>
      <c r="I13020" s="2"/>
    </row>
    <row r="13021" spans="8:9">
      <c r="H13021" s="2"/>
      <c r="I13021" s="2"/>
    </row>
    <row r="13022" spans="8:9">
      <c r="H13022" s="2"/>
      <c r="I13022" s="2"/>
    </row>
    <row r="13023" spans="8:9">
      <c r="H13023" s="2"/>
    </row>
    <row r="13024" spans="8:9">
      <c r="H13024" s="2"/>
    </row>
    <row r="13025" spans="8:9">
      <c r="H13025" s="2"/>
      <c r="I13025" s="2"/>
    </row>
    <row r="13026" spans="8:9">
      <c r="H13026" s="2"/>
    </row>
    <row r="13027" spans="8:9">
      <c r="H13027" s="2"/>
    </row>
    <row r="13028" spans="8:9">
      <c r="H13028" s="2"/>
    </row>
    <row r="13029" spans="8:9">
      <c r="H13029" s="2"/>
    </row>
    <row r="13030" spans="8:9">
      <c r="H13030" s="2"/>
    </row>
    <row r="13031" spans="8:9">
      <c r="H13031" s="2"/>
      <c r="I13031" s="2"/>
    </row>
    <row r="13032" spans="8:9">
      <c r="H13032" s="2"/>
    </row>
    <row r="13033" spans="8:9">
      <c r="H13033" s="2"/>
      <c r="I13033" s="2"/>
    </row>
    <row r="13034" spans="8:9">
      <c r="H13034" s="2"/>
      <c r="I13034" s="2"/>
    </row>
    <row r="13035" spans="8:9">
      <c r="H13035" s="2"/>
      <c r="I13035" s="2"/>
    </row>
    <row r="13036" spans="8:9">
      <c r="H13036" s="2"/>
      <c r="I13036" s="2"/>
    </row>
    <row r="13037" spans="8:9">
      <c r="H13037" s="2"/>
      <c r="I13037" s="2"/>
    </row>
    <row r="13038" spans="8:9">
      <c r="H13038" s="2"/>
      <c r="I13038" s="2"/>
    </row>
    <row r="13039" spans="8:9">
      <c r="H13039" s="2"/>
      <c r="I13039" s="2"/>
    </row>
    <row r="13040" spans="8:9">
      <c r="H13040" s="2"/>
      <c r="I13040" s="2"/>
    </row>
    <row r="13041" spans="8:9">
      <c r="H13041" s="2"/>
      <c r="I13041" s="2"/>
    </row>
    <row r="13042" spans="8:9">
      <c r="H13042" s="2"/>
      <c r="I13042" s="2"/>
    </row>
    <row r="13043" spans="8:9">
      <c r="H13043" s="2"/>
      <c r="I13043" s="2"/>
    </row>
    <row r="13044" spans="8:9">
      <c r="H13044" s="2"/>
      <c r="I13044" s="2"/>
    </row>
    <row r="13045" spans="8:9">
      <c r="H13045" s="2"/>
    </row>
    <row r="13046" spans="8:9">
      <c r="H13046" s="2"/>
      <c r="I13046" s="2"/>
    </row>
    <row r="13047" spans="8:9">
      <c r="H13047" s="2"/>
      <c r="I13047" s="2"/>
    </row>
    <row r="13048" spans="8:9">
      <c r="H13048" s="2"/>
      <c r="I13048" s="2"/>
    </row>
    <row r="13049" spans="8:9">
      <c r="H13049" s="2"/>
      <c r="I13049" s="2"/>
    </row>
    <row r="13050" spans="8:9">
      <c r="H13050" s="2"/>
      <c r="I13050" s="2"/>
    </row>
    <row r="13051" spans="8:9">
      <c r="H13051" s="2"/>
      <c r="I13051" s="2"/>
    </row>
    <row r="13052" spans="8:9">
      <c r="H13052" s="2"/>
      <c r="I13052" s="2"/>
    </row>
    <row r="13053" spans="8:9">
      <c r="H13053" s="2"/>
    </row>
    <row r="13054" spans="8:9">
      <c r="H13054" s="2"/>
    </row>
    <row r="13055" spans="8:9">
      <c r="H13055" s="2"/>
    </row>
    <row r="13056" spans="8:9">
      <c r="H13056" s="2"/>
    </row>
    <row r="13057" spans="8:9">
      <c r="H13057" s="2"/>
      <c r="I13057" s="2"/>
    </row>
    <row r="13058" spans="8:9">
      <c r="H13058" s="2"/>
      <c r="I13058" s="2"/>
    </row>
    <row r="13059" spans="8:9">
      <c r="H13059" s="2"/>
    </row>
    <row r="13060" spans="8:9">
      <c r="H13060" s="2"/>
    </row>
    <row r="13061" spans="8:9">
      <c r="H13061" s="2"/>
    </row>
    <row r="13062" spans="8:9">
      <c r="H13062" s="2"/>
    </row>
    <row r="13063" spans="8:9">
      <c r="H13063" s="2"/>
    </row>
    <row r="13064" spans="8:9">
      <c r="H13064" s="2"/>
    </row>
    <row r="13065" spans="8:9">
      <c r="H13065" s="2"/>
    </row>
    <row r="13066" spans="8:9">
      <c r="H13066" s="2"/>
    </row>
    <row r="13067" spans="8:9">
      <c r="H13067" s="2"/>
    </row>
    <row r="13068" spans="8:9">
      <c r="H13068" s="2"/>
    </row>
    <row r="13069" spans="8:9">
      <c r="H13069" s="2"/>
    </row>
    <row r="13070" spans="8:9">
      <c r="H13070" s="2"/>
    </row>
    <row r="13071" spans="8:9">
      <c r="H13071" s="2"/>
    </row>
    <row r="13072" spans="8:9">
      <c r="H13072" s="2"/>
    </row>
    <row r="13073" spans="8:9">
      <c r="H13073" s="2"/>
    </row>
    <row r="13074" spans="8:9">
      <c r="H13074" s="2"/>
    </row>
    <row r="13075" spans="8:9">
      <c r="H13075" s="2"/>
    </row>
    <row r="13076" spans="8:9">
      <c r="H13076" s="2"/>
    </row>
    <row r="13077" spans="8:9">
      <c r="H13077" s="2"/>
    </row>
    <row r="13078" spans="8:9">
      <c r="H13078" s="2"/>
    </row>
    <row r="13079" spans="8:9">
      <c r="H13079" s="2"/>
    </row>
    <row r="13080" spans="8:9">
      <c r="H13080" s="2"/>
    </row>
    <row r="13081" spans="8:9">
      <c r="H13081" s="2"/>
    </row>
    <row r="13082" spans="8:9">
      <c r="H13082" s="2"/>
    </row>
    <row r="13083" spans="8:9">
      <c r="H13083" s="2"/>
    </row>
    <row r="13084" spans="8:9">
      <c r="H13084" s="2"/>
      <c r="I13084" s="2"/>
    </row>
    <row r="13085" spans="8:9">
      <c r="H13085" s="2"/>
      <c r="I13085" s="2"/>
    </row>
    <row r="13086" spans="8:9">
      <c r="H13086" s="2"/>
      <c r="I13086" s="2"/>
    </row>
    <row r="13087" spans="8:9">
      <c r="H13087" s="2"/>
      <c r="I13087" s="2"/>
    </row>
    <row r="13088" spans="8:9">
      <c r="H13088" s="2"/>
      <c r="I13088" s="2"/>
    </row>
    <row r="13089" spans="8:10">
      <c r="H13089" s="2"/>
      <c r="I13089" s="2"/>
    </row>
    <row r="13090" spans="8:10">
      <c r="H13090" s="2"/>
      <c r="I13090" s="2"/>
    </row>
    <row r="13091" spans="8:10">
      <c r="H13091" s="2"/>
      <c r="I13091" s="2"/>
    </row>
    <row r="13092" spans="8:10">
      <c r="H13092" s="2"/>
      <c r="I13092" s="2"/>
    </row>
    <row r="13093" spans="8:10">
      <c r="H13093" s="2"/>
      <c r="I13093" s="2"/>
    </row>
    <row r="13094" spans="8:10">
      <c r="H13094" s="2"/>
      <c r="I13094" s="2"/>
    </row>
    <row r="13095" spans="8:10">
      <c r="H13095" s="2"/>
      <c r="I13095" s="2"/>
    </row>
    <row r="13096" spans="8:10">
      <c r="H13096" s="2"/>
      <c r="I13096" s="2"/>
    </row>
    <row r="13097" spans="8:10">
      <c r="H13097" s="2"/>
      <c r="I13097" s="2"/>
    </row>
    <row r="13098" spans="8:10">
      <c r="H13098" s="2"/>
      <c r="J13098" s="2"/>
    </row>
    <row r="13099" spans="8:10">
      <c r="H13099" s="2"/>
      <c r="J13099" s="2"/>
    </row>
    <row r="13100" spans="8:10">
      <c r="H13100" s="2"/>
      <c r="J13100" s="2"/>
    </row>
    <row r="13101" spans="8:10">
      <c r="H13101" s="2"/>
    </row>
    <row r="13102" spans="8:10">
      <c r="H13102" s="2"/>
      <c r="J13102" s="2"/>
    </row>
    <row r="13103" spans="8:10">
      <c r="H13103" s="2"/>
      <c r="J13103" s="2"/>
    </row>
    <row r="13104" spans="8:10">
      <c r="H13104" s="2"/>
      <c r="J13104" s="2"/>
    </row>
    <row r="13105" spans="8:10">
      <c r="H13105" s="2"/>
      <c r="J13105" s="2"/>
    </row>
    <row r="13106" spans="8:10">
      <c r="H13106" s="2"/>
      <c r="J13106" s="2"/>
    </row>
    <row r="13107" spans="8:10">
      <c r="H13107" s="2"/>
      <c r="J13107" s="2"/>
    </row>
    <row r="13108" spans="8:10">
      <c r="H13108" s="2"/>
    </row>
    <row r="13109" spans="8:10">
      <c r="H13109" s="2"/>
      <c r="J13109" s="2"/>
    </row>
    <row r="13110" spans="8:10">
      <c r="H13110" s="2"/>
    </row>
    <row r="13111" spans="8:10">
      <c r="H13111" s="2"/>
      <c r="J13111" s="2"/>
    </row>
    <row r="13112" spans="8:10">
      <c r="H13112" s="2"/>
      <c r="J13112" s="2"/>
    </row>
    <row r="13113" spans="8:10">
      <c r="H13113" s="2"/>
      <c r="J13113" s="2"/>
    </row>
    <row r="13114" spans="8:10">
      <c r="H13114" s="2"/>
      <c r="J13114" s="2"/>
    </row>
    <row r="13115" spans="8:10">
      <c r="H13115" s="2"/>
    </row>
    <row r="13116" spans="8:10">
      <c r="H13116" s="2"/>
      <c r="J13116" s="2"/>
    </row>
    <row r="13117" spans="8:10">
      <c r="H13117" s="2"/>
      <c r="I13117" s="2"/>
    </row>
    <row r="13118" spans="8:10">
      <c r="H13118" s="2"/>
      <c r="I13118" s="2"/>
    </row>
    <row r="13119" spans="8:10">
      <c r="H13119" s="2"/>
      <c r="I13119" s="2"/>
    </row>
    <row r="13120" spans="8:10">
      <c r="H13120" s="2"/>
      <c r="I13120" s="2"/>
    </row>
    <row r="13121" spans="8:9">
      <c r="H13121" s="2"/>
      <c r="I13121" s="2"/>
    </row>
    <row r="13122" spans="8:9">
      <c r="H13122" s="2"/>
      <c r="I13122" s="2"/>
    </row>
    <row r="13123" spans="8:9">
      <c r="H13123" s="2"/>
    </row>
    <row r="13124" spans="8:9">
      <c r="H13124" s="2"/>
      <c r="I13124" s="2"/>
    </row>
    <row r="13125" spans="8:9">
      <c r="H13125" s="2"/>
      <c r="I13125" s="2"/>
    </row>
    <row r="13126" spans="8:9">
      <c r="H13126" s="2"/>
    </row>
    <row r="13127" spans="8:9">
      <c r="H13127" s="2"/>
    </row>
    <row r="13128" spans="8:9">
      <c r="H13128" s="2"/>
      <c r="I13128" s="2"/>
    </row>
    <row r="13129" spans="8:9">
      <c r="H13129" s="2"/>
      <c r="I13129" s="2"/>
    </row>
    <row r="13130" spans="8:9">
      <c r="H13130" s="2"/>
      <c r="I13130" s="2"/>
    </row>
    <row r="13131" spans="8:9">
      <c r="H13131" s="2"/>
    </row>
    <row r="13132" spans="8:9">
      <c r="H13132" s="2"/>
      <c r="I13132" s="2"/>
    </row>
    <row r="13133" spans="8:9">
      <c r="H13133" s="2"/>
      <c r="I13133" s="2"/>
    </row>
    <row r="13134" spans="8:9">
      <c r="H13134" s="2"/>
    </row>
    <row r="13135" spans="8:9">
      <c r="H13135" s="2"/>
    </row>
    <row r="13136" spans="8:9">
      <c r="H13136" s="2"/>
    </row>
    <row r="13137" spans="8:9">
      <c r="H13137" s="2"/>
    </row>
    <row r="13138" spans="8:9">
      <c r="H13138" s="2"/>
    </row>
    <row r="13139" spans="8:9">
      <c r="H13139" s="2"/>
      <c r="I13139" s="2"/>
    </row>
    <row r="13140" spans="8:9">
      <c r="H13140" s="2"/>
      <c r="I13140" s="2"/>
    </row>
    <row r="13141" spans="8:9">
      <c r="H13141" s="2"/>
      <c r="I13141" s="2"/>
    </row>
    <row r="13142" spans="8:9">
      <c r="H13142" s="2"/>
      <c r="I13142" s="2"/>
    </row>
    <row r="13143" spans="8:9">
      <c r="H13143" s="2"/>
      <c r="I13143" s="2"/>
    </row>
    <row r="13144" spans="8:9">
      <c r="H13144" s="2"/>
      <c r="I13144" s="2"/>
    </row>
    <row r="13145" spans="8:9">
      <c r="H13145" s="2"/>
      <c r="I13145" s="2"/>
    </row>
    <row r="13146" spans="8:9">
      <c r="H13146" s="2"/>
      <c r="I13146" s="2"/>
    </row>
    <row r="13147" spans="8:9">
      <c r="H13147" s="2"/>
      <c r="I13147" s="2"/>
    </row>
    <row r="13148" spans="8:9">
      <c r="H13148" s="2"/>
      <c r="I13148" s="2"/>
    </row>
    <row r="13149" spans="8:9">
      <c r="H13149" s="2"/>
      <c r="I13149" s="2"/>
    </row>
    <row r="13150" spans="8:9">
      <c r="H13150" s="2"/>
    </row>
    <row r="13151" spans="8:9">
      <c r="H13151" s="2"/>
    </row>
    <row r="13152" spans="8:9">
      <c r="H13152" s="2"/>
    </row>
    <row r="13153" spans="8:9">
      <c r="H13153" s="2"/>
    </row>
    <row r="13154" spans="8:9">
      <c r="H13154" s="2"/>
    </row>
    <row r="13155" spans="8:9">
      <c r="H13155" s="2"/>
    </row>
    <row r="13156" spans="8:9">
      <c r="H13156" s="2"/>
    </row>
    <row r="13157" spans="8:9">
      <c r="H13157" s="2"/>
    </row>
    <row r="13158" spans="8:9">
      <c r="H13158" s="2"/>
    </row>
    <row r="13159" spans="8:9">
      <c r="H13159" s="2"/>
      <c r="I13159" s="2"/>
    </row>
    <row r="13160" spans="8:9">
      <c r="H13160" s="2"/>
    </row>
    <row r="13161" spans="8:9">
      <c r="H13161" s="2"/>
      <c r="I13161" s="2"/>
    </row>
    <row r="13162" spans="8:9">
      <c r="H13162" s="2"/>
    </row>
    <row r="13163" spans="8:9">
      <c r="H13163" s="2"/>
    </row>
    <row r="13164" spans="8:9">
      <c r="H13164" s="2"/>
    </row>
    <row r="13165" spans="8:9">
      <c r="H13165" s="2"/>
    </row>
    <row r="13166" spans="8:9">
      <c r="H13166" s="2"/>
      <c r="I13166" s="2"/>
    </row>
    <row r="13167" spans="8:9">
      <c r="H13167" s="2"/>
      <c r="I13167" s="2"/>
    </row>
    <row r="13168" spans="8:9">
      <c r="H13168" s="2"/>
      <c r="I13168" s="2"/>
    </row>
    <row r="13169" spans="8:9">
      <c r="H13169" s="2"/>
      <c r="I13169" s="2"/>
    </row>
    <row r="13170" spans="8:9">
      <c r="H13170" s="2"/>
    </row>
    <row r="13171" spans="8:9">
      <c r="H13171" s="2"/>
    </row>
    <row r="13172" spans="8:9">
      <c r="H13172" s="2"/>
    </row>
    <row r="13173" spans="8:9">
      <c r="H13173" s="2"/>
    </row>
    <row r="13174" spans="8:9">
      <c r="H13174" s="2"/>
    </row>
    <row r="13175" spans="8:9">
      <c r="H13175" s="2"/>
    </row>
    <row r="13176" spans="8:9">
      <c r="H13176" s="2"/>
    </row>
    <row r="13177" spans="8:9">
      <c r="H13177" s="2"/>
    </row>
    <row r="13178" spans="8:9">
      <c r="H13178" s="2"/>
    </row>
    <row r="13179" spans="8:9">
      <c r="H13179" s="2"/>
    </row>
    <row r="13180" spans="8:9">
      <c r="H13180" s="2"/>
    </row>
    <row r="13181" spans="8:9">
      <c r="H13181" s="2"/>
    </row>
    <row r="13182" spans="8:9">
      <c r="H13182" s="2"/>
    </row>
    <row r="13183" spans="8:9">
      <c r="H13183" s="2"/>
    </row>
    <row r="13184" spans="8:9">
      <c r="H13184" s="2"/>
    </row>
    <row r="13185" spans="8:8">
      <c r="H13185" s="2"/>
    </row>
    <row r="13186" spans="8:8">
      <c r="H13186" s="2"/>
    </row>
    <row r="13187" spans="8:8">
      <c r="H13187" s="2"/>
    </row>
    <row r="13188" spans="8:8">
      <c r="H13188" s="2"/>
    </row>
    <row r="13189" spans="8:8">
      <c r="H13189" s="2"/>
    </row>
    <row r="13190" spans="8:8">
      <c r="H13190" s="2"/>
    </row>
    <row r="13191" spans="8:8">
      <c r="H13191" s="2"/>
    </row>
    <row r="13192" spans="8:8">
      <c r="H13192" s="2"/>
    </row>
    <row r="13193" spans="8:8">
      <c r="H13193" s="2"/>
    </row>
    <row r="13194" spans="8:8">
      <c r="H13194" s="2"/>
    </row>
    <row r="13195" spans="8:8">
      <c r="H13195" s="2"/>
    </row>
    <row r="13196" spans="8:8">
      <c r="H13196" s="2"/>
    </row>
    <row r="13197" spans="8:8">
      <c r="H13197" s="2"/>
    </row>
    <row r="13198" spans="8:8">
      <c r="H13198" s="2"/>
    </row>
    <row r="13199" spans="8:8">
      <c r="H13199" s="2"/>
    </row>
    <row r="13200" spans="8:8">
      <c r="H13200" s="2"/>
    </row>
    <row r="13201" spans="8:8">
      <c r="H13201" s="2"/>
    </row>
    <row r="13202" spans="8:8">
      <c r="H13202" s="2"/>
    </row>
    <row r="13203" spans="8:8">
      <c r="H13203" s="2"/>
    </row>
    <row r="13204" spans="8:8">
      <c r="H13204" s="2"/>
    </row>
    <row r="13205" spans="8:8">
      <c r="H13205" s="2"/>
    </row>
    <row r="13206" spans="8:8">
      <c r="H13206" s="2"/>
    </row>
    <row r="13207" spans="8:8">
      <c r="H13207" s="2"/>
    </row>
    <row r="13208" spans="8:8">
      <c r="H13208" s="2"/>
    </row>
    <row r="13209" spans="8:8">
      <c r="H13209" s="2"/>
    </row>
    <row r="13210" spans="8:8">
      <c r="H13210" s="2"/>
    </row>
    <row r="13211" spans="8:8">
      <c r="H13211" s="2"/>
    </row>
    <row r="13212" spans="8:8">
      <c r="H13212" s="2"/>
    </row>
    <row r="13213" spans="8:8">
      <c r="H13213" s="2"/>
    </row>
    <row r="13214" spans="8:8">
      <c r="H13214" s="2"/>
    </row>
    <row r="13215" spans="8:8">
      <c r="H13215" s="2"/>
    </row>
    <row r="13216" spans="8:8">
      <c r="H13216" s="2"/>
    </row>
    <row r="13217" spans="8:8">
      <c r="H13217" s="2"/>
    </row>
    <row r="13218" spans="8:8">
      <c r="H13218" s="2"/>
    </row>
    <row r="13219" spans="8:8">
      <c r="H13219" s="2"/>
    </row>
    <row r="13220" spans="8:8">
      <c r="H13220" s="2"/>
    </row>
    <row r="13221" spans="8:8">
      <c r="H13221" s="2"/>
    </row>
    <row r="13222" spans="8:8">
      <c r="H13222" s="2"/>
    </row>
    <row r="13223" spans="8:8">
      <c r="H13223" s="2"/>
    </row>
    <row r="13224" spans="8:8">
      <c r="H13224" s="2"/>
    </row>
    <row r="13225" spans="8:8">
      <c r="H13225" s="2"/>
    </row>
    <row r="13226" spans="8:8">
      <c r="H13226" s="2"/>
    </row>
    <row r="13227" spans="8:8">
      <c r="H13227" s="2"/>
    </row>
    <row r="13228" spans="8:8">
      <c r="H13228" s="2"/>
    </row>
    <row r="13229" spans="8:8">
      <c r="H13229" s="2"/>
    </row>
    <row r="13230" spans="8:8">
      <c r="H13230" s="2"/>
    </row>
    <row r="13231" spans="8:8">
      <c r="H13231" s="2"/>
    </row>
    <row r="13232" spans="8:8">
      <c r="H13232" s="2"/>
    </row>
    <row r="13233" spans="8:8">
      <c r="H13233" s="2"/>
    </row>
    <row r="13234" spans="8:8">
      <c r="H13234" s="2"/>
    </row>
    <row r="13235" spans="8:8">
      <c r="H13235" s="2"/>
    </row>
    <row r="13236" spans="8:8">
      <c r="H13236" s="2"/>
    </row>
    <row r="13237" spans="8:8">
      <c r="H13237" s="2"/>
    </row>
    <row r="13238" spans="8:8">
      <c r="H13238" s="2"/>
    </row>
    <row r="13239" spans="8:8">
      <c r="H13239" s="2"/>
    </row>
    <row r="13240" spans="8:8">
      <c r="H13240" s="2"/>
    </row>
    <row r="13241" spans="8:8">
      <c r="H13241" s="2"/>
    </row>
    <row r="13242" spans="8:8">
      <c r="H13242" s="2"/>
    </row>
    <row r="13243" spans="8:8">
      <c r="H13243" s="2"/>
    </row>
    <row r="13244" spans="8:8">
      <c r="H13244" s="2"/>
    </row>
    <row r="13245" spans="8:8">
      <c r="H13245" s="2"/>
    </row>
    <row r="13246" spans="8:8">
      <c r="H13246" s="2"/>
    </row>
    <row r="13247" spans="8:8">
      <c r="H13247" s="2"/>
    </row>
    <row r="13248" spans="8:8">
      <c r="H13248" s="2"/>
    </row>
    <row r="13249" spans="8:8">
      <c r="H13249" s="2"/>
    </row>
    <row r="13250" spans="8:8">
      <c r="H13250" s="2"/>
    </row>
    <row r="13251" spans="8:8">
      <c r="H13251" s="2"/>
    </row>
    <row r="13252" spans="8:8">
      <c r="H13252" s="2"/>
    </row>
    <row r="13253" spans="8:8">
      <c r="H13253" s="2"/>
    </row>
    <row r="13254" spans="8:8">
      <c r="H13254" s="2"/>
    </row>
    <row r="13255" spans="8:8">
      <c r="H13255" s="2"/>
    </row>
    <row r="13256" spans="8:8">
      <c r="H13256" s="2"/>
    </row>
    <row r="13257" spans="8:8">
      <c r="H13257" s="2"/>
    </row>
    <row r="13258" spans="8:8">
      <c r="H13258" s="2"/>
    </row>
    <row r="13259" spans="8:8">
      <c r="H13259" s="2"/>
    </row>
    <row r="13260" spans="8:8">
      <c r="H13260" s="2"/>
    </row>
    <row r="13261" spans="8:8">
      <c r="H13261" s="2"/>
    </row>
    <row r="13262" spans="8:8">
      <c r="H13262" s="2"/>
    </row>
    <row r="13263" spans="8:8">
      <c r="H13263" s="2"/>
    </row>
    <row r="13264" spans="8:8">
      <c r="H13264" s="2"/>
    </row>
    <row r="13265" spans="8:8">
      <c r="H13265" s="2"/>
    </row>
    <row r="13266" spans="8:8">
      <c r="H13266" s="2"/>
    </row>
    <row r="13267" spans="8:8">
      <c r="H13267" s="2"/>
    </row>
    <row r="13268" spans="8:8">
      <c r="H13268" s="2"/>
    </row>
    <row r="13269" spans="8:8">
      <c r="H13269" s="2"/>
    </row>
    <row r="13270" spans="8:8">
      <c r="H13270" s="2"/>
    </row>
    <row r="13271" spans="8:8">
      <c r="H13271" s="2"/>
    </row>
    <row r="13272" spans="8:8">
      <c r="H13272" s="2"/>
    </row>
    <row r="13273" spans="8:8">
      <c r="H13273" s="2"/>
    </row>
    <row r="13274" spans="8:8">
      <c r="H13274" s="2"/>
    </row>
    <row r="13275" spans="8:8">
      <c r="H13275" s="2"/>
    </row>
    <row r="13276" spans="8:8">
      <c r="H13276" s="2"/>
    </row>
    <row r="13277" spans="8:8">
      <c r="H13277" s="2"/>
    </row>
    <row r="13745" spans="9:9">
      <c r="I13745" s="2"/>
    </row>
    <row r="13834" spans="9:9">
      <c r="I13834" s="2"/>
    </row>
    <row r="13835" spans="9:9">
      <c r="I13835" s="2"/>
    </row>
    <row r="13836" spans="9:9">
      <c r="I13836" s="2"/>
    </row>
    <row r="13838" spans="9:9">
      <c r="I13838" s="2"/>
    </row>
    <row r="13840" spans="9:9">
      <c r="I13840" s="2"/>
    </row>
    <row r="13842" spans="9:9">
      <c r="I13842" s="2"/>
    </row>
    <row r="13843" spans="9:9">
      <c r="I13843" s="2"/>
    </row>
    <row r="13844" spans="9:9">
      <c r="I13844" s="2"/>
    </row>
    <row r="13845" spans="9:9">
      <c r="I13845" s="2"/>
    </row>
    <row r="13846" spans="9:9">
      <c r="I13846" s="2"/>
    </row>
    <row r="13847" spans="9:9">
      <c r="I13847" s="2"/>
    </row>
    <row r="13848" spans="9:9">
      <c r="I13848" s="2"/>
    </row>
    <row r="13849" spans="9:9">
      <c r="I13849" s="2"/>
    </row>
    <row r="13850" spans="9:9">
      <c r="I13850" s="2"/>
    </row>
    <row r="13851" spans="9:9">
      <c r="I13851" s="2"/>
    </row>
    <row r="13852" spans="9:9">
      <c r="I13852" s="2"/>
    </row>
    <row r="13853" spans="9:9">
      <c r="I13853" s="2"/>
    </row>
    <row r="13854" spans="9:9">
      <c r="I13854" s="2"/>
    </row>
    <row r="13855" spans="9:9">
      <c r="I13855" s="2"/>
    </row>
    <row r="13856" spans="9:9">
      <c r="I13856" s="2"/>
    </row>
    <row r="13857" spans="9:9">
      <c r="I13857" s="2"/>
    </row>
    <row r="13858" spans="9:9">
      <c r="I13858" s="2"/>
    </row>
    <row r="13859" spans="9:9">
      <c r="I13859" s="2"/>
    </row>
    <row r="13860" spans="9:9">
      <c r="I13860" s="2"/>
    </row>
    <row r="13861" spans="9:9">
      <c r="I13861" s="2"/>
    </row>
    <row r="13862" spans="9:9">
      <c r="I13862" s="2"/>
    </row>
    <row r="13863" spans="9:9">
      <c r="I13863" s="2"/>
    </row>
    <row r="13864" spans="9:9">
      <c r="I13864" s="2"/>
    </row>
    <row r="13865" spans="9:9">
      <c r="I13865" s="2"/>
    </row>
    <row r="13971" spans="10:10">
      <c r="J13971" s="2"/>
    </row>
    <row r="14053" spans="9:9">
      <c r="I14053" s="2"/>
    </row>
    <row r="14054" spans="9:9">
      <c r="I14054" s="2"/>
    </row>
    <row r="14055" spans="9:9">
      <c r="I14055" s="2"/>
    </row>
    <row r="14056" spans="9:9">
      <c r="I14056" s="2"/>
    </row>
    <row r="14057" spans="9:9">
      <c r="I14057" s="2"/>
    </row>
    <row r="14058" spans="9:9">
      <c r="I14058" s="2"/>
    </row>
    <row r="14123" spans="10:10">
      <c r="J14123" s="2"/>
    </row>
    <row r="14135" spans="9:9">
      <c r="I14135" s="2"/>
    </row>
    <row r="14139" spans="9:9">
      <c r="I14139" s="2"/>
    </row>
    <row r="14181" spans="9:9">
      <c r="I14181" s="2"/>
    </row>
    <row r="14230" spans="9:9">
      <c r="I14230" s="2"/>
    </row>
    <row r="14249" spans="10:10">
      <c r="J14249" s="2"/>
    </row>
    <row r="14261" spans="9:9">
      <c r="I14261" s="2"/>
    </row>
    <row r="14266" spans="9:9">
      <c r="I14266" s="2"/>
    </row>
    <row r="14268" spans="9:9">
      <c r="I14268" s="2"/>
    </row>
    <row r="14270" spans="9:9">
      <c r="I14270" s="2"/>
    </row>
    <row r="14272" spans="9:9">
      <c r="I14272" s="2"/>
    </row>
    <row r="14274" spans="9:9">
      <c r="I14274" s="2"/>
    </row>
    <row r="14282" spans="9:9">
      <c r="I14282" s="2"/>
    </row>
    <row r="14284" spans="9:9">
      <c r="I14284" s="2"/>
    </row>
    <row r="14288" spans="9:9">
      <c r="I14288" s="2"/>
    </row>
    <row r="14289" spans="9:9">
      <c r="I14289" s="2"/>
    </row>
    <row r="14290" spans="9:9">
      <c r="I14290" s="2"/>
    </row>
    <row r="14291" spans="9:9">
      <c r="I14291" s="2"/>
    </row>
    <row r="14293" spans="9:9">
      <c r="I14293" s="2"/>
    </row>
    <row r="14297" spans="9:9">
      <c r="I14297" s="2"/>
    </row>
    <row r="14298" spans="9:9">
      <c r="I14298" s="2"/>
    </row>
    <row r="14300" spans="9:9">
      <c r="I14300" s="2"/>
    </row>
    <row r="14302" spans="9:9">
      <c r="I14302" s="2"/>
    </row>
    <row r="14303" spans="9:9">
      <c r="I14303" s="2"/>
    </row>
    <row r="14304" spans="9:9">
      <c r="I14304" s="2"/>
    </row>
    <row r="14306" spans="9:9">
      <c r="I14306" s="2"/>
    </row>
    <row r="14307" spans="9:9">
      <c r="I14307" s="2"/>
    </row>
    <row r="14309" spans="9:9">
      <c r="I14309" s="2"/>
    </row>
    <row r="14311" spans="9:9">
      <c r="I14311" s="2"/>
    </row>
    <row r="14312" spans="9:9">
      <c r="I14312" s="2"/>
    </row>
    <row r="14317" spans="9:9">
      <c r="I14317" s="2"/>
    </row>
    <row r="14320" spans="9:9">
      <c r="I14320" s="2"/>
    </row>
    <row r="14321" spans="9:9">
      <c r="I14321" s="2"/>
    </row>
    <row r="14322" spans="9:9">
      <c r="I14322" s="2"/>
    </row>
    <row r="14330" spans="9:9">
      <c r="I14330" s="2"/>
    </row>
    <row r="14331" spans="9:9">
      <c r="I14331" s="2"/>
    </row>
    <row r="14333" spans="9:9">
      <c r="I14333" s="2"/>
    </row>
    <row r="14335" spans="9:9">
      <c r="I14335" s="2"/>
    </row>
    <row r="14342" spans="9:10">
      <c r="I14342" s="2"/>
    </row>
    <row r="14343" spans="9:10">
      <c r="I14343" s="2"/>
    </row>
    <row r="14344" spans="9:10">
      <c r="I14344" s="2"/>
    </row>
    <row r="14345" spans="9:10">
      <c r="I14345" s="2"/>
    </row>
    <row r="14346" spans="9:10">
      <c r="J14346" s="2"/>
    </row>
    <row r="14347" spans="9:10">
      <c r="I14347" s="2"/>
    </row>
    <row r="14348" spans="9:10">
      <c r="I14348" s="2"/>
    </row>
    <row r="14351" spans="9:10">
      <c r="I14351" s="2"/>
    </row>
    <row r="14356" spans="9:9">
      <c r="I14356" s="2"/>
    </row>
    <row r="14361" spans="9:9">
      <c r="I14361" s="2"/>
    </row>
    <row r="14362" spans="9:9">
      <c r="I14362" s="2"/>
    </row>
    <row r="14364" spans="9:9">
      <c r="I14364" s="2"/>
    </row>
    <row r="14365" spans="9:9">
      <c r="I14365" s="2"/>
    </row>
    <row r="14366" spans="9:9">
      <c r="I14366" s="2"/>
    </row>
    <row r="14372" spans="9:9">
      <c r="I14372" s="2"/>
    </row>
    <row r="14373" spans="9:9">
      <c r="I14373" s="2"/>
    </row>
    <row r="14374" spans="9:9">
      <c r="I14374" s="2"/>
    </row>
    <row r="14376" spans="9:9">
      <c r="I14376" s="2"/>
    </row>
    <row r="14377" spans="9:9">
      <c r="I14377" s="2"/>
    </row>
    <row r="14378" spans="9:9">
      <c r="I14378" s="2"/>
    </row>
    <row r="14379" spans="9:9">
      <c r="I14379" s="2"/>
    </row>
    <row r="14380" spans="9:9">
      <c r="I14380" s="2"/>
    </row>
    <row r="14381" spans="9:9">
      <c r="I14381" s="2"/>
    </row>
    <row r="14382" spans="9:9">
      <c r="I14382" s="2"/>
    </row>
    <row r="14383" spans="9:9">
      <c r="I14383" s="2"/>
    </row>
    <row r="14384" spans="9:9">
      <c r="I14384" s="2"/>
    </row>
    <row r="14385" spans="9:9">
      <c r="I14385" s="2"/>
    </row>
    <row r="14386" spans="9:9">
      <c r="I14386" s="2"/>
    </row>
    <row r="14387" spans="9:9">
      <c r="I14387" s="2"/>
    </row>
    <row r="14388" spans="9:9">
      <c r="I14388" s="2"/>
    </row>
    <row r="14389" spans="9:9">
      <c r="I14389" s="2"/>
    </row>
    <row r="14390" spans="9:9">
      <c r="I14390" s="2"/>
    </row>
    <row r="14391" spans="9:9">
      <c r="I14391" s="2"/>
    </row>
    <row r="14392" spans="9:9">
      <c r="I14392" s="2"/>
    </row>
    <row r="14393" spans="9:9">
      <c r="I14393" s="2"/>
    </row>
    <row r="14394" spans="9:9">
      <c r="I14394" s="2"/>
    </row>
    <row r="14395" spans="9:9">
      <c r="I14395" s="2"/>
    </row>
    <row r="14397" spans="9:9">
      <c r="I14397" s="2"/>
    </row>
    <row r="14398" spans="9:9">
      <c r="I14398" s="2"/>
    </row>
    <row r="14399" spans="9:9">
      <c r="I14399" s="2"/>
    </row>
    <row r="14400" spans="9:9">
      <c r="I14400" s="2"/>
    </row>
    <row r="14401" spans="9:9">
      <c r="I14401" s="2"/>
    </row>
    <row r="14402" spans="9:9">
      <c r="I14402" s="2"/>
    </row>
    <row r="14403" spans="9:9">
      <c r="I14403" s="2"/>
    </row>
    <row r="14404" spans="9:9">
      <c r="I14404" s="2"/>
    </row>
    <row r="14405" spans="9:9">
      <c r="I14405" s="2"/>
    </row>
    <row r="14408" spans="9:9">
      <c r="I14408" s="2"/>
    </row>
    <row r="14409" spans="9:9">
      <c r="I14409" s="2"/>
    </row>
    <row r="14410" spans="9:9">
      <c r="I14410" s="2"/>
    </row>
    <row r="14411" spans="9:9">
      <c r="I14411" s="2"/>
    </row>
    <row r="14412" spans="9:9">
      <c r="I14412" s="2"/>
    </row>
    <row r="14413" spans="9:9">
      <c r="I14413" s="2"/>
    </row>
    <row r="14414" spans="9:9">
      <c r="I14414" s="2"/>
    </row>
    <row r="14415" spans="9:9">
      <c r="I14415" s="2"/>
    </row>
    <row r="14421" spans="9:9">
      <c r="I14421" s="2"/>
    </row>
    <row r="14423" spans="9:9">
      <c r="I14423" s="2"/>
    </row>
    <row r="14437" spans="9:9">
      <c r="I14437" s="2"/>
    </row>
    <row r="14438" spans="9:9">
      <c r="I14438" s="2"/>
    </row>
    <row r="14439" spans="9:9">
      <c r="I14439" s="2"/>
    </row>
    <row r="14440" spans="9:9">
      <c r="I14440" s="2"/>
    </row>
    <row r="14444" spans="9:9">
      <c r="I14444" s="2"/>
    </row>
    <row r="14446" spans="9:9">
      <c r="I14446" s="2"/>
    </row>
    <row r="14449" spans="9:9">
      <c r="I14449" s="2"/>
    </row>
    <row r="14450" spans="9:9">
      <c r="I14450" s="2"/>
    </row>
    <row r="14451" spans="9:9">
      <c r="I14451" s="2"/>
    </row>
    <row r="14454" spans="9:9">
      <c r="I14454" s="2"/>
    </row>
    <row r="14455" spans="9:9">
      <c r="I14455" s="2"/>
    </row>
    <row r="14459" spans="9:9">
      <c r="I14459" s="2"/>
    </row>
    <row r="14462" spans="9:9">
      <c r="I14462" s="2"/>
    </row>
    <row r="14465" spans="8:8">
      <c r="H14465" s="2"/>
    </row>
    <row r="14466" spans="8:8">
      <c r="H14466" s="2"/>
    </row>
    <row r="14467" spans="8:8">
      <c r="H14467" s="2"/>
    </row>
    <row r="14468" spans="8:8">
      <c r="H14468" s="2"/>
    </row>
    <row r="14469" spans="8:8">
      <c r="H14469" s="2"/>
    </row>
    <row r="14470" spans="8:8">
      <c r="H14470" s="2"/>
    </row>
    <row r="14471" spans="8:8">
      <c r="H14471" s="2"/>
    </row>
    <row r="14472" spans="8:8">
      <c r="H14472" s="2"/>
    </row>
    <row r="14473" spans="8:8">
      <c r="H14473" s="2"/>
    </row>
    <row r="14474" spans="8:8">
      <c r="H14474" s="2"/>
    </row>
    <row r="14475" spans="8:8">
      <c r="H14475" s="2"/>
    </row>
    <row r="14476" spans="8:8">
      <c r="H14476" s="2"/>
    </row>
    <row r="14477" spans="8:8">
      <c r="H14477" s="2"/>
    </row>
    <row r="14478" spans="8:8">
      <c r="H14478" s="2"/>
    </row>
    <row r="14479" spans="8:8">
      <c r="H14479" s="2"/>
    </row>
    <row r="14480" spans="8:8">
      <c r="H14480" s="2"/>
    </row>
    <row r="14481" spans="8:8">
      <c r="H14481" s="2"/>
    </row>
    <row r="14482" spans="8:8">
      <c r="H14482" s="2"/>
    </row>
    <row r="14483" spans="8:8">
      <c r="H14483" s="2"/>
    </row>
    <row r="14484" spans="8:8">
      <c r="H14484" s="2"/>
    </row>
    <row r="14485" spans="8:8">
      <c r="H14485" s="2"/>
    </row>
    <row r="14486" spans="8:8">
      <c r="H14486" s="2"/>
    </row>
    <row r="14487" spans="8:8">
      <c r="H14487" s="2"/>
    </row>
    <row r="14488" spans="8:8">
      <c r="H14488" s="2"/>
    </row>
    <row r="14489" spans="8:8">
      <c r="H14489" s="2"/>
    </row>
    <row r="14508" spans="10:10">
      <c r="J14508" s="2"/>
    </row>
    <row r="14513" spans="8:9">
      <c r="H14513" s="2"/>
      <c r="I14513" s="2"/>
    </row>
    <row r="14514" spans="8:9">
      <c r="H14514" s="2"/>
      <c r="I14514" s="2"/>
    </row>
    <row r="14515" spans="8:9">
      <c r="H14515" s="2"/>
    </row>
    <row r="14516" spans="8:9">
      <c r="H14516" s="2"/>
    </row>
    <row r="14517" spans="8:9">
      <c r="H14517" s="2"/>
    </row>
    <row r="14518" spans="8:9">
      <c r="H14518" s="2"/>
      <c r="I14518" s="2"/>
    </row>
    <row r="14519" spans="8:9">
      <c r="H14519" s="2"/>
      <c r="I14519" s="2"/>
    </row>
    <row r="14520" spans="8:9">
      <c r="H14520" s="2"/>
      <c r="I14520" s="2"/>
    </row>
    <row r="14521" spans="8:9">
      <c r="H14521" s="2"/>
      <c r="I14521" s="2"/>
    </row>
    <row r="14522" spans="8:9">
      <c r="H14522" s="2"/>
      <c r="I14522" s="2"/>
    </row>
    <row r="14523" spans="8:9">
      <c r="H14523" s="2"/>
    </row>
    <row r="14524" spans="8:9">
      <c r="H14524" s="2"/>
      <c r="I14524" s="2"/>
    </row>
    <row r="14525" spans="8:9">
      <c r="H14525" s="2"/>
    </row>
    <row r="14526" spans="8:9">
      <c r="H14526" s="2"/>
    </row>
    <row r="14527" spans="8:9">
      <c r="H14527" s="2"/>
    </row>
    <row r="14528" spans="8:9">
      <c r="H14528" s="2"/>
    </row>
    <row r="14529" spans="8:8">
      <c r="H14529" s="2"/>
    </row>
    <row r="14530" spans="8:8">
      <c r="H14530" s="2"/>
    </row>
    <row r="14531" spans="8:8">
      <c r="H14531" s="2"/>
    </row>
    <row r="14532" spans="8:8">
      <c r="H14532" s="2"/>
    </row>
    <row r="14533" spans="8:8">
      <c r="H14533" s="2"/>
    </row>
    <row r="14534" spans="8:8">
      <c r="H14534" s="2"/>
    </row>
    <row r="14535" spans="8:8">
      <c r="H14535" s="2"/>
    </row>
    <row r="14536" spans="8:8">
      <c r="H14536" s="2"/>
    </row>
    <row r="14537" spans="8:8">
      <c r="H14537" s="2"/>
    </row>
    <row r="14538" spans="8:8">
      <c r="H14538" s="2"/>
    </row>
    <row r="14539" spans="8:8">
      <c r="H14539" s="2"/>
    </row>
    <row r="14540" spans="8:8">
      <c r="H14540" s="2"/>
    </row>
    <row r="14541" spans="8:8">
      <c r="H14541" s="2"/>
    </row>
    <row r="14542" spans="8:8">
      <c r="H14542" s="2"/>
    </row>
    <row r="14543" spans="8:8">
      <c r="H14543" s="2"/>
    </row>
    <row r="14544" spans="8:8">
      <c r="H14544" s="2"/>
    </row>
    <row r="14545" spans="8:10">
      <c r="H14545" s="2"/>
    </row>
    <row r="14546" spans="8:10">
      <c r="H14546" s="2"/>
    </row>
    <row r="14547" spans="8:10">
      <c r="H14547" s="2"/>
    </row>
    <row r="14548" spans="8:10">
      <c r="H14548" s="2"/>
    </row>
    <row r="14549" spans="8:10">
      <c r="H14549" s="2"/>
    </row>
    <row r="14550" spans="8:10">
      <c r="H14550" s="2"/>
    </row>
    <row r="14551" spans="8:10">
      <c r="H14551" s="2"/>
    </row>
    <row r="14552" spans="8:10">
      <c r="H14552" s="2"/>
    </row>
    <row r="14553" spans="8:10">
      <c r="H14553" s="2"/>
    </row>
    <row r="14554" spans="8:10">
      <c r="H14554" s="2"/>
    </row>
    <row r="14555" spans="8:10">
      <c r="H14555" s="2"/>
      <c r="I14555" s="2"/>
    </row>
    <row r="14556" spans="8:10">
      <c r="H14556" s="2"/>
      <c r="I14556" s="2"/>
    </row>
    <row r="14557" spans="8:10">
      <c r="H14557" s="2"/>
      <c r="J14557" s="2"/>
    </row>
    <row r="14558" spans="8:10">
      <c r="H14558" s="2"/>
    </row>
    <row r="14559" spans="8:10">
      <c r="H14559" s="2"/>
    </row>
    <row r="14560" spans="8:10">
      <c r="H14560" s="2"/>
      <c r="I14560" s="2"/>
    </row>
    <row r="14561" spans="8:9">
      <c r="H14561" s="2"/>
      <c r="I14561" s="2"/>
    </row>
    <row r="14562" spans="8:9">
      <c r="H14562" s="2"/>
      <c r="I14562" s="2"/>
    </row>
    <row r="14563" spans="8:9">
      <c r="H14563" s="2"/>
      <c r="I14563" s="2"/>
    </row>
    <row r="14564" spans="8:9">
      <c r="H14564" s="2"/>
    </row>
    <row r="14565" spans="8:9">
      <c r="H14565" s="2"/>
    </row>
    <row r="14566" spans="8:9">
      <c r="H14566" s="2"/>
    </row>
    <row r="14567" spans="8:9">
      <c r="H14567" s="2"/>
    </row>
    <row r="14568" spans="8:9">
      <c r="H14568" s="2"/>
    </row>
    <row r="14569" spans="8:9">
      <c r="H14569" s="2"/>
    </row>
    <row r="14570" spans="8:9">
      <c r="H14570" s="2"/>
    </row>
    <row r="14571" spans="8:9">
      <c r="H14571" s="2"/>
    </row>
    <row r="14572" spans="8:9">
      <c r="H14572" s="2"/>
    </row>
    <row r="14573" spans="8:9">
      <c r="H14573" s="2"/>
    </row>
    <row r="14574" spans="8:9">
      <c r="H14574" s="2"/>
    </row>
    <row r="14575" spans="8:9">
      <c r="H14575" s="2"/>
    </row>
    <row r="14576" spans="8:9">
      <c r="H14576" s="2"/>
    </row>
    <row r="14577" spans="8:9">
      <c r="H14577" s="2"/>
      <c r="I14577" s="2"/>
    </row>
    <row r="14578" spans="8:9">
      <c r="H14578" s="2"/>
      <c r="I14578" s="2"/>
    </row>
    <row r="14579" spans="8:9">
      <c r="H14579" s="2"/>
    </row>
    <row r="14580" spans="8:9">
      <c r="H14580" s="2"/>
      <c r="I14580" s="2"/>
    </row>
    <row r="14581" spans="8:9">
      <c r="H14581" s="2"/>
      <c r="I14581" s="2"/>
    </row>
    <row r="14582" spans="8:9">
      <c r="H14582" s="2"/>
    </row>
    <row r="14583" spans="8:9">
      <c r="H14583" s="2"/>
      <c r="I14583" s="2"/>
    </row>
    <row r="14584" spans="8:9">
      <c r="H14584" s="2"/>
      <c r="I14584" s="2"/>
    </row>
    <row r="14585" spans="8:9">
      <c r="H14585" s="2"/>
      <c r="I14585" s="2"/>
    </row>
    <row r="14586" spans="8:9">
      <c r="H14586" s="2"/>
      <c r="I14586" s="2"/>
    </row>
    <row r="14587" spans="8:9">
      <c r="H14587" s="2"/>
      <c r="I14587" s="2"/>
    </row>
    <row r="14588" spans="8:9">
      <c r="H14588" s="2"/>
      <c r="I14588" s="2"/>
    </row>
    <row r="14589" spans="8:9">
      <c r="H14589" s="2"/>
      <c r="I14589" s="2"/>
    </row>
    <row r="14590" spans="8:9">
      <c r="H14590" s="2"/>
      <c r="I14590" s="2"/>
    </row>
    <row r="14591" spans="8:9">
      <c r="H14591" s="2"/>
      <c r="I14591" s="2"/>
    </row>
    <row r="14592" spans="8:9">
      <c r="H14592" s="2"/>
      <c r="I14592" s="2"/>
    </row>
    <row r="14593" spans="8:9">
      <c r="H14593" s="2"/>
      <c r="I14593" s="2"/>
    </row>
    <row r="14594" spans="8:9">
      <c r="H14594" s="2"/>
      <c r="I14594" s="2"/>
    </row>
    <row r="14595" spans="8:9">
      <c r="H14595" s="2"/>
    </row>
    <row r="14596" spans="8:9">
      <c r="H14596" s="2"/>
      <c r="I14596" s="2"/>
    </row>
    <row r="14597" spans="8:9">
      <c r="H14597" s="2"/>
    </row>
    <row r="14598" spans="8:9">
      <c r="H14598" s="2"/>
    </row>
    <row r="14599" spans="8:9">
      <c r="H14599" s="2"/>
    </row>
    <row r="14600" spans="8:9">
      <c r="H14600" s="2"/>
    </row>
    <row r="14601" spans="8:9">
      <c r="H14601" s="2"/>
      <c r="I14601" s="2"/>
    </row>
    <row r="14602" spans="8:9">
      <c r="H14602" s="2"/>
      <c r="I14602" s="2"/>
    </row>
    <row r="14603" spans="8:9">
      <c r="H14603" s="2"/>
      <c r="I14603" s="2"/>
    </row>
    <row r="14604" spans="8:9">
      <c r="H14604" s="2"/>
    </row>
    <row r="14605" spans="8:9">
      <c r="H14605" s="2"/>
      <c r="I14605" s="2"/>
    </row>
    <row r="14606" spans="8:9">
      <c r="H14606" s="2"/>
    </row>
    <row r="14607" spans="8:9">
      <c r="H14607" s="2"/>
      <c r="I14607" s="2"/>
    </row>
    <row r="14608" spans="8:9">
      <c r="H14608" s="2"/>
      <c r="I14608" s="2"/>
    </row>
    <row r="14609" spans="8:9">
      <c r="H14609" s="2"/>
      <c r="I14609" s="2"/>
    </row>
    <row r="14610" spans="8:9">
      <c r="H14610" s="2"/>
      <c r="I14610" s="2"/>
    </row>
    <row r="14611" spans="8:9">
      <c r="H14611" s="2"/>
    </row>
    <row r="14612" spans="8:9">
      <c r="H14612" s="2"/>
    </row>
    <row r="14613" spans="8:9">
      <c r="H14613" s="2"/>
    </row>
    <row r="14614" spans="8:9">
      <c r="H14614" s="2"/>
    </row>
    <row r="14615" spans="8:9">
      <c r="H14615" s="2"/>
      <c r="I14615" s="2"/>
    </row>
    <row r="14616" spans="8:9">
      <c r="H14616" s="2"/>
    </row>
    <row r="14617" spans="8:9">
      <c r="H14617" s="2"/>
    </row>
    <row r="14618" spans="8:9">
      <c r="H14618" s="2"/>
      <c r="I14618" s="2"/>
    </row>
    <row r="14619" spans="8:9">
      <c r="H14619" s="2"/>
    </row>
    <row r="14620" spans="8:9">
      <c r="H14620" s="2"/>
      <c r="I14620" s="2"/>
    </row>
    <row r="14621" spans="8:9">
      <c r="H14621" s="2"/>
    </row>
    <row r="14622" spans="8:9">
      <c r="H14622" s="2"/>
      <c r="I14622" s="2"/>
    </row>
    <row r="14623" spans="8:9">
      <c r="H14623" s="2"/>
    </row>
    <row r="14624" spans="8:9">
      <c r="H14624" s="2"/>
    </row>
    <row r="14625" spans="8:9">
      <c r="H14625" s="2"/>
    </row>
    <row r="14626" spans="8:9">
      <c r="H14626" s="2"/>
    </row>
    <row r="14627" spans="8:9">
      <c r="H14627" s="2"/>
    </row>
    <row r="14628" spans="8:9">
      <c r="H14628" s="2"/>
    </row>
    <row r="14629" spans="8:9">
      <c r="H14629" s="2"/>
    </row>
    <row r="14630" spans="8:9">
      <c r="H14630" s="2"/>
    </row>
    <row r="14631" spans="8:9">
      <c r="H14631" s="2"/>
    </row>
    <row r="14632" spans="8:9">
      <c r="H14632" s="2"/>
      <c r="I14632" s="2"/>
    </row>
    <row r="14633" spans="8:9">
      <c r="H14633" s="2"/>
      <c r="I14633" s="2"/>
    </row>
    <row r="14634" spans="8:9">
      <c r="H14634" s="2"/>
      <c r="I14634" s="2"/>
    </row>
    <row r="14635" spans="8:9">
      <c r="H14635" s="2"/>
      <c r="I14635" s="2"/>
    </row>
    <row r="14636" spans="8:9">
      <c r="H14636" s="2"/>
    </row>
    <row r="14637" spans="8:9">
      <c r="H14637" s="2"/>
    </row>
    <row r="14638" spans="8:9">
      <c r="H14638" s="2"/>
    </row>
    <row r="14639" spans="8:9">
      <c r="H14639" s="2"/>
    </row>
    <row r="14640" spans="8:9">
      <c r="H14640" s="2"/>
    </row>
    <row r="14641" spans="8:9">
      <c r="H14641" s="2"/>
    </row>
    <row r="14642" spans="8:9">
      <c r="H14642" s="2"/>
    </row>
    <row r="14643" spans="8:9">
      <c r="H14643" s="2"/>
    </row>
    <row r="14644" spans="8:9">
      <c r="H14644" s="2"/>
    </row>
    <row r="14645" spans="8:9">
      <c r="H14645" s="2"/>
    </row>
    <row r="14646" spans="8:9">
      <c r="H14646" s="2"/>
    </row>
    <row r="14647" spans="8:9">
      <c r="H14647" s="2"/>
    </row>
    <row r="14648" spans="8:9">
      <c r="H14648" s="2"/>
      <c r="I14648" s="2"/>
    </row>
    <row r="14649" spans="8:9">
      <c r="H14649" s="2"/>
      <c r="I14649" s="2"/>
    </row>
    <row r="14650" spans="8:9">
      <c r="H14650" s="2"/>
      <c r="I14650" s="2"/>
    </row>
    <row r="14651" spans="8:9">
      <c r="H14651" s="2"/>
      <c r="I14651" s="2"/>
    </row>
    <row r="14652" spans="8:9">
      <c r="H14652" s="2"/>
      <c r="I14652" s="2"/>
    </row>
    <row r="14653" spans="8:9">
      <c r="H14653" s="2"/>
      <c r="I14653" s="2"/>
    </row>
    <row r="14654" spans="8:9">
      <c r="H14654" s="2"/>
    </row>
    <row r="14655" spans="8:9">
      <c r="H14655" s="2"/>
    </row>
    <row r="14656" spans="8:9">
      <c r="H14656" s="2"/>
    </row>
    <row r="14657" spans="8:8">
      <c r="H14657" s="2"/>
    </row>
    <row r="14658" spans="8:8">
      <c r="H14658" s="2"/>
    </row>
    <row r="14659" spans="8:8">
      <c r="H14659" s="2"/>
    </row>
    <row r="14660" spans="8:8">
      <c r="H14660" s="2"/>
    </row>
    <row r="14661" spans="8:8">
      <c r="H14661" s="2"/>
    </row>
    <row r="14662" spans="8:8">
      <c r="H14662" s="2"/>
    </row>
    <row r="14663" spans="8:8">
      <c r="H14663" s="2"/>
    </row>
    <row r="14664" spans="8:8">
      <c r="H14664" s="2"/>
    </row>
    <row r="14665" spans="8:8">
      <c r="H14665" s="2"/>
    </row>
    <row r="14666" spans="8:8">
      <c r="H14666" s="2"/>
    </row>
    <row r="14667" spans="8:8">
      <c r="H14667" s="2"/>
    </row>
    <row r="14668" spans="8:8">
      <c r="H14668" s="2"/>
    </row>
    <row r="14669" spans="8:8">
      <c r="H14669" s="2"/>
    </row>
    <row r="14670" spans="8:8">
      <c r="H14670" s="2"/>
    </row>
    <row r="14671" spans="8:8">
      <c r="H14671" s="2"/>
    </row>
    <row r="14672" spans="8:8">
      <c r="H14672" s="2"/>
    </row>
    <row r="14673" spans="8:8">
      <c r="H14673" s="2"/>
    </row>
    <row r="14674" spans="8:8">
      <c r="H14674" s="2"/>
    </row>
    <row r="14675" spans="8:8">
      <c r="H14675" s="2"/>
    </row>
    <row r="14676" spans="8:8">
      <c r="H14676" s="2"/>
    </row>
    <row r="14677" spans="8:8">
      <c r="H14677" s="2"/>
    </row>
    <row r="14678" spans="8:8">
      <c r="H14678" s="2"/>
    </row>
    <row r="14679" spans="8:8">
      <c r="H14679" s="2"/>
    </row>
    <row r="14680" spans="8:8">
      <c r="H14680" s="2"/>
    </row>
    <row r="14681" spans="8:8">
      <c r="H14681" s="2"/>
    </row>
    <row r="14682" spans="8:8">
      <c r="H14682" s="2"/>
    </row>
    <row r="14683" spans="8:8">
      <c r="H14683" s="2"/>
    </row>
    <row r="14684" spans="8:8">
      <c r="H14684" s="2"/>
    </row>
    <row r="14685" spans="8:8">
      <c r="H14685" s="2"/>
    </row>
    <row r="14686" spans="8:8">
      <c r="H14686" s="2"/>
    </row>
    <row r="14687" spans="8:8">
      <c r="H14687" s="2"/>
    </row>
    <row r="14688" spans="8:8">
      <c r="H14688" s="2"/>
    </row>
    <row r="14689" spans="8:8">
      <c r="H14689" s="2"/>
    </row>
    <row r="14690" spans="8:8">
      <c r="H14690" s="2"/>
    </row>
    <row r="14691" spans="8:8">
      <c r="H14691" s="2"/>
    </row>
    <row r="14692" spans="8:8">
      <c r="H14692" s="2"/>
    </row>
    <row r="14693" spans="8:8">
      <c r="H14693" s="2"/>
    </row>
    <row r="14694" spans="8:8">
      <c r="H14694" s="2"/>
    </row>
    <row r="14695" spans="8:8">
      <c r="H14695" s="2"/>
    </row>
    <row r="14696" spans="8:8">
      <c r="H14696" s="2"/>
    </row>
    <row r="14697" spans="8:8">
      <c r="H14697" s="2"/>
    </row>
    <row r="14698" spans="8:8">
      <c r="H14698" s="2"/>
    </row>
    <row r="14699" spans="8:8">
      <c r="H14699" s="2"/>
    </row>
    <row r="14700" spans="8:8">
      <c r="H14700" s="2"/>
    </row>
    <row r="14701" spans="8:8">
      <c r="H14701" s="2"/>
    </row>
    <row r="14702" spans="8:8">
      <c r="H14702" s="2"/>
    </row>
    <row r="14703" spans="8:8">
      <c r="H14703" s="2"/>
    </row>
    <row r="14704" spans="8:8">
      <c r="H14704" s="2"/>
    </row>
    <row r="14705" spans="8:8">
      <c r="H14705" s="2"/>
    </row>
    <row r="14706" spans="8:8">
      <c r="H14706" s="2"/>
    </row>
    <row r="14707" spans="8:8">
      <c r="H14707" s="2"/>
    </row>
    <row r="14708" spans="8:8">
      <c r="H14708" s="2"/>
    </row>
    <row r="14709" spans="8:8">
      <c r="H14709" s="2"/>
    </row>
    <row r="14710" spans="8:8">
      <c r="H14710" s="2"/>
    </row>
    <row r="14711" spans="8:8">
      <c r="H14711" s="2"/>
    </row>
    <row r="14712" spans="8:8">
      <c r="H14712" s="2"/>
    </row>
    <row r="14713" spans="8:8">
      <c r="H14713" s="2"/>
    </row>
    <row r="14714" spans="8:8">
      <c r="H14714" s="2"/>
    </row>
    <row r="14715" spans="8:8">
      <c r="H14715" s="2"/>
    </row>
    <row r="14716" spans="8:8">
      <c r="H14716" s="2"/>
    </row>
    <row r="14717" spans="8:8">
      <c r="H14717" s="2"/>
    </row>
    <row r="14718" spans="8:8">
      <c r="H14718" s="2"/>
    </row>
    <row r="14719" spans="8:8">
      <c r="H14719" s="2"/>
    </row>
    <row r="14720" spans="8:8">
      <c r="H14720" s="2"/>
    </row>
    <row r="14721" spans="8:9">
      <c r="H14721" s="2"/>
    </row>
    <row r="14722" spans="8:9">
      <c r="H14722" s="2"/>
    </row>
    <row r="14723" spans="8:9">
      <c r="H14723" s="2"/>
    </row>
    <row r="14724" spans="8:9">
      <c r="H14724" s="2"/>
      <c r="I14724" s="2"/>
    </row>
    <row r="14725" spans="8:9">
      <c r="H14725" s="2"/>
    </row>
    <row r="14726" spans="8:9">
      <c r="H14726" s="2"/>
    </row>
    <row r="14727" spans="8:9">
      <c r="H14727" s="2"/>
    </row>
    <row r="14728" spans="8:9">
      <c r="H14728" s="2"/>
    </row>
    <row r="14729" spans="8:9">
      <c r="H14729" s="2"/>
    </row>
    <row r="14730" spans="8:9">
      <c r="H14730" s="2"/>
    </row>
    <row r="14731" spans="8:9">
      <c r="H14731" s="2"/>
    </row>
    <row r="14732" spans="8:9">
      <c r="H14732" s="2"/>
    </row>
    <row r="14733" spans="8:9">
      <c r="H14733" s="2"/>
    </row>
    <row r="14734" spans="8:9">
      <c r="H14734" s="2"/>
    </row>
    <row r="15569" spans="9:9">
      <c r="I15569" s="2"/>
    </row>
    <row r="15651" spans="9:10">
      <c r="J15651" s="2"/>
    </row>
    <row r="15652" spans="9:10">
      <c r="I15652" s="2"/>
    </row>
    <row r="15654" spans="9:10">
      <c r="I15654" s="2"/>
    </row>
    <row r="15657" spans="9:10">
      <c r="I15657" s="2"/>
    </row>
    <row r="15659" spans="9:10">
      <c r="I15659" s="2"/>
    </row>
    <row r="15660" spans="9:10">
      <c r="I15660" s="2"/>
    </row>
    <row r="15661" spans="9:10">
      <c r="I15661" s="2"/>
    </row>
    <row r="15662" spans="9:10">
      <c r="I15662" s="2"/>
    </row>
    <row r="15666" spans="9:9">
      <c r="I15666" s="2"/>
    </row>
    <row r="15674" spans="9:9">
      <c r="I15674" s="2"/>
    </row>
    <row r="15677" spans="9:9">
      <c r="I15677" s="2"/>
    </row>
    <row r="15678" spans="9:9">
      <c r="I15678" s="2"/>
    </row>
    <row r="15683" spans="9:9">
      <c r="I15683" s="2"/>
    </row>
    <row r="15684" spans="9:9">
      <c r="I15684" s="2"/>
    </row>
    <row r="15685" spans="9:9">
      <c r="I15685" s="2"/>
    </row>
    <row r="15686" spans="9:9">
      <c r="I15686" s="2"/>
    </row>
    <row r="15687" spans="9:9">
      <c r="I15687" s="2"/>
    </row>
    <row r="15688" spans="9:9">
      <c r="I15688" s="2"/>
    </row>
    <row r="15689" spans="9:9">
      <c r="I15689" s="2"/>
    </row>
    <row r="15690" spans="9:9">
      <c r="I15690" s="2"/>
    </row>
    <row r="15691" spans="9:9">
      <c r="I15691" s="2"/>
    </row>
    <row r="15692" spans="9:9">
      <c r="I15692" s="2"/>
    </row>
    <row r="15693" spans="9:9">
      <c r="I15693" s="2"/>
    </row>
    <row r="15694" spans="9:9">
      <c r="I15694" s="2"/>
    </row>
    <row r="15695" spans="9:9">
      <c r="I15695" s="2"/>
    </row>
    <row r="15696" spans="9:9">
      <c r="I15696" s="2"/>
    </row>
    <row r="15697" spans="9:9">
      <c r="I15697" s="2"/>
    </row>
    <row r="15698" spans="9:9">
      <c r="I15698" s="2"/>
    </row>
    <row r="15749" spans="9:9">
      <c r="I15749" s="2"/>
    </row>
    <row r="15803" spans="9:9">
      <c r="I15803" s="2"/>
    </row>
    <row r="15805" spans="9:9">
      <c r="I15805" s="2"/>
    </row>
    <row r="15806" spans="9:9">
      <c r="I15806" s="2"/>
    </row>
    <row r="15815" spans="8:9">
      <c r="H15815" s="2"/>
      <c r="I15815" s="2"/>
    </row>
    <row r="15816" spans="8:9">
      <c r="H15816" s="2"/>
    </row>
    <row r="15817" spans="8:9">
      <c r="H15817" s="2"/>
    </row>
    <row r="15818" spans="8:9">
      <c r="H15818" s="2"/>
    </row>
    <row r="15819" spans="8:9">
      <c r="H15819" s="2"/>
    </row>
    <row r="15820" spans="8:9">
      <c r="H15820" s="2"/>
    </row>
    <row r="15821" spans="8:9">
      <c r="H15821" s="2"/>
    </row>
    <row r="15822" spans="8:9">
      <c r="H15822" s="2"/>
    </row>
    <row r="15823" spans="8:9">
      <c r="H15823" s="2"/>
    </row>
    <row r="15824" spans="8:9">
      <c r="H15824" s="2"/>
    </row>
    <row r="15825" spans="8:8">
      <c r="H15825" s="2"/>
    </row>
    <row r="15826" spans="8:8">
      <c r="H15826" s="2"/>
    </row>
    <row r="15827" spans="8:8">
      <c r="H15827" s="2"/>
    </row>
    <row r="15828" spans="8:8">
      <c r="H15828" s="2"/>
    </row>
    <row r="15829" spans="8:8">
      <c r="H15829" s="2"/>
    </row>
    <row r="15830" spans="8:8">
      <c r="H15830" s="2"/>
    </row>
    <row r="15831" spans="8:8">
      <c r="H15831" s="2"/>
    </row>
    <row r="15832" spans="8:8">
      <c r="H15832" s="2"/>
    </row>
    <row r="15833" spans="8:8">
      <c r="H15833" s="2"/>
    </row>
    <row r="15834" spans="8:8">
      <c r="H15834" s="2"/>
    </row>
    <row r="15835" spans="8:8">
      <c r="H15835" s="2"/>
    </row>
    <row r="15836" spans="8:8">
      <c r="H15836" s="2"/>
    </row>
    <row r="15837" spans="8:8">
      <c r="H15837" s="2"/>
    </row>
    <row r="15838" spans="8:8">
      <c r="H15838" s="2"/>
    </row>
    <row r="15839" spans="8:8">
      <c r="H15839" s="2"/>
    </row>
    <row r="15840" spans="8:8">
      <c r="H15840" s="2"/>
    </row>
    <row r="15841" spans="8:8">
      <c r="H15841" s="2"/>
    </row>
    <row r="15842" spans="8:8">
      <c r="H15842" s="2"/>
    </row>
    <row r="15843" spans="8:8">
      <c r="H15843" s="2"/>
    </row>
    <row r="15844" spans="8:8">
      <c r="H15844" s="2"/>
    </row>
    <row r="15845" spans="8:8">
      <c r="H15845" s="2"/>
    </row>
    <row r="15846" spans="8:8">
      <c r="H15846" s="2"/>
    </row>
  </sheetData>
  <autoFilter ref="A1:AX3715" xr:uid="{19D77D71-2ECF-4AB6-A163-BEF19C2E6D2C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DDDF6-E77F-4EB2-8E7A-5BD84EBE2A53}">
  <sheetPr codeName="Hoja7">
    <tabColor rgb="FF92D050"/>
  </sheetPr>
  <dimension ref="A1:AG1569"/>
  <sheetViews>
    <sheetView topLeftCell="A137" zoomScale="85" zoomScaleNormal="85" workbookViewId="0">
      <selection activeCell="G159" sqref="G159"/>
    </sheetView>
  </sheetViews>
  <sheetFormatPr baseColWidth="10" defaultColWidth="11.44140625" defaultRowHeight="14.4"/>
  <cols>
    <col min="5" max="5" width="21.88671875" customWidth="1"/>
    <col min="7" max="7" width="13.88671875" customWidth="1"/>
    <col min="8" max="8" width="18.88671875" bestFit="1" customWidth="1"/>
    <col min="28" max="28" width="13.5546875" bestFit="1" customWidth="1"/>
    <col min="29" max="29" width="41.44140625" customWidth="1"/>
  </cols>
  <sheetData>
    <row r="1" spans="1:33">
      <c r="A1" s="11" t="s">
        <v>847</v>
      </c>
      <c r="B1" s="11" t="s">
        <v>13</v>
      </c>
      <c r="C1" s="11" t="s">
        <v>848</v>
      </c>
      <c r="D1" s="11" t="s">
        <v>849</v>
      </c>
      <c r="E1" s="11" t="s">
        <v>15</v>
      </c>
      <c r="F1" s="11" t="s">
        <v>33</v>
      </c>
      <c r="G1" s="25" t="s">
        <v>17</v>
      </c>
      <c r="H1" s="11" t="s">
        <v>34</v>
      </c>
      <c r="I1" s="11" t="s">
        <v>850</v>
      </c>
      <c r="J1" s="20" t="s">
        <v>37</v>
      </c>
      <c r="K1" s="20" t="s">
        <v>38</v>
      </c>
      <c r="L1" s="20" t="s">
        <v>851</v>
      </c>
      <c r="M1" s="20" t="s">
        <v>852</v>
      </c>
      <c r="N1" s="20" t="s">
        <v>853</v>
      </c>
      <c r="O1" s="20" t="s">
        <v>854</v>
      </c>
      <c r="P1" s="11" t="s">
        <v>855</v>
      </c>
      <c r="Q1" s="11" t="s">
        <v>856</v>
      </c>
      <c r="R1" s="11" t="s">
        <v>857</v>
      </c>
      <c r="S1" s="11" t="s">
        <v>858</v>
      </c>
      <c r="T1" s="11" t="s">
        <v>859</v>
      </c>
      <c r="U1" s="11" t="s">
        <v>860</v>
      </c>
      <c r="V1" s="11" t="s">
        <v>861</v>
      </c>
      <c r="W1" s="11" t="s">
        <v>862</v>
      </c>
      <c r="X1" s="11" t="s">
        <v>64</v>
      </c>
      <c r="Y1" s="11" t="s">
        <v>863</v>
      </c>
      <c r="Z1" s="11" t="s">
        <v>864</v>
      </c>
      <c r="AA1" s="11" t="s">
        <v>865</v>
      </c>
      <c r="AB1" s="11"/>
      <c r="AC1" s="11" t="s">
        <v>866</v>
      </c>
      <c r="AD1" s="11" t="s">
        <v>867</v>
      </c>
      <c r="AE1" s="11" t="s">
        <v>868</v>
      </c>
      <c r="AF1" s="11" t="s">
        <v>869</v>
      </c>
      <c r="AG1" s="11" t="s">
        <v>870</v>
      </c>
    </row>
    <row r="2" spans="1:33">
      <c r="A2">
        <v>1</v>
      </c>
      <c r="B2">
        <v>33</v>
      </c>
      <c r="C2" t="s">
        <v>74</v>
      </c>
      <c r="D2" t="s">
        <v>1209</v>
      </c>
      <c r="E2" t="s">
        <v>1210</v>
      </c>
      <c r="F2">
        <v>1827</v>
      </c>
      <c r="G2" s="153" t="s">
        <v>706</v>
      </c>
      <c r="H2" t="s">
        <v>1211</v>
      </c>
      <c r="J2" s="21">
        <v>0</v>
      </c>
      <c r="K2" s="21">
        <v>951020</v>
      </c>
      <c r="L2" s="21">
        <v>180694</v>
      </c>
      <c r="M2" s="21"/>
      <c r="N2" s="21"/>
      <c r="O2" s="21">
        <v>1131714</v>
      </c>
      <c r="P2" s="21"/>
      <c r="Q2" s="21"/>
      <c r="R2" s="21"/>
      <c r="S2" s="21"/>
      <c r="T2" s="21">
        <v>0</v>
      </c>
      <c r="U2" s="21"/>
      <c r="V2" s="21"/>
      <c r="W2" s="21"/>
      <c r="X2" s="21">
        <v>0</v>
      </c>
      <c r="Y2" s="21"/>
      <c r="Z2" s="21"/>
      <c r="AA2" s="21"/>
      <c r="AB2" s="21"/>
      <c r="AC2" t="s">
        <v>1254</v>
      </c>
      <c r="AD2" t="s">
        <v>871</v>
      </c>
      <c r="AE2" s="21">
        <v>2024</v>
      </c>
      <c r="AF2">
        <v>7</v>
      </c>
      <c r="AG2" t="s">
        <v>872</v>
      </c>
    </row>
    <row r="3" spans="1:33">
      <c r="A3">
        <v>2</v>
      </c>
      <c r="B3">
        <v>33</v>
      </c>
      <c r="C3" t="s">
        <v>74</v>
      </c>
      <c r="D3" t="s">
        <v>1212</v>
      </c>
      <c r="E3" t="s">
        <v>1213</v>
      </c>
      <c r="F3">
        <v>2220486</v>
      </c>
      <c r="G3" s="153" t="s">
        <v>706</v>
      </c>
      <c r="H3" t="s">
        <v>1214</v>
      </c>
      <c r="J3" s="21">
        <v>0</v>
      </c>
      <c r="K3" s="21">
        <v>4487526</v>
      </c>
      <c r="L3" s="21">
        <v>852630</v>
      </c>
      <c r="M3" s="21"/>
      <c r="N3" s="21"/>
      <c r="O3" s="21">
        <v>5340156</v>
      </c>
      <c r="P3" s="21"/>
      <c r="Q3" s="21"/>
      <c r="R3" s="21"/>
      <c r="S3" s="21"/>
      <c r="T3" s="21">
        <v>0</v>
      </c>
      <c r="U3" s="21"/>
      <c r="V3" s="21"/>
      <c r="W3" s="21"/>
      <c r="X3" s="21">
        <v>0</v>
      </c>
      <c r="Y3" s="21"/>
      <c r="Z3" s="21"/>
      <c r="AA3" s="21"/>
      <c r="AB3" s="21"/>
      <c r="AC3" t="s">
        <v>1254</v>
      </c>
      <c r="AD3" t="s">
        <v>871</v>
      </c>
      <c r="AE3" s="21">
        <v>2024</v>
      </c>
      <c r="AF3">
        <v>7</v>
      </c>
      <c r="AG3" t="s">
        <v>872</v>
      </c>
    </row>
    <row r="4" spans="1:33">
      <c r="A4">
        <v>3</v>
      </c>
      <c r="B4">
        <v>33</v>
      </c>
      <c r="C4" t="s">
        <v>74</v>
      </c>
      <c r="D4" t="s">
        <v>109</v>
      </c>
      <c r="E4" t="s">
        <v>875</v>
      </c>
      <c r="F4">
        <v>4106</v>
      </c>
      <c r="G4" s="154">
        <v>45474</v>
      </c>
      <c r="H4" s="2">
        <v>45298.630289351851</v>
      </c>
      <c r="J4" s="21">
        <v>0</v>
      </c>
      <c r="K4" s="21">
        <v>563634</v>
      </c>
      <c r="L4" s="21">
        <v>107091</v>
      </c>
      <c r="M4" s="21"/>
      <c r="N4" s="21"/>
      <c r="O4" s="21">
        <v>670725</v>
      </c>
      <c r="P4" s="21"/>
      <c r="Q4" s="21"/>
      <c r="R4" s="21"/>
      <c r="S4" s="21"/>
      <c r="T4" s="21">
        <v>0</v>
      </c>
      <c r="U4" s="21"/>
      <c r="V4" s="21"/>
      <c r="W4" s="21"/>
      <c r="X4" s="21">
        <v>0</v>
      </c>
      <c r="Y4" s="21"/>
      <c r="Z4" s="21"/>
      <c r="AA4" s="21"/>
      <c r="AB4" s="21"/>
      <c r="AC4" t="s">
        <v>1254</v>
      </c>
      <c r="AD4" t="s">
        <v>871</v>
      </c>
      <c r="AE4" s="21">
        <v>2024</v>
      </c>
      <c r="AF4">
        <v>7</v>
      </c>
      <c r="AG4" t="s">
        <v>872</v>
      </c>
    </row>
    <row r="5" spans="1:33">
      <c r="A5">
        <v>4</v>
      </c>
      <c r="B5">
        <v>33</v>
      </c>
      <c r="C5" t="s">
        <v>74</v>
      </c>
      <c r="D5" t="s">
        <v>1215</v>
      </c>
      <c r="E5" t="s">
        <v>1216</v>
      </c>
      <c r="F5">
        <v>1855188</v>
      </c>
      <c r="G5" s="154">
        <v>45475</v>
      </c>
      <c r="H5" s="2">
        <v>45329.61142361111</v>
      </c>
      <c r="J5" s="21">
        <v>0</v>
      </c>
      <c r="K5" s="21">
        <v>147408</v>
      </c>
      <c r="L5" s="21">
        <v>28008</v>
      </c>
      <c r="M5" s="21"/>
      <c r="N5" s="21"/>
      <c r="O5" s="21">
        <v>175416</v>
      </c>
      <c r="P5" s="21"/>
      <c r="Q5" s="21"/>
      <c r="R5" s="21"/>
      <c r="S5" s="21"/>
      <c r="T5" s="21">
        <v>0</v>
      </c>
      <c r="U5" s="21"/>
      <c r="V5" s="21"/>
      <c r="W5" s="21"/>
      <c r="X5" s="21">
        <v>0</v>
      </c>
      <c r="Y5" s="21"/>
      <c r="Z5" s="21"/>
      <c r="AA5" s="21"/>
      <c r="AB5" s="21"/>
      <c r="AC5" t="s">
        <v>1254</v>
      </c>
      <c r="AD5" t="s">
        <v>871</v>
      </c>
      <c r="AE5" s="21">
        <v>2024</v>
      </c>
      <c r="AF5">
        <v>7</v>
      </c>
      <c r="AG5" t="s">
        <v>872</v>
      </c>
    </row>
    <row r="6" spans="1:33">
      <c r="A6">
        <v>5</v>
      </c>
      <c r="B6">
        <v>33</v>
      </c>
      <c r="C6" t="s">
        <v>74</v>
      </c>
      <c r="D6" t="s">
        <v>1217</v>
      </c>
      <c r="E6" t="s">
        <v>1218</v>
      </c>
      <c r="F6">
        <v>39786</v>
      </c>
      <c r="G6" s="154" t="s">
        <v>882</v>
      </c>
      <c r="H6" s="2">
        <v>45358.453472222223</v>
      </c>
      <c r="J6" s="21">
        <v>0</v>
      </c>
      <c r="K6" s="21">
        <v>25357</v>
      </c>
      <c r="L6" s="21">
        <v>4818</v>
      </c>
      <c r="M6" s="21"/>
      <c r="N6" s="21"/>
      <c r="O6" s="21">
        <v>30175</v>
      </c>
      <c r="P6" s="21"/>
      <c r="Q6" s="21"/>
      <c r="R6" s="21"/>
      <c r="S6" s="21"/>
      <c r="T6" s="21">
        <v>0</v>
      </c>
      <c r="U6" s="21"/>
      <c r="V6" s="21"/>
      <c r="W6" s="21"/>
      <c r="X6" s="21">
        <v>0</v>
      </c>
      <c r="Y6" s="21"/>
      <c r="Z6" s="21"/>
      <c r="AA6" s="21"/>
      <c r="AB6" s="21"/>
      <c r="AC6" t="s">
        <v>1254</v>
      </c>
      <c r="AD6" t="s">
        <v>871</v>
      </c>
      <c r="AE6" s="21">
        <v>2024</v>
      </c>
      <c r="AF6">
        <v>7</v>
      </c>
      <c r="AG6" t="s">
        <v>872</v>
      </c>
    </row>
    <row r="7" spans="1:33">
      <c r="A7">
        <v>6</v>
      </c>
      <c r="B7">
        <v>33</v>
      </c>
      <c r="C7" t="s">
        <v>74</v>
      </c>
      <c r="D7" t="s">
        <v>1217</v>
      </c>
      <c r="E7" t="s">
        <v>1218</v>
      </c>
      <c r="F7">
        <v>39787</v>
      </c>
      <c r="G7" s="154" t="s">
        <v>882</v>
      </c>
      <c r="H7" s="2">
        <v>45358.453506944446</v>
      </c>
      <c r="J7" s="21">
        <v>0</v>
      </c>
      <c r="K7" s="21">
        <v>2078265</v>
      </c>
      <c r="L7" s="21">
        <v>394870</v>
      </c>
      <c r="M7" s="21"/>
      <c r="N7" s="21"/>
      <c r="O7" s="21">
        <v>2473135</v>
      </c>
      <c r="P7" s="21"/>
      <c r="Q7" s="21"/>
      <c r="R7" s="21"/>
      <c r="S7" s="21"/>
      <c r="T7" s="21">
        <v>0</v>
      </c>
      <c r="U7" s="21"/>
      <c r="V7" s="21"/>
      <c r="W7" s="21"/>
      <c r="X7" s="21">
        <v>0</v>
      </c>
      <c r="Y7" s="21"/>
      <c r="Z7" s="21"/>
      <c r="AA7" s="21"/>
      <c r="AB7" s="21"/>
      <c r="AC7" t="s">
        <v>1254</v>
      </c>
      <c r="AD7" t="s">
        <v>871</v>
      </c>
      <c r="AE7" s="21">
        <v>2024</v>
      </c>
      <c r="AF7">
        <v>7</v>
      </c>
      <c r="AG7" t="s">
        <v>872</v>
      </c>
    </row>
    <row r="8" spans="1:33">
      <c r="A8">
        <v>7</v>
      </c>
      <c r="B8">
        <v>33</v>
      </c>
      <c r="C8" t="s">
        <v>74</v>
      </c>
      <c r="D8" t="s">
        <v>1219</v>
      </c>
      <c r="E8" t="s">
        <v>1220</v>
      </c>
      <c r="F8">
        <v>485902</v>
      </c>
      <c r="G8" s="154">
        <v>45476</v>
      </c>
      <c r="H8" s="2">
        <v>45358.99454861111</v>
      </c>
      <c r="J8" s="21">
        <v>0</v>
      </c>
      <c r="K8" s="21">
        <v>210232</v>
      </c>
      <c r="L8" s="21">
        <v>39944</v>
      </c>
      <c r="M8" s="21"/>
      <c r="N8" s="21"/>
      <c r="O8" s="21">
        <v>250176</v>
      </c>
      <c r="P8" s="21"/>
      <c r="Q8" s="21"/>
      <c r="R8" s="21"/>
      <c r="S8" s="21"/>
      <c r="T8" s="21">
        <v>0</v>
      </c>
      <c r="U8" s="21"/>
      <c r="V8" s="21"/>
      <c r="W8" s="21"/>
      <c r="X8" s="21">
        <v>0</v>
      </c>
      <c r="Y8" s="21"/>
      <c r="Z8" s="21"/>
      <c r="AA8" s="21"/>
      <c r="AB8" s="21"/>
      <c r="AC8" t="s">
        <v>1254</v>
      </c>
      <c r="AD8" t="s">
        <v>871</v>
      </c>
      <c r="AE8" s="21">
        <v>2024</v>
      </c>
      <c r="AF8">
        <v>7</v>
      </c>
      <c r="AG8" t="s">
        <v>872</v>
      </c>
    </row>
    <row r="9" spans="1:33">
      <c r="A9">
        <v>8</v>
      </c>
      <c r="B9">
        <v>33</v>
      </c>
      <c r="C9" t="s">
        <v>74</v>
      </c>
      <c r="D9" t="s">
        <v>1219</v>
      </c>
      <c r="E9" t="s">
        <v>1220</v>
      </c>
      <c r="F9">
        <v>485905</v>
      </c>
      <c r="G9" s="154">
        <v>45476</v>
      </c>
      <c r="H9" s="2">
        <v>45358.994560185187</v>
      </c>
      <c r="J9" s="21">
        <v>0</v>
      </c>
      <c r="K9" s="21">
        <v>210232</v>
      </c>
      <c r="L9" s="21">
        <v>39944</v>
      </c>
      <c r="M9" s="21"/>
      <c r="N9" s="21"/>
      <c r="O9" s="21">
        <v>250176</v>
      </c>
      <c r="P9" s="21"/>
      <c r="Q9" s="21"/>
      <c r="R9" s="21"/>
      <c r="S9" s="21"/>
      <c r="T9" s="21">
        <v>0</v>
      </c>
      <c r="U9" s="21"/>
      <c r="V9" s="21"/>
      <c r="W9" s="21"/>
      <c r="X9" s="21">
        <v>0</v>
      </c>
      <c r="Y9" s="21"/>
      <c r="Z9" s="21"/>
      <c r="AA9" s="21"/>
      <c r="AB9" s="21"/>
      <c r="AC9" t="s">
        <v>1254</v>
      </c>
      <c r="AD9" t="s">
        <v>871</v>
      </c>
      <c r="AE9" s="21">
        <v>2024</v>
      </c>
      <c r="AF9">
        <v>7</v>
      </c>
      <c r="AG9" t="s">
        <v>872</v>
      </c>
    </row>
    <row r="10" spans="1:33">
      <c r="A10">
        <v>9</v>
      </c>
      <c r="B10">
        <v>33</v>
      </c>
      <c r="C10" t="s">
        <v>74</v>
      </c>
      <c r="D10" t="s">
        <v>1219</v>
      </c>
      <c r="E10" t="s">
        <v>1220</v>
      </c>
      <c r="F10">
        <v>485904</v>
      </c>
      <c r="G10" s="154">
        <v>45476</v>
      </c>
      <c r="H10" s="2">
        <v>45358.994560185187</v>
      </c>
      <c r="J10" s="21">
        <v>0</v>
      </c>
      <c r="K10" s="21">
        <v>210232</v>
      </c>
      <c r="L10" s="21">
        <v>39944</v>
      </c>
      <c r="M10" s="21"/>
      <c r="N10" s="21"/>
      <c r="O10" s="21">
        <v>250176</v>
      </c>
      <c r="P10" s="21"/>
      <c r="Q10" s="21"/>
      <c r="R10" s="21"/>
      <c r="S10" s="21"/>
      <c r="T10" s="21">
        <v>0</v>
      </c>
      <c r="U10" s="21"/>
      <c r="V10" s="21"/>
      <c r="W10" s="21"/>
      <c r="X10" s="21">
        <v>0</v>
      </c>
      <c r="Y10" s="21"/>
      <c r="Z10" s="21"/>
      <c r="AA10" s="21"/>
      <c r="AB10" s="21"/>
      <c r="AC10" t="s">
        <v>1254</v>
      </c>
      <c r="AD10" t="s">
        <v>871</v>
      </c>
      <c r="AE10" s="21">
        <v>2024</v>
      </c>
      <c r="AF10">
        <v>7</v>
      </c>
      <c r="AG10" t="s">
        <v>872</v>
      </c>
    </row>
    <row r="11" spans="1:33">
      <c r="A11">
        <v>10</v>
      </c>
      <c r="B11">
        <v>33</v>
      </c>
      <c r="C11" t="s">
        <v>74</v>
      </c>
      <c r="D11" t="s">
        <v>917</v>
      </c>
      <c r="E11" t="s">
        <v>1221</v>
      </c>
      <c r="F11">
        <v>176467</v>
      </c>
      <c r="G11" s="154">
        <v>45476</v>
      </c>
      <c r="H11" s="2">
        <v>45450.066342592596</v>
      </c>
      <c r="J11" s="21">
        <v>0</v>
      </c>
      <c r="K11" s="21">
        <v>970740</v>
      </c>
      <c r="L11" s="21">
        <v>184441</v>
      </c>
      <c r="M11" s="21"/>
      <c r="N11" s="21"/>
      <c r="O11" s="21">
        <v>1155181</v>
      </c>
      <c r="P11" s="21"/>
      <c r="Q11" s="21"/>
      <c r="R11" s="21"/>
      <c r="S11" s="21"/>
      <c r="T11" s="21">
        <v>0</v>
      </c>
      <c r="U11" s="21"/>
      <c r="V11" s="21"/>
      <c r="W11" s="21"/>
      <c r="X11" s="21">
        <v>0</v>
      </c>
      <c r="Y11" s="21"/>
      <c r="Z11" s="21"/>
      <c r="AA11" s="21"/>
      <c r="AB11" s="21"/>
      <c r="AC11" t="s">
        <v>1254</v>
      </c>
      <c r="AD11" t="s">
        <v>871</v>
      </c>
      <c r="AE11" s="21">
        <v>2024</v>
      </c>
      <c r="AF11">
        <v>7</v>
      </c>
      <c r="AG11" t="s">
        <v>872</v>
      </c>
    </row>
    <row r="12" spans="1:33">
      <c r="A12">
        <v>11</v>
      </c>
      <c r="B12">
        <v>33</v>
      </c>
      <c r="C12" t="s">
        <v>74</v>
      </c>
      <c r="D12" t="s">
        <v>1222</v>
      </c>
      <c r="E12" t="s">
        <v>1223</v>
      </c>
      <c r="F12">
        <v>3114273</v>
      </c>
      <c r="G12" s="154">
        <v>45481</v>
      </c>
      <c r="H12" s="2">
        <v>45511.478576388887</v>
      </c>
      <c r="J12" s="21">
        <v>0</v>
      </c>
      <c r="K12" s="21">
        <v>7000832</v>
      </c>
      <c r="L12" s="21">
        <v>1330158</v>
      </c>
      <c r="M12" s="21"/>
      <c r="N12" s="21"/>
      <c r="O12" s="21">
        <v>8330990</v>
      </c>
      <c r="P12" s="21"/>
      <c r="Q12" s="21"/>
      <c r="R12" s="21"/>
      <c r="S12" s="21"/>
      <c r="T12" s="21">
        <v>0</v>
      </c>
      <c r="U12" s="21"/>
      <c r="V12" s="21"/>
      <c r="W12" s="21"/>
      <c r="X12" s="21">
        <v>0</v>
      </c>
      <c r="Y12" s="21"/>
      <c r="Z12" s="21"/>
      <c r="AA12" s="21"/>
      <c r="AB12" s="21"/>
      <c r="AC12" t="s">
        <v>1254</v>
      </c>
      <c r="AD12" t="s">
        <v>871</v>
      </c>
      <c r="AE12" s="21">
        <v>2024</v>
      </c>
      <c r="AF12">
        <v>7</v>
      </c>
      <c r="AG12" t="s">
        <v>872</v>
      </c>
    </row>
    <row r="13" spans="1:33">
      <c r="A13">
        <v>12</v>
      </c>
      <c r="B13">
        <v>33</v>
      </c>
      <c r="C13" t="s">
        <v>74</v>
      </c>
      <c r="D13" t="s">
        <v>1224</v>
      </c>
      <c r="E13" t="s">
        <v>1225</v>
      </c>
      <c r="F13">
        <v>15865</v>
      </c>
      <c r="G13" s="154">
        <v>45485</v>
      </c>
      <c r="H13" s="2">
        <v>45633.647511574076</v>
      </c>
      <c r="J13" s="21">
        <v>0</v>
      </c>
      <c r="K13" s="21">
        <v>1493680</v>
      </c>
      <c r="L13" s="21">
        <v>283799</v>
      </c>
      <c r="M13" s="21"/>
      <c r="N13" s="21"/>
      <c r="O13" s="21">
        <v>1777479</v>
      </c>
      <c r="P13" s="21"/>
      <c r="Q13" s="21"/>
      <c r="R13" s="21"/>
      <c r="S13" s="21"/>
      <c r="T13" s="21">
        <v>0</v>
      </c>
      <c r="U13" s="21"/>
      <c r="V13" s="21"/>
      <c r="W13" s="21"/>
      <c r="X13" s="21">
        <v>0</v>
      </c>
      <c r="Y13" s="21"/>
      <c r="Z13" s="21"/>
      <c r="AA13" s="21"/>
      <c r="AB13" s="21"/>
      <c r="AC13" t="s">
        <v>1254</v>
      </c>
      <c r="AD13" t="s">
        <v>871</v>
      </c>
      <c r="AE13" s="21">
        <v>2024</v>
      </c>
      <c r="AF13">
        <v>7</v>
      </c>
      <c r="AG13" t="s">
        <v>872</v>
      </c>
    </row>
    <row r="14" spans="1:33">
      <c r="A14">
        <v>13</v>
      </c>
      <c r="B14">
        <v>33</v>
      </c>
      <c r="C14" t="s">
        <v>74</v>
      </c>
      <c r="D14" t="s">
        <v>1217</v>
      </c>
      <c r="E14" t="s">
        <v>1218</v>
      </c>
      <c r="F14">
        <v>39851</v>
      </c>
      <c r="G14" s="154">
        <v>45485</v>
      </c>
      <c r="H14" s="2">
        <v>45633.673113425924</v>
      </c>
      <c r="I14" t="s">
        <v>1226</v>
      </c>
      <c r="J14" s="21">
        <v>0</v>
      </c>
      <c r="K14" s="21">
        <v>2103622</v>
      </c>
      <c r="L14" s="21">
        <v>399688</v>
      </c>
      <c r="M14" s="21"/>
      <c r="N14" s="21"/>
      <c r="O14" s="21">
        <v>2503310</v>
      </c>
      <c r="P14" s="21"/>
      <c r="Q14" s="21"/>
      <c r="R14" s="21"/>
      <c r="S14" s="21"/>
      <c r="T14" s="21">
        <v>0</v>
      </c>
      <c r="U14" s="21"/>
      <c r="V14" s="21"/>
      <c r="W14" s="21"/>
      <c r="X14" s="21">
        <v>0</v>
      </c>
      <c r="Y14" s="21"/>
      <c r="Z14" s="21"/>
      <c r="AA14" s="21"/>
      <c r="AB14" s="21"/>
      <c r="AC14" t="s">
        <v>1254</v>
      </c>
      <c r="AD14" t="s">
        <v>871</v>
      </c>
      <c r="AE14" s="21">
        <v>2024</v>
      </c>
      <c r="AF14">
        <v>7</v>
      </c>
      <c r="AG14" t="s">
        <v>872</v>
      </c>
    </row>
    <row r="15" spans="1:33">
      <c r="A15">
        <v>14</v>
      </c>
      <c r="B15">
        <v>33</v>
      </c>
      <c r="C15" t="s">
        <v>74</v>
      </c>
      <c r="D15" t="s">
        <v>1227</v>
      </c>
      <c r="E15" t="s">
        <v>1228</v>
      </c>
      <c r="F15">
        <v>803</v>
      </c>
      <c r="G15" s="153" t="s">
        <v>1255</v>
      </c>
      <c r="H15" s="2" t="s">
        <v>1229</v>
      </c>
      <c r="I15" t="s">
        <v>1230</v>
      </c>
      <c r="J15" s="21">
        <v>0</v>
      </c>
      <c r="K15" s="21">
        <v>2980000</v>
      </c>
      <c r="L15" s="21">
        <v>566200</v>
      </c>
      <c r="M15" s="21"/>
      <c r="N15" s="21"/>
      <c r="O15" s="21">
        <v>3546200</v>
      </c>
      <c r="P15" s="21"/>
      <c r="Q15" s="21"/>
      <c r="R15" s="21"/>
      <c r="S15" s="21"/>
      <c r="T15" s="21">
        <v>0</v>
      </c>
      <c r="U15" s="21"/>
      <c r="V15" s="21"/>
      <c r="W15" s="21"/>
      <c r="X15" s="21">
        <v>0</v>
      </c>
      <c r="Y15" s="21"/>
      <c r="Z15" s="21"/>
      <c r="AA15" s="21"/>
      <c r="AB15" s="21"/>
      <c r="AC15" t="s">
        <v>1254</v>
      </c>
      <c r="AD15" t="s">
        <v>871</v>
      </c>
      <c r="AE15" s="21">
        <v>2024</v>
      </c>
      <c r="AF15">
        <v>7</v>
      </c>
      <c r="AG15" t="s">
        <v>872</v>
      </c>
    </row>
    <row r="16" spans="1:33">
      <c r="A16">
        <v>15</v>
      </c>
      <c r="B16">
        <v>33</v>
      </c>
      <c r="C16" t="s">
        <v>74</v>
      </c>
      <c r="D16" t="s">
        <v>1231</v>
      </c>
      <c r="E16" t="s">
        <v>1232</v>
      </c>
      <c r="F16">
        <v>997848</v>
      </c>
      <c r="G16" s="153" t="s">
        <v>777</v>
      </c>
      <c r="H16" s="2" t="s">
        <v>1233</v>
      </c>
      <c r="J16" s="21">
        <v>0</v>
      </c>
      <c r="K16" s="21">
        <v>93429</v>
      </c>
      <c r="L16" s="21">
        <v>17752</v>
      </c>
      <c r="M16" s="21"/>
      <c r="N16" s="21"/>
      <c r="O16" s="21">
        <v>111181</v>
      </c>
      <c r="P16" s="21"/>
      <c r="Q16" s="21"/>
      <c r="R16" s="21"/>
      <c r="S16" s="21"/>
      <c r="T16" s="21">
        <v>0</v>
      </c>
      <c r="U16" s="21"/>
      <c r="V16" s="21"/>
      <c r="W16" s="21"/>
      <c r="X16" s="21">
        <v>0</v>
      </c>
      <c r="Y16" s="21"/>
      <c r="Z16" s="21"/>
      <c r="AA16" s="21"/>
      <c r="AB16" s="21"/>
      <c r="AC16" t="s">
        <v>1254</v>
      </c>
      <c r="AD16" t="s">
        <v>871</v>
      </c>
      <c r="AE16" s="21">
        <v>2024</v>
      </c>
      <c r="AF16">
        <v>7</v>
      </c>
      <c r="AG16" t="s">
        <v>872</v>
      </c>
    </row>
    <row r="17" spans="1:33">
      <c r="A17">
        <v>16</v>
      </c>
      <c r="B17">
        <v>33</v>
      </c>
      <c r="C17" t="s">
        <v>74</v>
      </c>
      <c r="D17" t="s">
        <v>1222</v>
      </c>
      <c r="E17" t="s">
        <v>1223</v>
      </c>
      <c r="F17">
        <v>3124778</v>
      </c>
      <c r="G17" s="153" t="s">
        <v>777</v>
      </c>
      <c r="H17" s="2" t="s">
        <v>1234</v>
      </c>
      <c r="I17" t="s">
        <v>1235</v>
      </c>
      <c r="J17" s="21">
        <v>0</v>
      </c>
      <c r="K17" s="21">
        <v>20759126</v>
      </c>
      <c r="L17" s="21">
        <v>3944234</v>
      </c>
      <c r="M17" s="21"/>
      <c r="N17" s="21"/>
      <c r="O17" s="21">
        <v>24703360</v>
      </c>
      <c r="P17" s="21"/>
      <c r="Q17" s="21"/>
      <c r="R17" s="21"/>
      <c r="S17" s="21"/>
      <c r="T17" s="21">
        <v>0</v>
      </c>
      <c r="U17" s="21"/>
      <c r="V17" s="21"/>
      <c r="W17" s="21"/>
      <c r="X17" s="21">
        <v>0</v>
      </c>
      <c r="Y17" s="21"/>
      <c r="Z17" s="21"/>
      <c r="AA17" s="21"/>
      <c r="AB17" s="21"/>
      <c r="AC17" t="s">
        <v>1254</v>
      </c>
      <c r="AD17" t="s">
        <v>871</v>
      </c>
      <c r="AE17" s="21">
        <v>2024</v>
      </c>
      <c r="AF17">
        <v>7</v>
      </c>
      <c r="AG17" t="s">
        <v>872</v>
      </c>
    </row>
    <row r="18" spans="1:33">
      <c r="A18">
        <v>17</v>
      </c>
      <c r="B18">
        <v>33</v>
      </c>
      <c r="C18" t="s">
        <v>74</v>
      </c>
      <c r="D18" t="s">
        <v>1236</v>
      </c>
      <c r="E18" t="s">
        <v>1237</v>
      </c>
      <c r="F18">
        <v>128196</v>
      </c>
      <c r="G18" s="153" t="s">
        <v>778</v>
      </c>
      <c r="H18" s="2" t="s">
        <v>1238</v>
      </c>
      <c r="I18" t="s">
        <v>1239</v>
      </c>
      <c r="J18" s="21">
        <v>0</v>
      </c>
      <c r="K18" s="21">
        <v>112727</v>
      </c>
      <c r="L18" s="21">
        <v>21418</v>
      </c>
      <c r="M18" s="21"/>
      <c r="N18" s="21"/>
      <c r="O18" s="21">
        <v>134145</v>
      </c>
      <c r="P18" s="21"/>
      <c r="Q18" s="21"/>
      <c r="R18" s="21"/>
      <c r="S18" s="21"/>
      <c r="T18" s="21">
        <v>0</v>
      </c>
      <c r="U18" s="21"/>
      <c r="V18" s="21"/>
      <c r="W18" s="21"/>
      <c r="X18" s="21">
        <v>0</v>
      </c>
      <c r="Y18" s="21"/>
      <c r="Z18" s="21"/>
      <c r="AA18" s="21"/>
      <c r="AB18" s="21"/>
      <c r="AC18" t="s">
        <v>1254</v>
      </c>
      <c r="AD18" t="s">
        <v>871</v>
      </c>
      <c r="AE18" s="21">
        <v>2024</v>
      </c>
      <c r="AF18">
        <v>7</v>
      </c>
      <c r="AG18" t="s">
        <v>872</v>
      </c>
    </row>
    <row r="19" spans="1:33">
      <c r="A19">
        <v>18</v>
      </c>
      <c r="B19">
        <v>33</v>
      </c>
      <c r="C19" t="s">
        <v>74</v>
      </c>
      <c r="D19" t="s">
        <v>1240</v>
      </c>
      <c r="E19" t="s">
        <v>1241</v>
      </c>
      <c r="F19">
        <v>6586</v>
      </c>
      <c r="G19" s="154" t="s">
        <v>778</v>
      </c>
      <c r="H19" s="155" t="s">
        <v>1242</v>
      </c>
      <c r="J19" s="21">
        <v>0</v>
      </c>
      <c r="K19" s="21">
        <v>50000</v>
      </c>
      <c r="L19" s="21">
        <v>9500</v>
      </c>
      <c r="M19" s="21"/>
      <c r="N19" s="21"/>
      <c r="O19" s="21">
        <v>59500</v>
      </c>
      <c r="P19" s="21"/>
      <c r="Q19" s="21"/>
      <c r="R19" s="21"/>
      <c r="S19" s="21"/>
      <c r="T19" s="21">
        <v>0</v>
      </c>
      <c r="U19" s="21"/>
      <c r="V19" s="21"/>
      <c r="W19" s="21"/>
      <c r="X19" s="21">
        <v>0</v>
      </c>
      <c r="Y19" s="21"/>
      <c r="Z19" s="21"/>
      <c r="AA19" s="21"/>
      <c r="AB19" s="21"/>
      <c r="AC19" t="s">
        <v>1254</v>
      </c>
      <c r="AD19" t="s">
        <v>871</v>
      </c>
      <c r="AE19" s="21">
        <v>2024</v>
      </c>
      <c r="AF19">
        <v>7</v>
      </c>
      <c r="AG19" t="s">
        <v>872</v>
      </c>
    </row>
    <row r="20" spans="1:33">
      <c r="A20">
        <v>19</v>
      </c>
      <c r="B20">
        <v>33</v>
      </c>
      <c r="C20" t="s">
        <v>74</v>
      </c>
      <c r="D20" t="s">
        <v>1215</v>
      </c>
      <c r="E20" t="s">
        <v>1216</v>
      </c>
      <c r="F20">
        <v>1872771</v>
      </c>
      <c r="G20" s="154" t="s">
        <v>784</v>
      </c>
      <c r="H20" s="155" t="s">
        <v>1243</v>
      </c>
      <c r="J20" s="21">
        <v>0</v>
      </c>
      <c r="K20" s="21">
        <v>146845</v>
      </c>
      <c r="L20" s="21">
        <v>27901</v>
      </c>
      <c r="M20" s="21"/>
      <c r="N20" s="21"/>
      <c r="O20" s="21">
        <v>174746</v>
      </c>
      <c r="P20" s="21"/>
      <c r="Q20" s="21"/>
      <c r="R20" s="21"/>
      <c r="S20" s="21"/>
      <c r="T20" s="21">
        <v>0</v>
      </c>
      <c r="U20" s="21"/>
      <c r="V20" s="21"/>
      <c r="W20" s="21"/>
      <c r="X20" s="21">
        <v>0</v>
      </c>
      <c r="Y20" s="21"/>
      <c r="Z20" s="21"/>
      <c r="AA20" s="21"/>
      <c r="AB20" s="21"/>
      <c r="AC20" t="s">
        <v>1254</v>
      </c>
      <c r="AD20" t="s">
        <v>871</v>
      </c>
      <c r="AE20" s="21">
        <v>2024</v>
      </c>
      <c r="AF20">
        <v>7</v>
      </c>
      <c r="AG20" t="s">
        <v>872</v>
      </c>
    </row>
    <row r="21" spans="1:33">
      <c r="A21">
        <v>20</v>
      </c>
      <c r="B21">
        <v>33</v>
      </c>
      <c r="C21" t="s">
        <v>74</v>
      </c>
      <c r="D21" t="s">
        <v>1215</v>
      </c>
      <c r="E21" t="s">
        <v>1216</v>
      </c>
      <c r="F21">
        <v>1872772</v>
      </c>
      <c r="G21" s="154" t="s">
        <v>784</v>
      </c>
      <c r="H21" s="2" t="s">
        <v>1244</v>
      </c>
      <c r="J21" s="21">
        <v>0</v>
      </c>
      <c r="K21" s="21">
        <v>146845</v>
      </c>
      <c r="L21" s="21">
        <v>27901</v>
      </c>
      <c r="M21" s="21"/>
      <c r="N21" s="21"/>
      <c r="O21" s="21">
        <v>174746</v>
      </c>
      <c r="P21" s="21"/>
      <c r="Q21" s="21"/>
      <c r="R21" s="21"/>
      <c r="S21" s="21"/>
      <c r="T21" s="21">
        <v>0</v>
      </c>
      <c r="U21" s="21"/>
      <c r="V21" s="21"/>
      <c r="W21" s="21"/>
      <c r="X21" s="21">
        <v>0</v>
      </c>
      <c r="Y21" s="21"/>
      <c r="Z21" s="21"/>
      <c r="AA21" s="21"/>
      <c r="AB21" s="21"/>
      <c r="AC21" t="s">
        <v>1254</v>
      </c>
      <c r="AD21" t="s">
        <v>871</v>
      </c>
      <c r="AE21" s="21">
        <v>2024</v>
      </c>
      <c r="AF21">
        <v>7</v>
      </c>
      <c r="AG21" t="s">
        <v>872</v>
      </c>
    </row>
    <row r="22" spans="1:33">
      <c r="A22">
        <v>21</v>
      </c>
      <c r="B22">
        <v>33</v>
      </c>
      <c r="C22" t="s">
        <v>74</v>
      </c>
      <c r="D22" t="s">
        <v>1215</v>
      </c>
      <c r="E22" t="s">
        <v>1216</v>
      </c>
      <c r="F22">
        <v>1872773</v>
      </c>
      <c r="G22" s="154" t="s">
        <v>784</v>
      </c>
      <c r="H22" s="2" t="s">
        <v>1245</v>
      </c>
      <c r="J22" s="21">
        <v>0</v>
      </c>
      <c r="K22" s="21">
        <v>440535</v>
      </c>
      <c r="L22" s="21">
        <v>83703</v>
      </c>
      <c r="M22" s="21"/>
      <c r="N22" s="21"/>
      <c r="O22" s="21">
        <v>524238</v>
      </c>
      <c r="P22" s="21"/>
      <c r="Q22" s="21"/>
      <c r="R22" s="21"/>
      <c r="S22" s="21"/>
      <c r="T22" s="21">
        <v>0</v>
      </c>
      <c r="U22" s="21"/>
      <c r="V22" s="21"/>
      <c r="W22" s="21"/>
      <c r="X22" s="21">
        <v>0</v>
      </c>
      <c r="Y22" s="21"/>
      <c r="Z22" s="21"/>
      <c r="AA22" s="21"/>
      <c r="AB22" s="21"/>
      <c r="AC22" t="s">
        <v>1254</v>
      </c>
      <c r="AD22" t="s">
        <v>871</v>
      </c>
      <c r="AE22" s="21">
        <v>2024</v>
      </c>
      <c r="AF22">
        <v>7</v>
      </c>
      <c r="AG22" t="s">
        <v>872</v>
      </c>
    </row>
    <row r="23" spans="1:33">
      <c r="A23">
        <v>22</v>
      </c>
      <c r="B23">
        <v>33</v>
      </c>
      <c r="C23" t="s">
        <v>74</v>
      </c>
      <c r="D23" t="s">
        <v>1246</v>
      </c>
      <c r="E23" t="s">
        <v>1247</v>
      </c>
      <c r="F23">
        <v>68030</v>
      </c>
      <c r="G23" s="154" t="s">
        <v>1256</v>
      </c>
      <c r="H23" s="2" t="s">
        <v>1248</v>
      </c>
      <c r="J23" s="21">
        <v>0</v>
      </c>
      <c r="K23" s="21">
        <v>149347</v>
      </c>
      <c r="L23" s="21">
        <v>28376</v>
      </c>
      <c r="M23" s="21"/>
      <c r="N23" s="21"/>
      <c r="O23" s="21">
        <v>177723</v>
      </c>
      <c r="P23" s="21"/>
      <c r="Q23" s="21"/>
      <c r="R23" s="21"/>
      <c r="S23" s="21"/>
      <c r="T23" s="21">
        <v>0</v>
      </c>
      <c r="U23" s="21"/>
      <c r="V23" s="21"/>
      <c r="W23" s="21"/>
      <c r="X23" s="21">
        <v>0</v>
      </c>
      <c r="Y23" s="21"/>
      <c r="Z23" s="21"/>
      <c r="AA23" s="21"/>
      <c r="AB23" s="21"/>
      <c r="AC23" t="s">
        <v>1254</v>
      </c>
      <c r="AD23" t="s">
        <v>871</v>
      </c>
      <c r="AE23" s="21">
        <v>2024</v>
      </c>
      <c r="AF23">
        <v>7</v>
      </c>
      <c r="AG23" t="s">
        <v>872</v>
      </c>
    </row>
    <row r="24" spans="1:33">
      <c r="A24">
        <v>23</v>
      </c>
      <c r="B24">
        <v>33</v>
      </c>
      <c r="C24" t="s">
        <v>74</v>
      </c>
      <c r="D24" t="s">
        <v>1212</v>
      </c>
      <c r="E24" t="s">
        <v>1213</v>
      </c>
      <c r="F24">
        <v>2252901</v>
      </c>
      <c r="G24" s="154" t="s">
        <v>785</v>
      </c>
      <c r="H24" s="2" t="s">
        <v>1249</v>
      </c>
      <c r="I24" t="s">
        <v>1250</v>
      </c>
      <c r="J24" s="21">
        <v>0</v>
      </c>
      <c r="K24" s="21">
        <v>5061290</v>
      </c>
      <c r="L24" s="21">
        <v>961645</v>
      </c>
      <c r="M24" s="21"/>
      <c r="N24" s="21"/>
      <c r="O24" s="21">
        <v>6022935</v>
      </c>
      <c r="P24" s="21"/>
      <c r="Q24" s="21"/>
      <c r="R24" s="21"/>
      <c r="S24" s="21"/>
      <c r="T24" s="21">
        <v>0</v>
      </c>
      <c r="U24" s="21"/>
      <c r="V24" s="21"/>
      <c r="W24" s="21"/>
      <c r="X24" s="21">
        <v>0</v>
      </c>
      <c r="Y24" s="21"/>
      <c r="Z24" s="21"/>
      <c r="AA24" s="21"/>
      <c r="AB24" s="21"/>
      <c r="AC24" t="s">
        <v>1254</v>
      </c>
      <c r="AD24" t="s">
        <v>871</v>
      </c>
      <c r="AE24" s="21">
        <v>2024</v>
      </c>
      <c r="AF24">
        <v>7</v>
      </c>
      <c r="AG24" t="s">
        <v>872</v>
      </c>
    </row>
    <row r="25" spans="1:33">
      <c r="A25">
        <v>24</v>
      </c>
      <c r="B25">
        <v>33</v>
      </c>
      <c r="C25" t="s">
        <v>74</v>
      </c>
      <c r="D25" t="s">
        <v>873</v>
      </c>
      <c r="E25" t="s">
        <v>874</v>
      </c>
      <c r="F25">
        <v>48345884</v>
      </c>
      <c r="G25" s="154" t="s">
        <v>785</v>
      </c>
      <c r="H25" s="2" t="s">
        <v>1251</v>
      </c>
      <c r="J25" s="21">
        <v>0</v>
      </c>
      <c r="K25" s="21">
        <v>28915</v>
      </c>
      <c r="L25" s="21">
        <v>5494</v>
      </c>
      <c r="M25" s="21"/>
      <c r="N25" s="21"/>
      <c r="O25" s="21">
        <v>34409</v>
      </c>
      <c r="P25" s="21"/>
      <c r="Q25" s="21"/>
      <c r="R25" s="21"/>
      <c r="S25" s="21"/>
      <c r="T25" s="21">
        <v>0</v>
      </c>
      <c r="U25" s="21"/>
      <c r="V25" s="21"/>
      <c r="W25" s="21"/>
      <c r="X25" s="21">
        <v>0</v>
      </c>
      <c r="Y25" s="21"/>
      <c r="Z25" s="21"/>
      <c r="AA25" s="21"/>
      <c r="AB25" s="21"/>
      <c r="AC25" t="s">
        <v>1254</v>
      </c>
      <c r="AD25" t="s">
        <v>871</v>
      </c>
      <c r="AE25" s="21">
        <v>2024</v>
      </c>
      <c r="AF25">
        <v>7</v>
      </c>
      <c r="AG25" t="s">
        <v>872</v>
      </c>
    </row>
    <row r="26" spans="1:33">
      <c r="A26">
        <v>25</v>
      </c>
      <c r="B26">
        <v>33</v>
      </c>
      <c r="C26" t="s">
        <v>74</v>
      </c>
      <c r="D26" t="s">
        <v>1246</v>
      </c>
      <c r="E26" t="s">
        <v>1247</v>
      </c>
      <c r="F26">
        <v>68223</v>
      </c>
      <c r="G26" s="154" t="s">
        <v>787</v>
      </c>
      <c r="H26" s="2" t="s">
        <v>1252</v>
      </c>
      <c r="J26" s="21">
        <v>0</v>
      </c>
      <c r="K26" s="21">
        <v>274716</v>
      </c>
      <c r="L26" s="21">
        <v>52196</v>
      </c>
      <c r="M26" s="21"/>
      <c r="N26" s="21"/>
      <c r="O26" s="21">
        <v>326912</v>
      </c>
      <c r="P26" s="21"/>
      <c r="Q26" s="21"/>
      <c r="R26" s="21"/>
      <c r="S26" s="21"/>
      <c r="T26" s="21">
        <v>0</v>
      </c>
      <c r="U26" s="21"/>
      <c r="V26" s="21"/>
      <c r="W26" s="21"/>
      <c r="X26" s="21">
        <v>0</v>
      </c>
      <c r="Y26" s="21"/>
      <c r="Z26" s="21"/>
      <c r="AA26" s="21"/>
      <c r="AB26" s="21"/>
      <c r="AC26" t="s">
        <v>1254</v>
      </c>
      <c r="AD26" t="s">
        <v>871</v>
      </c>
      <c r="AE26" s="21">
        <v>2024</v>
      </c>
      <c r="AF26">
        <v>7</v>
      </c>
      <c r="AG26" t="s">
        <v>872</v>
      </c>
    </row>
    <row r="27" spans="1:33">
      <c r="A27">
        <v>26</v>
      </c>
      <c r="B27">
        <v>33</v>
      </c>
      <c r="C27" t="s">
        <v>74</v>
      </c>
      <c r="D27" t="s">
        <v>1246</v>
      </c>
      <c r="E27" t="s">
        <v>1247</v>
      </c>
      <c r="F27">
        <v>68224</v>
      </c>
      <c r="G27" s="154" t="s">
        <v>787</v>
      </c>
      <c r="H27" s="2" t="s">
        <v>1252</v>
      </c>
      <c r="J27" s="21">
        <v>0</v>
      </c>
      <c r="K27" s="21">
        <v>149347</v>
      </c>
      <c r="L27" s="21">
        <v>28376</v>
      </c>
      <c r="M27" s="21"/>
      <c r="N27" s="21"/>
      <c r="O27" s="21">
        <v>177723</v>
      </c>
      <c r="P27" s="21"/>
      <c r="Q27" s="21"/>
      <c r="R27" s="21"/>
      <c r="S27" s="21"/>
      <c r="T27" s="21">
        <v>0</v>
      </c>
      <c r="U27" s="21"/>
      <c r="V27" s="21"/>
      <c r="W27" s="21"/>
      <c r="X27" s="21">
        <v>0</v>
      </c>
      <c r="Y27" s="21"/>
      <c r="Z27" s="21"/>
      <c r="AA27" s="21"/>
      <c r="AB27" s="21"/>
      <c r="AC27" t="s">
        <v>1254</v>
      </c>
      <c r="AD27" t="s">
        <v>871</v>
      </c>
      <c r="AE27" s="21">
        <v>2024</v>
      </c>
      <c r="AF27">
        <v>7</v>
      </c>
      <c r="AG27" t="s">
        <v>872</v>
      </c>
    </row>
    <row r="28" spans="1:33">
      <c r="A28">
        <v>27</v>
      </c>
      <c r="B28">
        <v>33</v>
      </c>
      <c r="C28" t="s">
        <v>74</v>
      </c>
      <c r="D28" t="s">
        <v>1246</v>
      </c>
      <c r="E28" t="s">
        <v>1247</v>
      </c>
      <c r="F28">
        <v>68225</v>
      </c>
      <c r="G28" s="153" t="s">
        <v>787</v>
      </c>
      <c r="H28" s="2" t="s">
        <v>1252</v>
      </c>
      <c r="J28" s="21">
        <v>0</v>
      </c>
      <c r="K28" s="21">
        <v>149347</v>
      </c>
      <c r="L28" s="21">
        <v>28376</v>
      </c>
      <c r="M28" s="21"/>
      <c r="N28" s="21"/>
      <c r="O28" s="21">
        <v>177723</v>
      </c>
      <c r="P28" s="21"/>
      <c r="Q28" s="21"/>
      <c r="R28" s="21"/>
      <c r="S28" s="21"/>
      <c r="T28" s="21">
        <v>0</v>
      </c>
      <c r="U28" s="21"/>
      <c r="V28" s="21"/>
      <c r="W28" s="21"/>
      <c r="X28" s="21">
        <v>0</v>
      </c>
      <c r="Y28" s="21"/>
      <c r="Z28" s="21"/>
      <c r="AA28" s="21"/>
      <c r="AB28" s="21"/>
      <c r="AC28" t="s">
        <v>1254</v>
      </c>
      <c r="AD28" t="s">
        <v>871</v>
      </c>
      <c r="AE28" s="21">
        <v>2024</v>
      </c>
      <c r="AF28">
        <v>7</v>
      </c>
      <c r="AG28" t="s">
        <v>872</v>
      </c>
    </row>
    <row r="29" spans="1:33">
      <c r="A29">
        <v>28</v>
      </c>
      <c r="B29">
        <v>34</v>
      </c>
      <c r="C29" t="s">
        <v>74</v>
      </c>
      <c r="D29" t="s">
        <v>107</v>
      </c>
      <c r="E29" t="s">
        <v>108</v>
      </c>
      <c r="F29">
        <v>2071</v>
      </c>
      <c r="G29" s="154">
        <v>45474</v>
      </c>
      <c r="H29" s="2">
        <v>45298.589456018519</v>
      </c>
      <c r="J29" s="21">
        <v>2442415</v>
      </c>
      <c r="K29" s="21">
        <v>0</v>
      </c>
      <c r="L29" s="21">
        <v>0</v>
      </c>
      <c r="M29" s="21"/>
      <c r="N29" s="21"/>
      <c r="O29" s="21">
        <v>2442415</v>
      </c>
      <c r="P29" s="21"/>
      <c r="Q29" s="21"/>
      <c r="R29" s="21"/>
      <c r="S29" s="21"/>
      <c r="T29" s="21">
        <v>0</v>
      </c>
      <c r="U29" s="21"/>
      <c r="V29" s="21"/>
      <c r="W29" s="21"/>
      <c r="X29" s="21">
        <v>0</v>
      </c>
      <c r="Y29" s="21"/>
      <c r="Z29" s="21"/>
      <c r="AA29" s="21"/>
      <c r="AB29" s="21"/>
      <c r="AC29" t="s">
        <v>1254</v>
      </c>
      <c r="AD29" t="s">
        <v>871</v>
      </c>
      <c r="AE29" s="21">
        <v>2024</v>
      </c>
      <c r="AF29">
        <v>7</v>
      </c>
      <c r="AG29" t="s">
        <v>880</v>
      </c>
    </row>
    <row r="30" spans="1:33">
      <c r="A30">
        <v>29</v>
      </c>
      <c r="B30">
        <v>61</v>
      </c>
      <c r="C30" t="s">
        <v>74</v>
      </c>
      <c r="D30" t="s">
        <v>1219</v>
      </c>
      <c r="E30" t="s">
        <v>1253</v>
      </c>
      <c r="F30">
        <v>16086</v>
      </c>
      <c r="G30" s="154">
        <v>45478</v>
      </c>
      <c r="H30" s="2">
        <v>45419.63894675926</v>
      </c>
      <c r="J30" s="21">
        <v>0</v>
      </c>
      <c r="K30" s="21">
        <v>-195728</v>
      </c>
      <c r="L30" s="21">
        <v>-37188</v>
      </c>
      <c r="M30" s="21">
        <v>0</v>
      </c>
      <c r="N30" s="21"/>
      <c r="O30" s="21">
        <v>-232916</v>
      </c>
      <c r="P30" s="21"/>
      <c r="Q30" s="21"/>
      <c r="R30" s="21"/>
      <c r="S30" s="21"/>
      <c r="T30" s="21">
        <v>0</v>
      </c>
      <c r="U30" s="21"/>
      <c r="V30" s="21"/>
      <c r="W30" s="21"/>
      <c r="X30" s="21">
        <v>0</v>
      </c>
      <c r="Y30" s="21"/>
      <c r="Z30" s="21"/>
      <c r="AA30" s="21"/>
      <c r="AB30" s="21"/>
      <c r="AC30" t="s">
        <v>1254</v>
      </c>
      <c r="AD30" t="s">
        <v>871</v>
      </c>
      <c r="AE30" s="21">
        <v>2024</v>
      </c>
      <c r="AF30">
        <v>7</v>
      </c>
      <c r="AG30" t="s">
        <v>881</v>
      </c>
    </row>
    <row r="31" spans="1:33">
      <c r="A31">
        <v>30</v>
      </c>
      <c r="B31">
        <v>61</v>
      </c>
      <c r="C31" t="s">
        <v>74</v>
      </c>
      <c r="D31" t="s">
        <v>1217</v>
      </c>
      <c r="E31" t="s">
        <v>1218</v>
      </c>
      <c r="F31">
        <v>3534</v>
      </c>
      <c r="G31" s="154">
        <v>45485</v>
      </c>
      <c r="H31" s="2">
        <v>45633.673113425924</v>
      </c>
      <c r="J31" s="21">
        <v>0</v>
      </c>
      <c r="K31" s="21">
        <v>-2078265</v>
      </c>
      <c r="L31" s="21">
        <v>-394870</v>
      </c>
      <c r="M31" s="21">
        <v>0</v>
      </c>
      <c r="N31" s="21"/>
      <c r="O31" s="21">
        <v>-2473135</v>
      </c>
      <c r="P31" s="21"/>
      <c r="Q31" s="21"/>
      <c r="R31" s="21"/>
      <c r="S31" s="21"/>
      <c r="T31" s="21">
        <v>0</v>
      </c>
      <c r="U31" s="21"/>
      <c r="V31" s="21"/>
      <c r="W31" s="21"/>
      <c r="X31" s="21">
        <v>0</v>
      </c>
      <c r="Y31" s="21"/>
      <c r="Z31" s="21"/>
      <c r="AA31" s="21"/>
      <c r="AB31" s="21"/>
      <c r="AC31" t="s">
        <v>1254</v>
      </c>
      <c r="AD31" t="s">
        <v>871</v>
      </c>
      <c r="AE31" s="21">
        <v>2024</v>
      </c>
      <c r="AF31">
        <v>7</v>
      </c>
      <c r="AG31" t="s">
        <v>881</v>
      </c>
    </row>
    <row r="32" spans="1:33">
      <c r="A32">
        <v>31</v>
      </c>
      <c r="B32">
        <v>61</v>
      </c>
      <c r="C32" t="s">
        <v>74</v>
      </c>
      <c r="D32" t="s">
        <v>1217</v>
      </c>
      <c r="E32" t="s">
        <v>1218</v>
      </c>
      <c r="F32">
        <v>3536</v>
      </c>
      <c r="G32" s="154">
        <v>45485</v>
      </c>
      <c r="H32" s="2">
        <v>45633.673113425924</v>
      </c>
      <c r="J32" s="21">
        <v>0</v>
      </c>
      <c r="K32" s="21">
        <v>-25357</v>
      </c>
      <c r="L32" s="21">
        <v>-4818</v>
      </c>
      <c r="M32" s="21">
        <v>0</v>
      </c>
      <c r="N32" s="21"/>
      <c r="O32" s="21">
        <v>-30175</v>
      </c>
      <c r="P32" s="21"/>
      <c r="Q32" s="21"/>
      <c r="R32" s="21"/>
      <c r="S32" s="21"/>
      <c r="T32" s="21">
        <v>0</v>
      </c>
      <c r="U32" s="21"/>
      <c r="V32" s="21"/>
      <c r="W32" s="21"/>
      <c r="X32" s="21">
        <v>0</v>
      </c>
      <c r="Y32" s="21"/>
      <c r="Z32" s="21"/>
      <c r="AA32" s="21"/>
      <c r="AB32" s="21"/>
      <c r="AC32" t="s">
        <v>1254</v>
      </c>
      <c r="AD32" t="s">
        <v>871</v>
      </c>
      <c r="AE32" s="21">
        <v>2024</v>
      </c>
      <c r="AF32">
        <v>7</v>
      </c>
      <c r="AG32" t="s">
        <v>881</v>
      </c>
    </row>
    <row r="33" spans="1:33">
      <c r="A33">
        <v>32</v>
      </c>
      <c r="B33">
        <v>914</v>
      </c>
      <c r="C33" t="s">
        <v>74</v>
      </c>
      <c r="D33" t="s">
        <v>844</v>
      </c>
      <c r="E33" t="s">
        <v>845</v>
      </c>
      <c r="F33">
        <v>3670094209</v>
      </c>
      <c r="G33" s="154">
        <v>45485</v>
      </c>
      <c r="H33" s="2">
        <v>45451.570555555554</v>
      </c>
      <c r="J33" s="21">
        <v>0</v>
      </c>
      <c r="K33" s="21">
        <v>1669342</v>
      </c>
      <c r="L33" s="21">
        <v>317175</v>
      </c>
      <c r="M33" s="21"/>
      <c r="N33" s="21"/>
      <c r="O33" s="21">
        <v>1986517</v>
      </c>
      <c r="P33" s="21"/>
      <c r="Q33" s="21"/>
      <c r="R33" s="21"/>
      <c r="S33" s="21"/>
      <c r="T33" s="21"/>
      <c r="U33" s="21"/>
      <c r="V33" s="21"/>
      <c r="W33" s="21"/>
      <c r="X33" s="21">
        <v>0</v>
      </c>
      <c r="Y33" s="21"/>
      <c r="Z33" s="21"/>
      <c r="AA33" s="21"/>
      <c r="AB33" s="21"/>
      <c r="AC33" t="s">
        <v>1254</v>
      </c>
      <c r="AD33" t="s">
        <v>871</v>
      </c>
      <c r="AE33" s="21">
        <v>2024</v>
      </c>
      <c r="AF33">
        <v>7</v>
      </c>
      <c r="AG33" t="s">
        <v>1142</v>
      </c>
    </row>
    <row r="34" spans="1:33">
      <c r="A34">
        <v>33</v>
      </c>
      <c r="B34">
        <v>914</v>
      </c>
      <c r="C34" t="s">
        <v>74</v>
      </c>
      <c r="D34" t="s">
        <v>844</v>
      </c>
      <c r="E34" t="s">
        <v>845</v>
      </c>
      <c r="F34">
        <v>3670094089</v>
      </c>
      <c r="G34" s="154" t="s">
        <v>1257</v>
      </c>
      <c r="H34" s="2">
        <v>45451.571342592593</v>
      </c>
      <c r="J34" s="21">
        <v>0</v>
      </c>
      <c r="K34" s="21">
        <v>16240711</v>
      </c>
      <c r="L34" s="21">
        <v>3085735</v>
      </c>
      <c r="M34" s="21"/>
      <c r="N34" s="21"/>
      <c r="O34" s="21">
        <v>19326446</v>
      </c>
      <c r="P34" s="21"/>
      <c r="Q34" s="21"/>
      <c r="R34" s="21"/>
      <c r="S34" s="21"/>
      <c r="T34" s="21"/>
      <c r="U34" s="21"/>
      <c r="V34" s="21"/>
      <c r="W34" s="21"/>
      <c r="X34" s="21">
        <v>0</v>
      </c>
      <c r="Y34" s="21"/>
      <c r="Z34" s="21"/>
      <c r="AA34" s="21"/>
      <c r="AB34" s="21"/>
      <c r="AC34" t="s">
        <v>1254</v>
      </c>
      <c r="AD34" t="s">
        <v>871</v>
      </c>
      <c r="AE34" s="21">
        <v>2024</v>
      </c>
      <c r="AF34">
        <v>7</v>
      </c>
      <c r="AG34" t="s">
        <v>1142</v>
      </c>
    </row>
    <row r="35" spans="1:33">
      <c r="A35">
        <v>34</v>
      </c>
      <c r="B35">
        <v>914</v>
      </c>
      <c r="C35" t="s">
        <v>74</v>
      </c>
      <c r="D35" t="s">
        <v>844</v>
      </c>
      <c r="E35" t="s">
        <v>845</v>
      </c>
      <c r="F35">
        <v>3670094090</v>
      </c>
      <c r="G35" s="153" t="s">
        <v>1257</v>
      </c>
      <c r="H35" s="2">
        <v>45451.572002314817</v>
      </c>
      <c r="J35" s="21">
        <v>0</v>
      </c>
      <c r="K35" s="21">
        <v>18119658</v>
      </c>
      <c r="L35" s="21">
        <v>3442735</v>
      </c>
      <c r="M35" s="21"/>
      <c r="N35" s="21"/>
      <c r="O35" s="21">
        <v>21562393</v>
      </c>
      <c r="P35" s="21"/>
      <c r="Q35" s="21"/>
      <c r="R35" s="21"/>
      <c r="S35" s="21"/>
      <c r="T35" s="21"/>
      <c r="U35" s="21"/>
      <c r="V35" s="21"/>
      <c r="W35" s="21"/>
      <c r="X35" s="21">
        <v>0</v>
      </c>
      <c r="Y35" s="21"/>
      <c r="Z35" s="21"/>
      <c r="AA35" s="21"/>
      <c r="AB35" s="21"/>
      <c r="AC35" t="s">
        <v>1254</v>
      </c>
      <c r="AD35" t="s">
        <v>871</v>
      </c>
      <c r="AE35" s="21">
        <v>2024</v>
      </c>
      <c r="AF35">
        <v>7</v>
      </c>
      <c r="AG35" t="s">
        <v>1142</v>
      </c>
    </row>
    <row r="36" spans="1:33">
      <c r="A36">
        <v>35</v>
      </c>
      <c r="B36">
        <v>914</v>
      </c>
      <c r="C36" t="s">
        <v>74</v>
      </c>
      <c r="D36" t="s">
        <v>844</v>
      </c>
      <c r="E36" t="s">
        <v>845</v>
      </c>
      <c r="F36">
        <v>3670094173</v>
      </c>
      <c r="G36" s="153" t="s">
        <v>1257</v>
      </c>
      <c r="H36" s="2">
        <v>45451.574560185189</v>
      </c>
      <c r="J36" s="21">
        <v>0</v>
      </c>
      <c r="K36" s="21">
        <v>114812221</v>
      </c>
      <c r="L36" s="21">
        <v>21814322</v>
      </c>
      <c r="M36" s="21"/>
      <c r="N36" s="21"/>
      <c r="O36" s="21">
        <v>136626543</v>
      </c>
      <c r="P36" s="21"/>
      <c r="Q36" s="21"/>
      <c r="R36" s="21"/>
      <c r="S36" s="21"/>
      <c r="T36" s="21"/>
      <c r="U36" s="21"/>
      <c r="V36" s="21"/>
      <c r="W36" s="21"/>
      <c r="X36" s="21">
        <v>0</v>
      </c>
      <c r="Y36" s="21"/>
      <c r="Z36" s="21"/>
      <c r="AA36" s="21"/>
      <c r="AB36" s="21"/>
      <c r="AC36" t="s">
        <v>1254</v>
      </c>
      <c r="AD36" t="s">
        <v>871</v>
      </c>
      <c r="AE36" s="21">
        <v>2024</v>
      </c>
      <c r="AF36">
        <v>7</v>
      </c>
      <c r="AG36" t="s">
        <v>1142</v>
      </c>
    </row>
    <row r="37" spans="1:33">
      <c r="A37">
        <v>1</v>
      </c>
      <c r="B37">
        <v>33</v>
      </c>
      <c r="C37" t="s">
        <v>74</v>
      </c>
      <c r="D37" t="s">
        <v>1219</v>
      </c>
      <c r="E37" t="s">
        <v>1220</v>
      </c>
      <c r="F37">
        <v>494179</v>
      </c>
      <c r="G37" s="154">
        <v>45505</v>
      </c>
      <c r="H37" s="2">
        <v>45299.434814814813</v>
      </c>
      <c r="J37" s="21">
        <v>0</v>
      </c>
      <c r="K37" s="21">
        <v>212361</v>
      </c>
      <c r="L37" s="21">
        <v>40349</v>
      </c>
      <c r="M37" s="21"/>
      <c r="N37" s="21"/>
      <c r="O37" s="21">
        <v>252710</v>
      </c>
      <c r="P37" s="21"/>
      <c r="Q37" s="21"/>
      <c r="R37" s="21"/>
      <c r="S37" s="21"/>
      <c r="T37" s="21">
        <v>0</v>
      </c>
      <c r="U37" s="21"/>
      <c r="V37" s="21"/>
      <c r="W37" s="21"/>
      <c r="X37" s="21">
        <v>0</v>
      </c>
      <c r="Y37" s="21"/>
      <c r="Z37" s="21"/>
      <c r="AA37" s="21"/>
      <c r="AB37" s="21"/>
      <c r="AC37" t="s">
        <v>1272</v>
      </c>
      <c r="AD37" t="s">
        <v>871</v>
      </c>
      <c r="AE37" s="21">
        <v>2024</v>
      </c>
      <c r="AF37">
        <v>8</v>
      </c>
      <c r="AG37" t="s">
        <v>872</v>
      </c>
    </row>
    <row r="38" spans="1:33">
      <c r="A38">
        <v>2</v>
      </c>
      <c r="B38">
        <v>33</v>
      </c>
      <c r="C38" t="s">
        <v>74</v>
      </c>
      <c r="D38" t="s">
        <v>1219</v>
      </c>
      <c r="E38" t="s">
        <v>1220</v>
      </c>
      <c r="F38">
        <v>494178</v>
      </c>
      <c r="G38" s="154">
        <v>45505</v>
      </c>
      <c r="H38" s="2">
        <v>45299.435335648152</v>
      </c>
      <c r="J38" s="21">
        <v>0</v>
      </c>
      <c r="K38" s="21">
        <v>212361</v>
      </c>
      <c r="L38" s="21">
        <v>40349</v>
      </c>
      <c r="M38" s="21"/>
      <c r="N38" s="21"/>
      <c r="O38" s="21">
        <v>252710</v>
      </c>
      <c r="P38" s="21"/>
      <c r="Q38" s="21"/>
      <c r="R38" s="21"/>
      <c r="S38" s="21"/>
      <c r="T38" s="21">
        <v>0</v>
      </c>
      <c r="U38" s="21"/>
      <c r="V38" s="21"/>
      <c r="W38" s="21"/>
      <c r="X38" s="21">
        <v>0</v>
      </c>
      <c r="Y38" s="21"/>
      <c r="Z38" s="21"/>
      <c r="AA38" s="21"/>
      <c r="AB38" s="21"/>
      <c r="AC38" t="s">
        <v>1272</v>
      </c>
      <c r="AD38" t="s">
        <v>871</v>
      </c>
      <c r="AE38" s="21">
        <v>2024</v>
      </c>
      <c r="AF38">
        <v>8</v>
      </c>
      <c r="AG38" t="s">
        <v>872</v>
      </c>
    </row>
    <row r="39" spans="1:33">
      <c r="A39">
        <v>3</v>
      </c>
      <c r="B39">
        <v>33</v>
      </c>
      <c r="C39" t="s">
        <v>74</v>
      </c>
      <c r="D39" t="s">
        <v>1219</v>
      </c>
      <c r="E39" t="s">
        <v>1220</v>
      </c>
      <c r="F39">
        <v>494182</v>
      </c>
      <c r="G39" s="154">
        <v>45505</v>
      </c>
      <c r="H39" s="2">
        <v>45299.435358796298</v>
      </c>
      <c r="J39" s="21">
        <v>0</v>
      </c>
      <c r="K39" s="21">
        <v>212361</v>
      </c>
      <c r="L39" s="21">
        <v>40349</v>
      </c>
      <c r="M39" s="21"/>
      <c r="N39" s="21"/>
      <c r="O39" s="21">
        <v>252710</v>
      </c>
      <c r="P39" s="21"/>
      <c r="Q39" s="21"/>
      <c r="R39" s="21"/>
      <c r="S39" s="21"/>
      <c r="T39" s="21">
        <v>0</v>
      </c>
      <c r="U39" s="21"/>
      <c r="V39" s="21"/>
      <c r="W39" s="21"/>
      <c r="X39" s="21">
        <v>0</v>
      </c>
      <c r="Y39" s="21"/>
      <c r="Z39" s="21"/>
      <c r="AA39" s="21"/>
      <c r="AB39" s="21"/>
      <c r="AC39" t="s">
        <v>1272</v>
      </c>
      <c r="AD39" t="s">
        <v>871</v>
      </c>
      <c r="AE39" s="21">
        <v>2024</v>
      </c>
      <c r="AF39">
        <v>8</v>
      </c>
      <c r="AG39" t="s">
        <v>872</v>
      </c>
    </row>
    <row r="40" spans="1:33">
      <c r="A40">
        <v>4</v>
      </c>
      <c r="B40">
        <v>33</v>
      </c>
      <c r="C40" t="s">
        <v>74</v>
      </c>
      <c r="D40" t="s">
        <v>1219</v>
      </c>
      <c r="E40" t="s">
        <v>1220</v>
      </c>
      <c r="F40">
        <v>494180</v>
      </c>
      <c r="G40" s="154">
        <v>45505</v>
      </c>
      <c r="H40" s="2">
        <v>45299.435335648152</v>
      </c>
      <c r="J40" s="21">
        <v>0</v>
      </c>
      <c r="K40" s="21">
        <v>212361</v>
      </c>
      <c r="L40" s="21">
        <v>40349</v>
      </c>
      <c r="M40" s="21"/>
      <c r="N40" s="21"/>
      <c r="O40" s="21">
        <v>252710</v>
      </c>
      <c r="P40" s="21"/>
      <c r="Q40" s="21"/>
      <c r="R40" s="21"/>
      <c r="S40" s="21"/>
      <c r="T40" s="21">
        <v>0</v>
      </c>
      <c r="U40" s="21"/>
      <c r="V40" s="21"/>
      <c r="W40" s="21"/>
      <c r="X40" s="21">
        <v>0</v>
      </c>
      <c r="Y40" s="21"/>
      <c r="Z40" s="21"/>
      <c r="AA40" s="21"/>
      <c r="AB40" s="21"/>
      <c r="AC40" t="s">
        <v>1272</v>
      </c>
      <c r="AD40" t="s">
        <v>871</v>
      </c>
      <c r="AE40" s="21">
        <v>2024</v>
      </c>
      <c r="AF40">
        <v>8</v>
      </c>
      <c r="AG40" t="s">
        <v>872</v>
      </c>
    </row>
    <row r="41" spans="1:33">
      <c r="A41">
        <v>5</v>
      </c>
      <c r="B41">
        <v>33</v>
      </c>
      <c r="C41" t="s">
        <v>74</v>
      </c>
      <c r="D41" t="s">
        <v>1219</v>
      </c>
      <c r="E41" t="s">
        <v>1220</v>
      </c>
      <c r="F41">
        <v>494181</v>
      </c>
      <c r="G41" s="154">
        <v>45505</v>
      </c>
      <c r="H41" s="2">
        <v>45299.436122685183</v>
      </c>
      <c r="J41" s="21">
        <v>0</v>
      </c>
      <c r="K41" s="21">
        <v>212361</v>
      </c>
      <c r="L41" s="21">
        <v>40349</v>
      </c>
      <c r="M41" s="21"/>
      <c r="N41" s="21"/>
      <c r="O41" s="21">
        <v>252710</v>
      </c>
      <c r="P41" s="21"/>
      <c r="Q41" s="21"/>
      <c r="R41" s="21"/>
      <c r="S41" s="21"/>
      <c r="T41" s="21">
        <v>0</v>
      </c>
      <c r="U41" s="21"/>
      <c r="V41" s="21"/>
      <c r="W41" s="21"/>
      <c r="X41" s="21">
        <v>0</v>
      </c>
      <c r="Y41" s="21"/>
      <c r="Z41" s="21"/>
      <c r="AA41" s="21"/>
      <c r="AB41" s="21"/>
      <c r="AC41" t="s">
        <v>1272</v>
      </c>
      <c r="AD41" t="s">
        <v>871</v>
      </c>
      <c r="AE41" s="21">
        <v>2024</v>
      </c>
      <c r="AF41">
        <v>8</v>
      </c>
      <c r="AG41" t="s">
        <v>872</v>
      </c>
    </row>
    <row r="42" spans="1:33">
      <c r="A42">
        <v>6</v>
      </c>
      <c r="B42">
        <v>33</v>
      </c>
      <c r="C42" t="s">
        <v>74</v>
      </c>
      <c r="D42" t="s">
        <v>109</v>
      </c>
      <c r="E42" t="s">
        <v>875</v>
      </c>
      <c r="F42">
        <v>4137</v>
      </c>
      <c r="G42" s="154">
        <v>45505</v>
      </c>
      <c r="H42" s="2">
        <v>45299.628194444442</v>
      </c>
      <c r="J42" s="21">
        <v>0</v>
      </c>
      <c r="K42" s="21">
        <v>563666</v>
      </c>
      <c r="L42" s="21">
        <v>107097</v>
      </c>
      <c r="M42" s="21"/>
      <c r="N42" s="21"/>
      <c r="O42" s="21">
        <v>670763</v>
      </c>
      <c r="P42" s="21"/>
      <c r="Q42" s="21"/>
      <c r="R42" s="21"/>
      <c r="S42" s="21"/>
      <c r="T42" s="21">
        <v>0</v>
      </c>
      <c r="U42" s="21"/>
      <c r="V42" s="21"/>
      <c r="W42" s="21"/>
      <c r="X42" s="21">
        <v>0</v>
      </c>
      <c r="Y42" s="21"/>
      <c r="Z42" s="21"/>
      <c r="AA42" s="21"/>
      <c r="AB42" s="21"/>
      <c r="AC42" t="s">
        <v>1272</v>
      </c>
      <c r="AD42" t="s">
        <v>871</v>
      </c>
      <c r="AE42" s="21">
        <v>2024</v>
      </c>
      <c r="AF42">
        <v>8</v>
      </c>
      <c r="AG42" t="s">
        <v>872</v>
      </c>
    </row>
    <row r="43" spans="1:33">
      <c r="A43">
        <v>7</v>
      </c>
      <c r="B43">
        <v>33</v>
      </c>
      <c r="C43" t="s">
        <v>74</v>
      </c>
      <c r="D43" t="s">
        <v>1222</v>
      </c>
      <c r="E43" t="s">
        <v>1223</v>
      </c>
      <c r="F43">
        <v>3149882</v>
      </c>
      <c r="G43" s="154">
        <v>45506</v>
      </c>
      <c r="H43" s="2">
        <v>45330.700879629629</v>
      </c>
      <c r="J43" s="21">
        <v>0</v>
      </c>
      <c r="K43" s="21">
        <v>20584964</v>
      </c>
      <c r="L43" s="21">
        <v>3911143</v>
      </c>
      <c r="M43" s="21"/>
      <c r="N43" s="21"/>
      <c r="O43" s="21">
        <v>24496108</v>
      </c>
      <c r="P43" s="21"/>
      <c r="Q43" s="21"/>
      <c r="R43" s="21"/>
      <c r="S43" s="21"/>
      <c r="T43" s="21">
        <v>0</v>
      </c>
      <c r="U43" s="21"/>
      <c r="V43" s="21"/>
      <c r="W43" s="21"/>
      <c r="X43" s="21">
        <v>0</v>
      </c>
      <c r="Y43" s="21"/>
      <c r="Z43" s="21"/>
      <c r="AA43" s="21"/>
      <c r="AB43" s="21"/>
      <c r="AC43" t="s">
        <v>1272</v>
      </c>
      <c r="AD43" t="s">
        <v>871</v>
      </c>
      <c r="AE43" s="21">
        <v>2024</v>
      </c>
      <c r="AF43">
        <v>8</v>
      </c>
      <c r="AG43" t="s">
        <v>872</v>
      </c>
    </row>
    <row r="44" spans="1:33">
      <c r="A44">
        <v>8</v>
      </c>
      <c r="B44">
        <v>33</v>
      </c>
      <c r="C44" t="s">
        <v>74</v>
      </c>
      <c r="D44" t="s">
        <v>1258</v>
      </c>
      <c r="E44" t="s">
        <v>1259</v>
      </c>
      <c r="F44">
        <v>12607</v>
      </c>
      <c r="G44" s="154" t="s">
        <v>787</v>
      </c>
      <c r="H44" s="2">
        <v>45359.76054398148</v>
      </c>
      <c r="J44" s="21">
        <v>0</v>
      </c>
      <c r="K44" s="21">
        <v>335552</v>
      </c>
      <c r="L44" s="21">
        <v>63755</v>
      </c>
      <c r="M44" s="21"/>
      <c r="N44" s="21"/>
      <c r="O44" s="21">
        <v>399307</v>
      </c>
      <c r="P44" s="21"/>
      <c r="Q44" s="21"/>
      <c r="R44" s="21"/>
      <c r="S44" s="21"/>
      <c r="T44" s="21">
        <v>0</v>
      </c>
      <c r="U44" s="21"/>
      <c r="V44" s="21"/>
      <c r="W44" s="21"/>
      <c r="X44" s="21">
        <v>0</v>
      </c>
      <c r="Y44" s="21"/>
      <c r="Z44" s="21"/>
      <c r="AA44" s="21"/>
      <c r="AB44" s="21"/>
      <c r="AC44" t="s">
        <v>1272</v>
      </c>
      <c r="AD44" t="s">
        <v>871</v>
      </c>
      <c r="AE44" s="21">
        <v>2024</v>
      </c>
      <c r="AF44">
        <v>8</v>
      </c>
      <c r="AG44" t="s">
        <v>872</v>
      </c>
    </row>
    <row r="45" spans="1:33">
      <c r="A45">
        <v>9</v>
      </c>
      <c r="B45">
        <v>33</v>
      </c>
      <c r="C45" t="s">
        <v>74</v>
      </c>
      <c r="D45" t="s">
        <v>1222</v>
      </c>
      <c r="E45" t="s">
        <v>1223</v>
      </c>
      <c r="F45">
        <v>3154222</v>
      </c>
      <c r="G45" s="154">
        <v>45510</v>
      </c>
      <c r="H45" s="2">
        <v>45451.818576388891</v>
      </c>
      <c r="J45" s="21">
        <v>0</v>
      </c>
      <c r="K45" s="21">
        <v>9810619</v>
      </c>
      <c r="L45" s="21">
        <v>1864018</v>
      </c>
      <c r="M45" s="21"/>
      <c r="N45" s="21"/>
      <c r="O45" s="21">
        <v>11674637</v>
      </c>
      <c r="P45" s="21"/>
      <c r="Q45" s="21"/>
      <c r="R45" s="21"/>
      <c r="S45" s="21"/>
      <c r="T45" s="21">
        <v>0</v>
      </c>
      <c r="U45" s="21"/>
      <c r="V45" s="21"/>
      <c r="W45" s="21"/>
      <c r="X45" s="21">
        <v>0</v>
      </c>
      <c r="Y45" s="21"/>
      <c r="Z45" s="21"/>
      <c r="AA45" s="21"/>
      <c r="AB45" s="21"/>
      <c r="AC45" t="s">
        <v>1272</v>
      </c>
      <c r="AD45" t="s">
        <v>871</v>
      </c>
      <c r="AE45" s="21">
        <v>2024</v>
      </c>
      <c r="AF45">
        <v>8</v>
      </c>
      <c r="AG45" t="s">
        <v>872</v>
      </c>
    </row>
    <row r="46" spans="1:33">
      <c r="A46">
        <v>10</v>
      </c>
      <c r="B46">
        <v>33</v>
      </c>
      <c r="C46" t="s">
        <v>74</v>
      </c>
      <c r="D46" t="s">
        <v>917</v>
      </c>
      <c r="E46" t="s">
        <v>1221</v>
      </c>
      <c r="F46">
        <v>177472</v>
      </c>
      <c r="G46" s="154">
        <v>45509</v>
      </c>
      <c r="H46" s="2">
        <v>45481.081250000003</v>
      </c>
      <c r="J46" s="21">
        <v>0</v>
      </c>
      <c r="K46" s="21">
        <v>1022497</v>
      </c>
      <c r="L46" s="21">
        <v>194274</v>
      </c>
      <c r="M46" s="21"/>
      <c r="N46" s="21"/>
      <c r="O46" s="21">
        <v>1216771</v>
      </c>
      <c r="P46" s="21"/>
      <c r="Q46" s="21"/>
      <c r="R46" s="21"/>
      <c r="S46" s="21"/>
      <c r="T46" s="21">
        <v>0</v>
      </c>
      <c r="U46" s="21"/>
      <c r="V46" s="21"/>
      <c r="W46" s="21"/>
      <c r="X46" s="21">
        <v>0</v>
      </c>
      <c r="Y46" s="21"/>
      <c r="Z46" s="21"/>
      <c r="AA46" s="21"/>
      <c r="AB46" s="21"/>
      <c r="AC46" t="s">
        <v>1272</v>
      </c>
      <c r="AD46" t="s">
        <v>871</v>
      </c>
      <c r="AE46" s="21">
        <v>2024</v>
      </c>
      <c r="AF46">
        <v>8</v>
      </c>
      <c r="AG46" t="s">
        <v>872</v>
      </c>
    </row>
    <row r="47" spans="1:33">
      <c r="A47">
        <v>11</v>
      </c>
      <c r="B47">
        <v>33</v>
      </c>
      <c r="C47" t="s">
        <v>74</v>
      </c>
      <c r="D47" t="s">
        <v>1227</v>
      </c>
      <c r="E47" t="s">
        <v>1228</v>
      </c>
      <c r="F47">
        <v>836</v>
      </c>
      <c r="G47" s="154">
        <v>45516</v>
      </c>
      <c r="H47" s="2">
        <v>45634.537511574075</v>
      </c>
      <c r="J47" s="21">
        <v>0</v>
      </c>
      <c r="K47" s="21">
        <v>2930000</v>
      </c>
      <c r="L47" s="21">
        <v>556700</v>
      </c>
      <c r="M47" s="21"/>
      <c r="N47" s="21"/>
      <c r="O47" s="21">
        <v>3486700</v>
      </c>
      <c r="P47" s="21"/>
      <c r="Q47" s="21"/>
      <c r="R47" s="21"/>
      <c r="S47" s="21"/>
      <c r="T47" s="21">
        <v>0</v>
      </c>
      <c r="U47" s="21"/>
      <c r="V47" s="21"/>
      <c r="W47" s="21"/>
      <c r="X47" s="21">
        <v>0</v>
      </c>
      <c r="Y47" s="21"/>
      <c r="Z47" s="21"/>
      <c r="AA47" s="21"/>
      <c r="AB47" s="21"/>
      <c r="AC47" t="s">
        <v>1272</v>
      </c>
      <c r="AD47" t="s">
        <v>871</v>
      </c>
      <c r="AE47" s="21">
        <v>2024</v>
      </c>
      <c r="AF47">
        <v>8</v>
      </c>
      <c r="AG47" t="s">
        <v>872</v>
      </c>
    </row>
    <row r="48" spans="1:33">
      <c r="A48">
        <v>12</v>
      </c>
      <c r="B48">
        <v>33</v>
      </c>
      <c r="C48" t="s">
        <v>74</v>
      </c>
      <c r="D48" t="s">
        <v>1217</v>
      </c>
      <c r="E48" t="s">
        <v>1218</v>
      </c>
      <c r="F48">
        <v>39975</v>
      </c>
      <c r="G48" s="154">
        <v>45516</v>
      </c>
      <c r="H48" s="2">
        <v>45634.576053240744</v>
      </c>
      <c r="J48" s="21">
        <v>0</v>
      </c>
      <c r="K48" s="21">
        <v>2095820</v>
      </c>
      <c r="L48" s="21">
        <v>398206</v>
      </c>
      <c r="M48" s="21"/>
      <c r="N48" s="21"/>
      <c r="O48" s="21">
        <v>2494026</v>
      </c>
      <c r="P48" s="21"/>
      <c r="Q48" s="21"/>
      <c r="R48" s="21"/>
      <c r="S48" s="21"/>
      <c r="T48" s="21">
        <v>0</v>
      </c>
      <c r="U48" s="21"/>
      <c r="V48" s="21"/>
      <c r="W48" s="21"/>
      <c r="X48" s="21">
        <v>0</v>
      </c>
      <c r="Y48" s="21"/>
      <c r="Z48" s="21"/>
      <c r="AA48" s="21"/>
      <c r="AB48" s="21"/>
      <c r="AC48" t="s">
        <v>1272</v>
      </c>
      <c r="AD48" t="s">
        <v>871</v>
      </c>
      <c r="AE48" s="21">
        <v>2024</v>
      </c>
      <c r="AF48">
        <v>8</v>
      </c>
      <c r="AG48" t="s">
        <v>872</v>
      </c>
    </row>
    <row r="49" spans="1:33">
      <c r="A49">
        <v>13</v>
      </c>
      <c r="B49">
        <v>33</v>
      </c>
      <c r="C49" t="s">
        <v>74</v>
      </c>
      <c r="D49" t="s">
        <v>1236</v>
      </c>
      <c r="E49" t="s">
        <v>1237</v>
      </c>
      <c r="F49">
        <v>128797</v>
      </c>
      <c r="G49" s="154" t="s">
        <v>883</v>
      </c>
      <c r="H49" s="2" t="s">
        <v>1260</v>
      </c>
      <c r="J49" s="21">
        <v>0</v>
      </c>
      <c r="K49" s="21">
        <v>112734</v>
      </c>
      <c r="L49" s="21">
        <v>21419</v>
      </c>
      <c r="M49" s="21"/>
      <c r="N49" s="21"/>
      <c r="O49" s="21">
        <v>134153</v>
      </c>
      <c r="P49" s="21"/>
      <c r="Q49" s="21"/>
      <c r="R49" s="21"/>
      <c r="S49" s="21"/>
      <c r="T49" s="21">
        <v>0</v>
      </c>
      <c r="U49" s="21"/>
      <c r="V49" s="21"/>
      <c r="W49" s="21"/>
      <c r="X49" s="21">
        <v>0</v>
      </c>
      <c r="Y49" s="21"/>
      <c r="Z49" s="21"/>
      <c r="AA49" s="21"/>
      <c r="AB49" s="21"/>
      <c r="AC49" t="s">
        <v>1272</v>
      </c>
      <c r="AD49" t="s">
        <v>871</v>
      </c>
      <c r="AE49" s="21">
        <v>2024</v>
      </c>
      <c r="AF49">
        <v>8</v>
      </c>
      <c r="AG49" t="s">
        <v>872</v>
      </c>
    </row>
    <row r="50" spans="1:33">
      <c r="A50">
        <v>14</v>
      </c>
      <c r="B50">
        <v>33</v>
      </c>
      <c r="C50" t="s">
        <v>74</v>
      </c>
      <c r="D50" t="s">
        <v>1215</v>
      </c>
      <c r="E50" t="s">
        <v>1216</v>
      </c>
      <c r="F50">
        <v>1884696</v>
      </c>
      <c r="G50" s="154" t="s">
        <v>790</v>
      </c>
      <c r="H50" s="2" t="s">
        <v>1261</v>
      </c>
      <c r="J50" s="21">
        <v>0</v>
      </c>
      <c r="K50" s="21">
        <v>144745</v>
      </c>
      <c r="L50" s="21">
        <v>27502</v>
      </c>
      <c r="M50" s="21"/>
      <c r="N50" s="21"/>
      <c r="O50" s="21">
        <v>172247</v>
      </c>
      <c r="P50" s="21"/>
      <c r="Q50" s="21"/>
      <c r="R50" s="21"/>
      <c r="S50" s="21"/>
      <c r="T50" s="21">
        <v>0</v>
      </c>
      <c r="U50" s="21"/>
      <c r="V50" s="21"/>
      <c r="W50" s="21"/>
      <c r="X50" s="21">
        <v>0</v>
      </c>
      <c r="Y50" s="21"/>
      <c r="Z50" s="21"/>
      <c r="AA50" s="21"/>
      <c r="AB50" s="21"/>
      <c r="AC50" t="s">
        <v>1272</v>
      </c>
      <c r="AD50" t="s">
        <v>871</v>
      </c>
      <c r="AE50" s="21">
        <v>2024</v>
      </c>
      <c r="AF50">
        <v>8</v>
      </c>
      <c r="AG50" t="s">
        <v>872</v>
      </c>
    </row>
    <row r="51" spans="1:33">
      <c r="A51">
        <v>15</v>
      </c>
      <c r="B51">
        <v>33</v>
      </c>
      <c r="C51" t="s">
        <v>74</v>
      </c>
      <c r="D51" t="s">
        <v>1219</v>
      </c>
      <c r="E51" t="s">
        <v>1220</v>
      </c>
      <c r="F51">
        <v>499983</v>
      </c>
      <c r="G51" s="154" t="s">
        <v>793</v>
      </c>
      <c r="H51" s="2" t="s">
        <v>1262</v>
      </c>
      <c r="J51" s="21">
        <v>0</v>
      </c>
      <c r="K51" s="21">
        <v>204813</v>
      </c>
      <c r="L51" s="21">
        <v>38914</v>
      </c>
      <c r="M51" s="21"/>
      <c r="N51" s="21"/>
      <c r="O51" s="21">
        <v>243727</v>
      </c>
      <c r="P51" s="21"/>
      <c r="Q51" s="21"/>
      <c r="R51" s="21"/>
      <c r="S51" s="21"/>
      <c r="T51" s="21">
        <v>0</v>
      </c>
      <c r="U51" s="21"/>
      <c r="V51" s="21"/>
      <c r="W51" s="21"/>
      <c r="X51" s="21">
        <v>0</v>
      </c>
      <c r="Y51" s="21"/>
      <c r="Z51" s="21"/>
      <c r="AA51" s="21"/>
      <c r="AB51" s="21"/>
      <c r="AC51" t="s">
        <v>1272</v>
      </c>
      <c r="AD51" t="s">
        <v>871</v>
      </c>
      <c r="AE51" s="21">
        <v>2024</v>
      </c>
      <c r="AF51">
        <v>8</v>
      </c>
      <c r="AG51" t="s">
        <v>872</v>
      </c>
    </row>
    <row r="52" spans="1:33">
      <c r="A52">
        <v>16</v>
      </c>
      <c r="B52">
        <v>33</v>
      </c>
      <c r="C52" t="s">
        <v>74</v>
      </c>
      <c r="D52" t="s">
        <v>1215</v>
      </c>
      <c r="E52" t="s">
        <v>1216</v>
      </c>
      <c r="F52">
        <v>1888486</v>
      </c>
      <c r="G52" s="154" t="s">
        <v>794</v>
      </c>
      <c r="H52" s="2" t="s">
        <v>1263</v>
      </c>
      <c r="J52" s="21">
        <v>0</v>
      </c>
      <c r="K52" s="21">
        <v>285182</v>
      </c>
      <c r="L52" s="21">
        <v>54184</v>
      </c>
      <c r="M52" s="21"/>
      <c r="N52" s="21"/>
      <c r="O52" s="21">
        <v>339366</v>
      </c>
      <c r="P52" s="21"/>
      <c r="Q52" s="21"/>
      <c r="R52" s="21"/>
      <c r="S52" s="21"/>
      <c r="T52" s="21">
        <v>0</v>
      </c>
      <c r="U52" s="21"/>
      <c r="V52" s="21"/>
      <c r="W52" s="21"/>
      <c r="X52" s="21">
        <v>0</v>
      </c>
      <c r="Y52" s="21"/>
      <c r="Z52" s="21"/>
      <c r="AA52" s="21"/>
      <c r="AB52" s="21"/>
      <c r="AC52" t="s">
        <v>1272</v>
      </c>
      <c r="AD52" t="s">
        <v>871</v>
      </c>
      <c r="AE52" s="21">
        <v>2024</v>
      </c>
      <c r="AF52">
        <v>8</v>
      </c>
      <c r="AG52" t="s">
        <v>872</v>
      </c>
    </row>
    <row r="53" spans="1:33">
      <c r="A53">
        <v>17</v>
      </c>
      <c r="B53">
        <v>33</v>
      </c>
      <c r="C53" t="s">
        <v>74</v>
      </c>
      <c r="D53" t="s">
        <v>1215</v>
      </c>
      <c r="E53" t="s">
        <v>1216</v>
      </c>
      <c r="F53">
        <v>1888487</v>
      </c>
      <c r="G53" s="154" t="s">
        <v>794</v>
      </c>
      <c r="H53" s="2" t="s">
        <v>1264</v>
      </c>
      <c r="J53" s="21">
        <v>0</v>
      </c>
      <c r="K53" s="21">
        <v>142591</v>
      </c>
      <c r="L53" s="21">
        <v>27092</v>
      </c>
      <c r="M53" s="21"/>
      <c r="N53" s="21"/>
      <c r="O53" s="21">
        <v>169683</v>
      </c>
      <c r="P53" s="21"/>
      <c r="Q53" s="21"/>
      <c r="R53" s="21"/>
      <c r="S53" s="21"/>
      <c r="T53" s="21">
        <v>0</v>
      </c>
      <c r="U53" s="21"/>
      <c r="V53" s="21"/>
      <c r="W53" s="21"/>
      <c r="X53" s="21">
        <v>0</v>
      </c>
      <c r="Y53" s="21"/>
      <c r="Z53" s="21"/>
      <c r="AA53" s="21"/>
      <c r="AB53" s="21"/>
      <c r="AC53" t="s">
        <v>1272</v>
      </c>
      <c r="AD53" t="s">
        <v>871</v>
      </c>
      <c r="AE53" s="21">
        <v>2024</v>
      </c>
      <c r="AF53">
        <v>8</v>
      </c>
      <c r="AG53" t="s">
        <v>872</v>
      </c>
    </row>
    <row r="54" spans="1:33">
      <c r="A54">
        <v>18</v>
      </c>
      <c r="B54">
        <v>33</v>
      </c>
      <c r="C54" t="s">
        <v>74</v>
      </c>
      <c r="D54" t="s">
        <v>1219</v>
      </c>
      <c r="E54" t="s">
        <v>1220</v>
      </c>
      <c r="F54">
        <v>501801</v>
      </c>
      <c r="G54" s="154" t="s">
        <v>796</v>
      </c>
      <c r="H54" s="2" t="s">
        <v>1265</v>
      </c>
      <c r="J54" s="21">
        <v>0</v>
      </c>
      <c r="K54" s="21">
        <v>201432</v>
      </c>
      <c r="L54" s="21">
        <v>38272</v>
      </c>
      <c r="M54" s="21"/>
      <c r="N54" s="21"/>
      <c r="O54" s="21">
        <v>239704</v>
      </c>
      <c r="P54" s="21"/>
      <c r="Q54" s="21"/>
      <c r="R54" s="21"/>
      <c r="S54" s="21"/>
      <c r="T54" s="21">
        <v>0</v>
      </c>
      <c r="U54" s="21"/>
      <c r="V54" s="21"/>
      <c r="W54" s="21"/>
      <c r="X54" s="21">
        <v>0</v>
      </c>
      <c r="Y54" s="21"/>
      <c r="Z54" s="21"/>
      <c r="AA54" s="21"/>
      <c r="AB54" s="21"/>
      <c r="AC54" t="s">
        <v>1272</v>
      </c>
      <c r="AD54" t="s">
        <v>871</v>
      </c>
      <c r="AE54" s="21">
        <v>2024</v>
      </c>
      <c r="AF54">
        <v>8</v>
      </c>
      <c r="AG54" t="s">
        <v>872</v>
      </c>
    </row>
    <row r="55" spans="1:33">
      <c r="A55">
        <v>19</v>
      </c>
      <c r="B55">
        <v>33</v>
      </c>
      <c r="C55" t="s">
        <v>74</v>
      </c>
      <c r="D55" t="s">
        <v>1219</v>
      </c>
      <c r="E55" t="s">
        <v>1220</v>
      </c>
      <c r="F55">
        <v>501802</v>
      </c>
      <c r="G55" s="154" t="s">
        <v>796</v>
      </c>
      <c r="H55" s="155" t="s">
        <v>1266</v>
      </c>
      <c r="J55" s="21">
        <v>0</v>
      </c>
      <c r="K55" s="21">
        <v>201432</v>
      </c>
      <c r="L55" s="21">
        <v>38272</v>
      </c>
      <c r="M55" s="21"/>
      <c r="N55" s="21"/>
      <c r="O55" s="21">
        <v>239704</v>
      </c>
      <c r="P55" s="21"/>
      <c r="Q55" s="21"/>
      <c r="R55" s="21"/>
      <c r="S55" s="21"/>
      <c r="T55" s="21">
        <v>0</v>
      </c>
      <c r="U55" s="21"/>
      <c r="V55" s="21"/>
      <c r="W55" s="21"/>
      <c r="X55" s="21">
        <v>0</v>
      </c>
      <c r="Y55" s="21"/>
      <c r="Z55" s="21"/>
      <c r="AA55" s="21"/>
      <c r="AB55" s="21"/>
      <c r="AC55" t="s">
        <v>1272</v>
      </c>
      <c r="AD55" t="s">
        <v>871</v>
      </c>
      <c r="AE55" s="21">
        <v>2024</v>
      </c>
      <c r="AF55">
        <v>8</v>
      </c>
      <c r="AG55" t="s">
        <v>872</v>
      </c>
    </row>
    <row r="56" spans="1:33">
      <c r="A56">
        <v>20</v>
      </c>
      <c r="B56">
        <v>33</v>
      </c>
      <c r="C56" t="s">
        <v>74</v>
      </c>
      <c r="D56" t="s">
        <v>1219</v>
      </c>
      <c r="E56" t="s">
        <v>1220</v>
      </c>
      <c r="F56">
        <v>502213</v>
      </c>
      <c r="G56" s="154" t="s">
        <v>797</v>
      </c>
      <c r="H56" s="2" t="s">
        <v>1267</v>
      </c>
      <c r="J56" s="21">
        <v>0</v>
      </c>
      <c r="K56" s="21">
        <v>30849</v>
      </c>
      <c r="L56" s="21">
        <v>5861</v>
      </c>
      <c r="M56" s="21"/>
      <c r="N56" s="21"/>
      <c r="O56" s="21">
        <v>36710</v>
      </c>
      <c r="P56" s="21"/>
      <c r="Q56" s="21"/>
      <c r="R56" s="21"/>
      <c r="S56" s="21"/>
      <c r="T56" s="21">
        <v>0</v>
      </c>
      <c r="U56" s="21"/>
      <c r="V56" s="21"/>
      <c r="W56" s="21"/>
      <c r="X56" s="21">
        <v>0</v>
      </c>
      <c r="Y56" s="21"/>
      <c r="Z56" s="21"/>
      <c r="AA56" s="21"/>
      <c r="AB56" s="21"/>
      <c r="AC56" t="s">
        <v>1272</v>
      </c>
      <c r="AD56" t="s">
        <v>871</v>
      </c>
      <c r="AE56" s="21">
        <v>2024</v>
      </c>
      <c r="AF56">
        <v>8</v>
      </c>
      <c r="AG56" t="s">
        <v>872</v>
      </c>
    </row>
    <row r="57" spans="1:33">
      <c r="A57">
        <v>21</v>
      </c>
      <c r="B57">
        <v>33</v>
      </c>
      <c r="C57" t="s">
        <v>74</v>
      </c>
      <c r="D57" t="s">
        <v>1219</v>
      </c>
      <c r="E57" t="s">
        <v>1220</v>
      </c>
      <c r="F57">
        <v>502214</v>
      </c>
      <c r="G57" s="154" t="s">
        <v>797</v>
      </c>
      <c r="H57" s="2" t="s">
        <v>1268</v>
      </c>
      <c r="J57" s="21">
        <v>0</v>
      </c>
      <c r="K57" s="21">
        <v>201425</v>
      </c>
      <c r="L57" s="21">
        <v>38271</v>
      </c>
      <c r="M57" s="21"/>
      <c r="N57" s="21"/>
      <c r="O57" s="21">
        <v>239696</v>
      </c>
      <c r="P57" s="21"/>
      <c r="Q57" s="21"/>
      <c r="R57" s="21"/>
      <c r="S57" s="21"/>
      <c r="T57" s="21">
        <v>0</v>
      </c>
      <c r="U57" s="21"/>
      <c r="V57" s="21"/>
      <c r="W57" s="21"/>
      <c r="X57" s="21">
        <v>0</v>
      </c>
      <c r="Y57" s="21"/>
      <c r="Z57" s="21"/>
      <c r="AA57" s="21"/>
      <c r="AB57" s="21"/>
      <c r="AC57" t="s">
        <v>1272</v>
      </c>
      <c r="AD57" t="s">
        <v>871</v>
      </c>
      <c r="AE57" s="21">
        <v>2024</v>
      </c>
      <c r="AF57">
        <v>8</v>
      </c>
      <c r="AG57" t="s">
        <v>872</v>
      </c>
    </row>
    <row r="58" spans="1:33">
      <c r="A58">
        <v>22</v>
      </c>
      <c r="B58">
        <v>33</v>
      </c>
      <c r="C58" t="s">
        <v>74</v>
      </c>
      <c r="D58" t="s">
        <v>873</v>
      </c>
      <c r="E58" t="s">
        <v>874</v>
      </c>
      <c r="F58">
        <v>48689713</v>
      </c>
      <c r="G58" s="154" t="s">
        <v>797</v>
      </c>
      <c r="H58" s="2" t="s">
        <v>1269</v>
      </c>
      <c r="J58" s="21">
        <v>0</v>
      </c>
      <c r="K58" s="21">
        <v>28926</v>
      </c>
      <c r="L58" s="21">
        <v>5496</v>
      </c>
      <c r="M58" s="21"/>
      <c r="N58" s="21"/>
      <c r="O58" s="21">
        <v>34422</v>
      </c>
      <c r="P58" s="21"/>
      <c r="Q58" s="21"/>
      <c r="R58" s="21"/>
      <c r="S58" s="21"/>
      <c r="T58" s="21">
        <v>0</v>
      </c>
      <c r="U58" s="21"/>
      <c r="V58" s="21"/>
      <c r="W58" s="21"/>
      <c r="X58" s="21">
        <v>0</v>
      </c>
      <c r="Y58" s="21"/>
      <c r="Z58" s="21"/>
      <c r="AA58" s="21"/>
      <c r="AB58" s="21"/>
      <c r="AC58" t="s">
        <v>1272</v>
      </c>
      <c r="AD58" t="s">
        <v>871</v>
      </c>
      <c r="AE58" s="21">
        <v>2024</v>
      </c>
      <c r="AF58">
        <v>8</v>
      </c>
      <c r="AG58" t="s">
        <v>872</v>
      </c>
    </row>
    <row r="59" spans="1:33">
      <c r="A59">
        <v>23</v>
      </c>
      <c r="B59">
        <v>33</v>
      </c>
      <c r="C59" t="s">
        <v>74</v>
      </c>
      <c r="D59" t="s">
        <v>1246</v>
      </c>
      <c r="E59" t="s">
        <v>1247</v>
      </c>
      <c r="F59">
        <v>68666</v>
      </c>
      <c r="G59" s="154" t="s">
        <v>799</v>
      </c>
      <c r="H59" s="2" t="s">
        <v>1270</v>
      </c>
      <c r="J59" s="21">
        <v>0</v>
      </c>
      <c r="K59" s="21">
        <v>193644</v>
      </c>
      <c r="L59" s="21">
        <v>36792</v>
      </c>
      <c r="M59" s="21"/>
      <c r="N59" s="21"/>
      <c r="O59" s="21">
        <v>230436</v>
      </c>
      <c r="P59" s="21"/>
      <c r="Q59" s="21"/>
      <c r="R59" s="21"/>
      <c r="S59" s="21"/>
      <c r="T59" s="21">
        <v>0</v>
      </c>
      <c r="U59" s="21"/>
      <c r="V59" s="21"/>
      <c r="W59" s="21"/>
      <c r="X59" s="21">
        <v>0</v>
      </c>
      <c r="Y59" s="21"/>
      <c r="Z59" s="21"/>
      <c r="AA59" s="21"/>
      <c r="AB59" s="21"/>
      <c r="AC59" t="s">
        <v>1272</v>
      </c>
      <c r="AD59" t="s">
        <v>871</v>
      </c>
      <c r="AE59" s="21">
        <v>2024</v>
      </c>
      <c r="AF59">
        <v>8</v>
      </c>
      <c r="AG59" t="s">
        <v>872</v>
      </c>
    </row>
    <row r="60" spans="1:33">
      <c r="A60">
        <v>24</v>
      </c>
      <c r="B60">
        <v>33</v>
      </c>
      <c r="C60" t="s">
        <v>74</v>
      </c>
      <c r="D60" t="s">
        <v>1246</v>
      </c>
      <c r="E60" t="s">
        <v>1247</v>
      </c>
      <c r="F60">
        <v>68667</v>
      </c>
      <c r="G60" s="154" t="s">
        <v>799</v>
      </c>
      <c r="H60" s="2" t="s">
        <v>1270</v>
      </c>
      <c r="J60" s="21">
        <v>0</v>
      </c>
      <c r="K60" s="21">
        <v>150311</v>
      </c>
      <c r="L60" s="21">
        <v>28559</v>
      </c>
      <c r="M60" s="21"/>
      <c r="N60" s="21"/>
      <c r="O60" s="21">
        <v>178870</v>
      </c>
      <c r="P60" s="21"/>
      <c r="Q60" s="21"/>
      <c r="R60" s="21"/>
      <c r="S60" s="21"/>
      <c r="T60" s="21">
        <v>0</v>
      </c>
      <c r="U60" s="21"/>
      <c r="V60" s="21"/>
      <c r="W60" s="21"/>
      <c r="X60" s="21">
        <v>0</v>
      </c>
      <c r="Y60" s="21"/>
      <c r="Z60" s="21"/>
      <c r="AA60" s="21"/>
      <c r="AB60" s="21"/>
      <c r="AC60" t="s">
        <v>1272</v>
      </c>
      <c r="AD60" t="s">
        <v>871</v>
      </c>
      <c r="AE60" s="21">
        <v>2024</v>
      </c>
      <c r="AF60">
        <v>8</v>
      </c>
      <c r="AG60" t="s">
        <v>872</v>
      </c>
    </row>
    <row r="61" spans="1:33">
      <c r="A61">
        <v>25</v>
      </c>
      <c r="B61">
        <v>33</v>
      </c>
      <c r="C61" t="s">
        <v>74</v>
      </c>
      <c r="D61" t="s">
        <v>1246</v>
      </c>
      <c r="E61" t="s">
        <v>1247</v>
      </c>
      <c r="F61">
        <v>68671</v>
      </c>
      <c r="G61" s="154" t="s">
        <v>799</v>
      </c>
      <c r="H61" s="2" t="s">
        <v>1270</v>
      </c>
      <c r="J61" s="21">
        <v>0</v>
      </c>
      <c r="K61" s="21">
        <v>150322</v>
      </c>
      <c r="L61" s="21">
        <v>28561</v>
      </c>
      <c r="M61" s="21"/>
      <c r="N61" s="21"/>
      <c r="O61" s="21">
        <v>178883</v>
      </c>
      <c r="P61" s="21"/>
      <c r="Q61" s="21"/>
      <c r="R61" s="21"/>
      <c r="S61" s="21"/>
      <c r="T61" s="21">
        <v>0</v>
      </c>
      <c r="U61" s="21"/>
      <c r="V61" s="21"/>
      <c r="W61" s="21"/>
      <c r="X61" s="21">
        <v>0</v>
      </c>
      <c r="Y61" s="21"/>
      <c r="Z61" s="21"/>
      <c r="AA61" s="21"/>
      <c r="AB61" s="21"/>
      <c r="AC61" t="s">
        <v>1272</v>
      </c>
      <c r="AD61" t="s">
        <v>871</v>
      </c>
      <c r="AE61" s="21">
        <v>2024</v>
      </c>
      <c r="AF61">
        <v>8</v>
      </c>
      <c r="AG61" t="s">
        <v>872</v>
      </c>
    </row>
    <row r="62" spans="1:33">
      <c r="A62">
        <v>26</v>
      </c>
      <c r="B62">
        <v>34</v>
      </c>
      <c r="C62" t="s">
        <v>74</v>
      </c>
      <c r="D62" t="s">
        <v>107</v>
      </c>
      <c r="E62" t="s">
        <v>108</v>
      </c>
      <c r="F62">
        <v>2180</v>
      </c>
      <c r="G62" s="154">
        <v>45505</v>
      </c>
      <c r="H62" s="2">
        <v>45299.589386574073</v>
      </c>
      <c r="J62" s="21">
        <v>2442552</v>
      </c>
      <c r="K62" s="21">
        <v>0</v>
      </c>
      <c r="L62" s="21">
        <v>0</v>
      </c>
      <c r="M62" s="21"/>
      <c r="N62" s="21"/>
      <c r="O62" s="21">
        <v>2442552</v>
      </c>
      <c r="P62" s="21"/>
      <c r="Q62" s="21"/>
      <c r="R62" s="21"/>
      <c r="S62" s="21"/>
      <c r="T62" s="21">
        <v>0</v>
      </c>
      <c r="U62" s="21"/>
      <c r="V62" s="21"/>
      <c r="W62" s="21"/>
      <c r="X62" s="21">
        <v>0</v>
      </c>
      <c r="Y62" s="21"/>
      <c r="Z62" s="21"/>
      <c r="AA62" s="21"/>
      <c r="AB62" s="21"/>
      <c r="AC62" t="s">
        <v>1272</v>
      </c>
      <c r="AD62" t="s">
        <v>871</v>
      </c>
      <c r="AE62" s="21">
        <v>2024</v>
      </c>
      <c r="AF62">
        <v>8</v>
      </c>
      <c r="AG62" t="s">
        <v>880</v>
      </c>
    </row>
    <row r="63" spans="1:33">
      <c r="A63">
        <v>27</v>
      </c>
      <c r="B63">
        <v>34</v>
      </c>
      <c r="C63" t="s">
        <v>74</v>
      </c>
      <c r="D63" t="s">
        <v>873</v>
      </c>
      <c r="E63" t="s">
        <v>874</v>
      </c>
      <c r="F63">
        <v>12633452</v>
      </c>
      <c r="G63" s="154" t="s">
        <v>795</v>
      </c>
      <c r="H63" s="2" t="s">
        <v>1271</v>
      </c>
      <c r="J63" s="21">
        <v>0</v>
      </c>
      <c r="K63" s="21">
        <v>0</v>
      </c>
      <c r="L63" s="21">
        <v>0</v>
      </c>
      <c r="M63" s="21"/>
      <c r="N63" s="21"/>
      <c r="O63" s="21">
        <v>0</v>
      </c>
      <c r="P63" s="21"/>
      <c r="Q63" s="21"/>
      <c r="R63" s="21"/>
      <c r="S63" s="21"/>
      <c r="T63" s="21">
        <v>0</v>
      </c>
      <c r="U63" s="21"/>
      <c r="V63" s="21"/>
      <c r="W63" s="21"/>
      <c r="X63" s="21">
        <v>0</v>
      </c>
      <c r="Y63" s="21"/>
      <c r="Z63" s="21"/>
      <c r="AA63" s="21"/>
      <c r="AB63" s="21"/>
      <c r="AC63" t="s">
        <v>1272</v>
      </c>
      <c r="AD63" t="s">
        <v>871</v>
      </c>
      <c r="AE63" s="21">
        <v>2024</v>
      </c>
      <c r="AF63">
        <v>8</v>
      </c>
      <c r="AG63" t="s">
        <v>880</v>
      </c>
    </row>
    <row r="64" spans="1:33">
      <c r="A64">
        <v>28</v>
      </c>
      <c r="B64">
        <v>914</v>
      </c>
      <c r="C64" t="s">
        <v>74</v>
      </c>
      <c r="D64" t="s">
        <v>844</v>
      </c>
      <c r="E64" t="s">
        <v>845</v>
      </c>
      <c r="F64">
        <v>3670094276</v>
      </c>
      <c r="G64" s="154" t="s">
        <v>790</v>
      </c>
      <c r="H64" s="2">
        <v>45421.355208333334</v>
      </c>
      <c r="J64" s="21">
        <v>0</v>
      </c>
      <c r="K64" s="21">
        <v>31767968</v>
      </c>
      <c r="L64" s="21">
        <v>6035914</v>
      </c>
      <c r="M64" s="21"/>
      <c r="N64" s="21"/>
      <c r="O64" s="21">
        <v>37803882</v>
      </c>
      <c r="P64" s="21"/>
      <c r="Q64" s="21"/>
      <c r="R64" s="21"/>
      <c r="S64" s="21"/>
      <c r="T64" s="21"/>
      <c r="U64" s="21"/>
      <c r="V64" s="21"/>
      <c r="W64" s="21"/>
      <c r="X64" s="21">
        <v>0</v>
      </c>
      <c r="Y64" s="21"/>
      <c r="Z64" s="21"/>
      <c r="AA64" s="21"/>
      <c r="AB64" s="21"/>
      <c r="AC64" t="s">
        <v>1272</v>
      </c>
      <c r="AD64" t="s">
        <v>871</v>
      </c>
      <c r="AE64" s="21">
        <v>2024</v>
      </c>
      <c r="AF64">
        <v>8</v>
      </c>
      <c r="AG64" t="s">
        <v>1142</v>
      </c>
    </row>
    <row r="65" spans="1:33">
      <c r="A65">
        <v>29</v>
      </c>
      <c r="B65">
        <v>914</v>
      </c>
      <c r="C65" t="s">
        <v>74</v>
      </c>
      <c r="D65" t="s">
        <v>844</v>
      </c>
      <c r="E65" t="s">
        <v>845</v>
      </c>
      <c r="F65">
        <v>3670094876</v>
      </c>
      <c r="G65" s="154" t="s">
        <v>797</v>
      </c>
      <c r="H65" s="2">
        <v>45421.355868055558</v>
      </c>
      <c r="J65" s="21">
        <v>0</v>
      </c>
      <c r="K65" s="21">
        <v>74230411</v>
      </c>
      <c r="L65" s="21">
        <v>14103778</v>
      </c>
      <c r="M65" s="21"/>
      <c r="N65" s="21"/>
      <c r="O65" s="21">
        <v>88334189</v>
      </c>
      <c r="P65" s="21"/>
      <c r="Q65" s="21"/>
      <c r="R65" s="21"/>
      <c r="S65" s="21"/>
      <c r="T65" s="21"/>
      <c r="U65" s="21"/>
      <c r="V65" s="21"/>
      <c r="W65" s="21"/>
      <c r="X65" s="21">
        <v>0</v>
      </c>
      <c r="Y65" s="21"/>
      <c r="Z65" s="21"/>
      <c r="AA65" s="21"/>
      <c r="AB65" s="21"/>
      <c r="AC65" t="s">
        <v>1272</v>
      </c>
      <c r="AD65" t="s">
        <v>871</v>
      </c>
      <c r="AE65" s="21">
        <v>2024</v>
      </c>
      <c r="AF65">
        <v>8</v>
      </c>
      <c r="AG65" t="s">
        <v>1142</v>
      </c>
    </row>
    <row r="66" spans="1:33">
      <c r="A66">
        <v>30</v>
      </c>
      <c r="B66">
        <v>914</v>
      </c>
      <c r="C66" t="s">
        <v>74</v>
      </c>
      <c r="D66" t="s">
        <v>844</v>
      </c>
      <c r="E66" t="s">
        <v>845</v>
      </c>
      <c r="F66">
        <v>3670094877</v>
      </c>
      <c r="G66" s="154" t="s">
        <v>797</v>
      </c>
      <c r="H66" s="2">
        <v>45421.356550925928</v>
      </c>
      <c r="J66" s="21">
        <v>0</v>
      </c>
      <c r="K66" s="21">
        <v>32201121</v>
      </c>
      <c r="L66" s="21">
        <v>6118213</v>
      </c>
      <c r="M66" s="21"/>
      <c r="N66" s="21"/>
      <c r="O66" s="21">
        <v>38319334</v>
      </c>
      <c r="P66" s="21"/>
      <c r="Q66" s="21"/>
      <c r="R66" s="21"/>
      <c r="S66" s="21"/>
      <c r="T66" s="21"/>
      <c r="U66" s="21"/>
      <c r="V66" s="21"/>
      <c r="W66" s="21"/>
      <c r="X66" s="21">
        <v>0</v>
      </c>
      <c r="Y66" s="21"/>
      <c r="Z66" s="21"/>
      <c r="AA66" s="21"/>
      <c r="AB66" s="21"/>
      <c r="AC66" t="s">
        <v>1272</v>
      </c>
      <c r="AD66" t="s">
        <v>871</v>
      </c>
      <c r="AE66" s="21">
        <v>2024</v>
      </c>
      <c r="AF66">
        <v>8</v>
      </c>
      <c r="AG66" t="s">
        <v>1142</v>
      </c>
    </row>
    <row r="67" spans="1:33">
      <c r="A67">
        <v>1</v>
      </c>
      <c r="B67">
        <v>33</v>
      </c>
      <c r="C67" t="s">
        <v>74</v>
      </c>
      <c r="D67" t="s">
        <v>1212</v>
      </c>
      <c r="E67" t="s">
        <v>1213</v>
      </c>
      <c r="F67">
        <v>2261596</v>
      </c>
      <c r="G67" s="154" t="s">
        <v>796</v>
      </c>
      <c r="H67" t="s">
        <v>1273</v>
      </c>
      <c r="J67" s="21">
        <v>0</v>
      </c>
      <c r="K67" s="21">
        <v>2823493</v>
      </c>
      <c r="L67" s="21">
        <v>536464</v>
      </c>
      <c r="M67" s="21"/>
      <c r="N67" s="21"/>
      <c r="O67" s="21">
        <v>3359957</v>
      </c>
      <c r="P67" s="21"/>
      <c r="Q67" s="21"/>
      <c r="R67" s="21"/>
      <c r="S67" s="21"/>
      <c r="T67" s="21">
        <v>0</v>
      </c>
      <c r="U67" s="21"/>
      <c r="V67" s="21"/>
      <c r="W67" s="21"/>
      <c r="X67" s="21">
        <v>0</v>
      </c>
      <c r="Y67" s="21"/>
      <c r="Z67" s="21"/>
      <c r="AA67" s="21"/>
      <c r="AB67" s="21"/>
      <c r="AC67" t="s">
        <v>1288</v>
      </c>
      <c r="AD67" t="s">
        <v>871</v>
      </c>
      <c r="AE67" s="21">
        <v>2024</v>
      </c>
      <c r="AF67">
        <v>9</v>
      </c>
      <c r="AG67" t="s">
        <v>872</v>
      </c>
    </row>
    <row r="68" spans="1:33">
      <c r="A68">
        <v>2</v>
      </c>
      <c r="B68">
        <v>33</v>
      </c>
      <c r="C68" t="s">
        <v>74</v>
      </c>
      <c r="D68" t="s">
        <v>876</v>
      </c>
      <c r="E68" t="s">
        <v>877</v>
      </c>
      <c r="F68">
        <v>8677449</v>
      </c>
      <c r="G68" s="153" t="s">
        <v>798</v>
      </c>
      <c r="H68" t="s">
        <v>1274</v>
      </c>
      <c r="J68" s="21">
        <v>0</v>
      </c>
      <c r="K68" s="21">
        <v>2437668</v>
      </c>
      <c r="L68" s="21">
        <v>463157</v>
      </c>
      <c r="M68" s="21"/>
      <c r="N68" s="21"/>
      <c r="O68" s="21">
        <v>2900825</v>
      </c>
      <c r="P68" s="21"/>
      <c r="Q68" s="21"/>
      <c r="R68" s="21"/>
      <c r="S68" s="21"/>
      <c r="T68" s="21">
        <v>0</v>
      </c>
      <c r="U68" s="21"/>
      <c r="V68" s="21"/>
      <c r="W68" s="21"/>
      <c r="X68" s="21">
        <v>0</v>
      </c>
      <c r="Y68" s="21"/>
      <c r="Z68" s="21"/>
      <c r="AA68" s="21"/>
      <c r="AB68" s="21"/>
      <c r="AC68" t="s">
        <v>1288</v>
      </c>
      <c r="AD68" t="s">
        <v>871</v>
      </c>
      <c r="AE68" s="21">
        <v>2024</v>
      </c>
      <c r="AF68">
        <v>9</v>
      </c>
      <c r="AG68" t="s">
        <v>872</v>
      </c>
    </row>
    <row r="69" spans="1:33">
      <c r="A69">
        <v>3</v>
      </c>
      <c r="B69">
        <v>33</v>
      </c>
      <c r="C69" t="s">
        <v>74</v>
      </c>
      <c r="D69" t="s">
        <v>1258</v>
      </c>
      <c r="E69" t="s">
        <v>1259</v>
      </c>
      <c r="F69">
        <v>12704</v>
      </c>
      <c r="G69" s="153" t="s">
        <v>799</v>
      </c>
      <c r="H69" s="2">
        <v>45300.759108796294</v>
      </c>
      <c r="J69" s="21">
        <v>0</v>
      </c>
      <c r="K69" s="21">
        <v>636134</v>
      </c>
      <c r="L69" s="21">
        <v>120865</v>
      </c>
      <c r="M69" s="21"/>
      <c r="N69" s="21"/>
      <c r="O69" s="21">
        <v>756999</v>
      </c>
      <c r="P69" s="21"/>
      <c r="Q69" s="21"/>
      <c r="R69" s="21"/>
      <c r="S69" s="21"/>
      <c r="T69" s="21">
        <v>0</v>
      </c>
      <c r="U69" s="21"/>
      <c r="V69" s="21"/>
      <c r="W69" s="21"/>
      <c r="X69" s="21">
        <v>0</v>
      </c>
      <c r="Y69" s="21"/>
      <c r="Z69" s="21"/>
      <c r="AA69" s="21"/>
      <c r="AB69" s="21"/>
      <c r="AC69" t="s">
        <v>1288</v>
      </c>
      <c r="AD69" t="s">
        <v>871</v>
      </c>
      <c r="AE69" s="21">
        <v>2024</v>
      </c>
      <c r="AF69">
        <v>9</v>
      </c>
      <c r="AG69" t="s">
        <v>872</v>
      </c>
    </row>
    <row r="70" spans="1:33">
      <c r="A70">
        <v>4</v>
      </c>
      <c r="B70">
        <v>33</v>
      </c>
      <c r="C70" t="s">
        <v>74</v>
      </c>
      <c r="D70" t="s">
        <v>109</v>
      </c>
      <c r="E70" t="s">
        <v>875</v>
      </c>
      <c r="F70">
        <v>4291</v>
      </c>
      <c r="G70" s="154">
        <v>45536</v>
      </c>
      <c r="H70" s="2">
        <v>45331.50608796296</v>
      </c>
      <c r="J70" s="21">
        <v>0</v>
      </c>
      <c r="K70" s="21">
        <v>566445</v>
      </c>
      <c r="L70" s="21">
        <v>107625</v>
      </c>
      <c r="M70" s="21"/>
      <c r="N70" s="21"/>
      <c r="O70" s="21">
        <v>674070</v>
      </c>
      <c r="P70" s="21"/>
      <c r="Q70" s="21"/>
      <c r="R70" s="21"/>
      <c r="S70" s="21"/>
      <c r="T70" s="21">
        <v>0</v>
      </c>
      <c r="U70" s="21"/>
      <c r="V70" s="21"/>
      <c r="W70" s="21"/>
      <c r="X70" s="21">
        <v>0</v>
      </c>
      <c r="Y70" s="21"/>
      <c r="Z70" s="21"/>
      <c r="AA70" s="21"/>
      <c r="AB70" s="21"/>
      <c r="AC70" t="s">
        <v>1288</v>
      </c>
      <c r="AD70" t="s">
        <v>871</v>
      </c>
      <c r="AE70" s="21">
        <v>2024</v>
      </c>
      <c r="AF70">
        <v>9</v>
      </c>
      <c r="AG70" t="s">
        <v>872</v>
      </c>
    </row>
    <row r="71" spans="1:33">
      <c r="A71">
        <v>5</v>
      </c>
      <c r="B71">
        <v>33</v>
      </c>
      <c r="C71" t="s">
        <v>74</v>
      </c>
      <c r="D71" t="s">
        <v>1275</v>
      </c>
      <c r="E71" t="s">
        <v>1276</v>
      </c>
      <c r="F71">
        <v>410887</v>
      </c>
      <c r="G71" s="154">
        <v>45539</v>
      </c>
      <c r="H71" s="2">
        <v>45391.603263888886</v>
      </c>
      <c r="J71" s="21">
        <v>0</v>
      </c>
      <c r="K71" s="21">
        <v>1551252</v>
      </c>
      <c r="L71" s="21">
        <v>294738</v>
      </c>
      <c r="M71" s="21"/>
      <c r="N71" s="21"/>
      <c r="O71" s="21">
        <v>1845990</v>
      </c>
      <c r="P71" s="21"/>
      <c r="Q71" s="21"/>
      <c r="R71" s="21"/>
      <c r="S71" s="21"/>
      <c r="T71" s="21">
        <v>0</v>
      </c>
      <c r="U71" s="21"/>
      <c r="V71" s="21"/>
      <c r="W71" s="21"/>
      <c r="X71" s="21">
        <v>0</v>
      </c>
      <c r="Y71" s="21"/>
      <c r="Z71" s="21"/>
      <c r="AA71" s="21"/>
      <c r="AB71" s="21"/>
      <c r="AC71" t="s">
        <v>1288</v>
      </c>
      <c r="AD71" t="s">
        <v>871</v>
      </c>
      <c r="AE71" s="21">
        <v>2024</v>
      </c>
      <c r="AF71">
        <v>9</v>
      </c>
      <c r="AG71" t="s">
        <v>872</v>
      </c>
    </row>
    <row r="72" spans="1:33">
      <c r="A72">
        <v>6</v>
      </c>
      <c r="B72">
        <v>33</v>
      </c>
      <c r="C72" t="s">
        <v>74</v>
      </c>
      <c r="D72" t="s">
        <v>1222</v>
      </c>
      <c r="E72" t="s">
        <v>1223</v>
      </c>
      <c r="F72">
        <v>3192081</v>
      </c>
      <c r="G72" s="154">
        <v>45539</v>
      </c>
      <c r="H72" s="2">
        <v>45391.847893518519</v>
      </c>
      <c r="J72" s="21">
        <v>0</v>
      </c>
      <c r="K72" s="21">
        <v>24371595</v>
      </c>
      <c r="L72" s="21">
        <v>4630603</v>
      </c>
      <c r="M72" s="21"/>
      <c r="N72" s="21"/>
      <c r="O72" s="21">
        <v>29002198</v>
      </c>
      <c r="P72" s="21"/>
      <c r="Q72" s="21"/>
      <c r="R72" s="21"/>
      <c r="S72" s="21"/>
      <c r="T72" s="21">
        <v>0</v>
      </c>
      <c r="U72" s="21"/>
      <c r="V72" s="21"/>
      <c r="W72" s="21"/>
      <c r="X72" s="21">
        <v>0</v>
      </c>
      <c r="Y72" s="21"/>
      <c r="Z72" s="21"/>
      <c r="AA72" s="21"/>
      <c r="AB72" s="21"/>
      <c r="AC72" t="s">
        <v>1288</v>
      </c>
      <c r="AD72" t="s">
        <v>871</v>
      </c>
      <c r="AE72" s="21">
        <v>2024</v>
      </c>
      <c r="AF72">
        <v>9</v>
      </c>
      <c r="AG72" t="s">
        <v>872</v>
      </c>
    </row>
    <row r="73" spans="1:33">
      <c r="A73">
        <v>7</v>
      </c>
      <c r="B73">
        <v>33</v>
      </c>
      <c r="C73" t="s">
        <v>74</v>
      </c>
      <c r="D73" t="s">
        <v>1217</v>
      </c>
      <c r="E73" t="s">
        <v>1218</v>
      </c>
      <c r="F73">
        <v>40066</v>
      </c>
      <c r="G73" s="153" t="s">
        <v>884</v>
      </c>
      <c r="H73" s="2">
        <v>45421.493773148148</v>
      </c>
      <c r="J73" s="21">
        <v>0</v>
      </c>
      <c r="K73" s="21">
        <v>2089655</v>
      </c>
      <c r="L73" s="21">
        <v>397034</v>
      </c>
      <c r="M73" s="21"/>
      <c r="N73" s="21"/>
      <c r="O73" s="21">
        <v>2486689</v>
      </c>
      <c r="P73" s="21"/>
      <c r="Q73" s="21"/>
      <c r="R73" s="21"/>
      <c r="S73" s="21"/>
      <c r="T73" s="21">
        <v>0</v>
      </c>
      <c r="U73" s="21"/>
      <c r="V73" s="21"/>
      <c r="W73" s="21"/>
      <c r="X73" s="21">
        <v>0</v>
      </c>
      <c r="Y73" s="21"/>
      <c r="Z73" s="21"/>
      <c r="AA73" s="21"/>
      <c r="AB73" s="21"/>
      <c r="AC73" t="s">
        <v>1288</v>
      </c>
      <c r="AD73" t="s">
        <v>871</v>
      </c>
      <c r="AE73" s="21">
        <v>2024</v>
      </c>
      <c r="AF73">
        <v>9</v>
      </c>
      <c r="AG73" t="s">
        <v>872</v>
      </c>
    </row>
    <row r="74" spans="1:33">
      <c r="A74">
        <v>8</v>
      </c>
      <c r="B74">
        <v>33</v>
      </c>
      <c r="C74" t="s">
        <v>74</v>
      </c>
      <c r="D74" t="s">
        <v>1231</v>
      </c>
      <c r="E74" t="s">
        <v>1232</v>
      </c>
      <c r="F74">
        <v>1013577</v>
      </c>
      <c r="G74" s="154">
        <v>45540</v>
      </c>
      <c r="H74" s="2">
        <v>45421.556296296294</v>
      </c>
      <c r="J74" s="21">
        <v>0</v>
      </c>
      <c r="K74" s="21">
        <v>93169</v>
      </c>
      <c r="L74" s="21">
        <v>17702</v>
      </c>
      <c r="M74" s="21"/>
      <c r="N74" s="21"/>
      <c r="O74" s="21">
        <v>110871</v>
      </c>
      <c r="P74" s="21"/>
      <c r="Q74" s="21"/>
      <c r="R74" s="21"/>
      <c r="S74" s="21"/>
      <c r="T74" s="21">
        <v>0</v>
      </c>
      <c r="U74" s="21"/>
      <c r="V74" s="21"/>
      <c r="W74" s="21"/>
      <c r="X74" s="21">
        <v>0</v>
      </c>
      <c r="Y74" s="21"/>
      <c r="Z74" s="21"/>
      <c r="AA74" s="21"/>
      <c r="AB74" s="21"/>
      <c r="AC74" t="s">
        <v>1288</v>
      </c>
      <c r="AD74" t="s">
        <v>871</v>
      </c>
      <c r="AE74" s="21">
        <v>2024</v>
      </c>
      <c r="AF74">
        <v>9</v>
      </c>
      <c r="AG74" t="s">
        <v>872</v>
      </c>
    </row>
    <row r="75" spans="1:33">
      <c r="A75">
        <v>9</v>
      </c>
      <c r="B75">
        <v>33</v>
      </c>
      <c r="C75" t="s">
        <v>74</v>
      </c>
      <c r="D75" t="s">
        <v>1240</v>
      </c>
      <c r="E75" t="s">
        <v>1241</v>
      </c>
      <c r="F75">
        <v>6707</v>
      </c>
      <c r="G75" s="154">
        <v>45540</v>
      </c>
      <c r="H75" s="2">
        <v>45421.859513888892</v>
      </c>
      <c r="J75" s="21">
        <v>0</v>
      </c>
      <c r="K75" s="21">
        <v>50000</v>
      </c>
      <c r="L75" s="21">
        <v>9500</v>
      </c>
      <c r="M75" s="21"/>
      <c r="N75" s="21"/>
      <c r="O75" s="21">
        <v>59500</v>
      </c>
      <c r="P75" s="21"/>
      <c r="Q75" s="21"/>
      <c r="R75" s="21"/>
      <c r="S75" s="21"/>
      <c r="T75" s="21">
        <v>0</v>
      </c>
      <c r="U75" s="21"/>
      <c r="V75" s="21"/>
      <c r="W75" s="21"/>
      <c r="X75" s="21">
        <v>0</v>
      </c>
      <c r="Y75" s="21"/>
      <c r="Z75" s="21"/>
      <c r="AA75" s="21"/>
      <c r="AB75" s="21"/>
      <c r="AC75" t="s">
        <v>1288</v>
      </c>
      <c r="AD75" t="s">
        <v>871</v>
      </c>
      <c r="AE75" s="21">
        <v>2024</v>
      </c>
      <c r="AF75">
        <v>9</v>
      </c>
      <c r="AG75" t="s">
        <v>872</v>
      </c>
    </row>
    <row r="76" spans="1:33">
      <c r="A76">
        <v>10</v>
      </c>
      <c r="B76">
        <v>33</v>
      </c>
      <c r="C76" t="s">
        <v>74</v>
      </c>
      <c r="D76" t="s">
        <v>917</v>
      </c>
      <c r="E76" t="s">
        <v>1221</v>
      </c>
      <c r="F76">
        <v>178419</v>
      </c>
      <c r="G76" s="154">
        <v>45539</v>
      </c>
      <c r="H76" s="2">
        <v>45421.968275462961</v>
      </c>
      <c r="J76" s="21">
        <v>0</v>
      </c>
      <c r="K76" s="21">
        <v>975580</v>
      </c>
      <c r="L76" s="21">
        <v>185360</v>
      </c>
      <c r="M76" s="21"/>
      <c r="N76" s="21"/>
      <c r="O76" s="21">
        <v>1160940</v>
      </c>
      <c r="P76" s="21"/>
      <c r="Q76" s="21"/>
      <c r="R76" s="21"/>
      <c r="S76" s="21"/>
      <c r="T76" s="21">
        <v>0</v>
      </c>
      <c r="U76" s="21"/>
      <c r="V76" s="21"/>
      <c r="W76" s="21"/>
      <c r="X76" s="21">
        <v>0</v>
      </c>
      <c r="Y76" s="21"/>
      <c r="Z76" s="21"/>
      <c r="AA76" s="21"/>
      <c r="AB76" s="21"/>
      <c r="AC76" t="s">
        <v>1288</v>
      </c>
      <c r="AD76" t="s">
        <v>871</v>
      </c>
      <c r="AE76" s="21">
        <v>2024</v>
      </c>
      <c r="AF76">
        <v>9</v>
      </c>
      <c r="AG76" t="s">
        <v>872</v>
      </c>
    </row>
    <row r="77" spans="1:33">
      <c r="A77">
        <v>11</v>
      </c>
      <c r="B77">
        <v>33</v>
      </c>
      <c r="C77" t="s">
        <v>74</v>
      </c>
      <c r="D77" t="s">
        <v>1227</v>
      </c>
      <c r="E77" t="s">
        <v>1228</v>
      </c>
      <c r="F77">
        <v>870</v>
      </c>
      <c r="G77" s="154">
        <v>45546</v>
      </c>
      <c r="H77" s="2">
        <v>45605.475081018521</v>
      </c>
      <c r="J77" s="21">
        <v>0</v>
      </c>
      <c r="K77" s="21">
        <v>2060000</v>
      </c>
      <c r="L77" s="21">
        <v>391400</v>
      </c>
      <c r="M77" s="21"/>
      <c r="N77" s="21"/>
      <c r="O77" s="21">
        <v>2451400</v>
      </c>
      <c r="P77" s="21"/>
      <c r="Q77" s="21"/>
      <c r="R77" s="21"/>
      <c r="S77" s="21"/>
      <c r="T77" s="21">
        <v>0</v>
      </c>
      <c r="U77" s="21"/>
      <c r="V77" s="21"/>
      <c r="W77" s="21"/>
      <c r="X77" s="21">
        <v>0</v>
      </c>
      <c r="Y77" s="21"/>
      <c r="Z77" s="21"/>
      <c r="AA77" s="21"/>
      <c r="AB77" s="21"/>
      <c r="AC77" t="s">
        <v>1288</v>
      </c>
      <c r="AD77" t="s">
        <v>871</v>
      </c>
      <c r="AE77" s="21">
        <v>2024</v>
      </c>
      <c r="AF77">
        <v>9</v>
      </c>
      <c r="AG77" t="s">
        <v>872</v>
      </c>
    </row>
    <row r="78" spans="1:33">
      <c r="A78">
        <v>12</v>
      </c>
      <c r="B78">
        <v>33</v>
      </c>
      <c r="C78" t="s">
        <v>74</v>
      </c>
      <c r="D78" t="s">
        <v>1246</v>
      </c>
      <c r="E78" t="s">
        <v>1247</v>
      </c>
      <c r="F78">
        <v>68938</v>
      </c>
      <c r="G78" s="154" t="s">
        <v>801</v>
      </c>
      <c r="H78" s="2" t="s">
        <v>1277</v>
      </c>
      <c r="J78" s="21">
        <v>0</v>
      </c>
      <c r="K78" s="21">
        <v>145645</v>
      </c>
      <c r="L78" s="21">
        <v>27673</v>
      </c>
      <c r="M78" s="21"/>
      <c r="N78" s="21"/>
      <c r="O78" s="21">
        <v>173318</v>
      </c>
      <c r="P78" s="21"/>
      <c r="Q78" s="21"/>
      <c r="R78" s="21"/>
      <c r="S78" s="21"/>
      <c r="T78" s="21">
        <v>0</v>
      </c>
      <c r="U78" s="21"/>
      <c r="V78" s="21"/>
      <c r="W78" s="21"/>
      <c r="X78" s="21">
        <v>0</v>
      </c>
      <c r="Y78" s="21"/>
      <c r="Z78" s="21"/>
      <c r="AA78" s="21"/>
      <c r="AB78" s="21"/>
      <c r="AC78" t="s">
        <v>1288</v>
      </c>
      <c r="AD78" t="s">
        <v>871</v>
      </c>
      <c r="AE78" s="21">
        <v>2024</v>
      </c>
      <c r="AF78">
        <v>9</v>
      </c>
      <c r="AG78" t="s">
        <v>872</v>
      </c>
    </row>
    <row r="79" spans="1:33">
      <c r="A79">
        <v>13</v>
      </c>
      <c r="B79">
        <v>33</v>
      </c>
      <c r="C79" t="s">
        <v>74</v>
      </c>
      <c r="D79" t="s">
        <v>1236</v>
      </c>
      <c r="E79" t="s">
        <v>1237</v>
      </c>
      <c r="F79">
        <v>129406</v>
      </c>
      <c r="G79" s="154" t="s">
        <v>802</v>
      </c>
      <c r="H79" s="2" t="s">
        <v>1278</v>
      </c>
      <c r="J79" s="21">
        <v>0</v>
      </c>
      <c r="K79" s="21">
        <v>113289</v>
      </c>
      <c r="L79" s="21">
        <v>21525</v>
      </c>
      <c r="M79" s="21"/>
      <c r="N79" s="21"/>
      <c r="O79" s="21">
        <v>134814</v>
      </c>
      <c r="P79" s="21"/>
      <c r="Q79" s="21"/>
      <c r="R79" s="21"/>
      <c r="S79" s="21"/>
      <c r="T79" s="21">
        <v>0</v>
      </c>
      <c r="U79" s="21"/>
      <c r="V79" s="21"/>
      <c r="W79" s="21"/>
      <c r="X79" s="21">
        <v>0</v>
      </c>
      <c r="Y79" s="21"/>
      <c r="Z79" s="21"/>
      <c r="AA79" s="21"/>
      <c r="AB79" s="21"/>
      <c r="AC79" t="s">
        <v>1288</v>
      </c>
      <c r="AD79" t="s">
        <v>871</v>
      </c>
      <c r="AE79" s="21">
        <v>2024</v>
      </c>
      <c r="AF79">
        <v>9</v>
      </c>
      <c r="AG79" t="s">
        <v>872</v>
      </c>
    </row>
    <row r="80" spans="1:33">
      <c r="A80">
        <v>14</v>
      </c>
      <c r="B80">
        <v>33</v>
      </c>
      <c r="C80" t="s">
        <v>74</v>
      </c>
      <c r="D80" t="s">
        <v>1279</v>
      </c>
      <c r="E80" t="s">
        <v>1280</v>
      </c>
      <c r="F80">
        <v>473537</v>
      </c>
      <c r="G80" s="154" t="s">
        <v>802</v>
      </c>
      <c r="H80" s="2" t="s">
        <v>1281</v>
      </c>
      <c r="J80" s="21">
        <v>0</v>
      </c>
      <c r="K80" s="21">
        <v>55402</v>
      </c>
      <c r="L80" s="21">
        <v>10526</v>
      </c>
      <c r="M80" s="21"/>
      <c r="N80" s="21"/>
      <c r="O80" s="21">
        <v>65928</v>
      </c>
      <c r="P80" s="21"/>
      <c r="Q80" s="21"/>
      <c r="R80" s="21"/>
      <c r="S80" s="21"/>
      <c r="T80" s="21">
        <v>0</v>
      </c>
      <c r="U80" s="21"/>
      <c r="V80" s="21"/>
      <c r="W80" s="21"/>
      <c r="X80" s="21">
        <v>0</v>
      </c>
      <c r="Y80" s="21"/>
      <c r="Z80" s="21"/>
      <c r="AA80" s="21"/>
      <c r="AB80" s="21"/>
      <c r="AC80" t="s">
        <v>1288</v>
      </c>
      <c r="AD80" t="s">
        <v>871</v>
      </c>
      <c r="AE80" s="21">
        <v>2024</v>
      </c>
      <c r="AF80">
        <v>9</v>
      </c>
      <c r="AG80" t="s">
        <v>872</v>
      </c>
    </row>
    <row r="81" spans="1:33">
      <c r="A81">
        <v>15</v>
      </c>
      <c r="B81">
        <v>33</v>
      </c>
      <c r="C81" t="s">
        <v>74</v>
      </c>
      <c r="D81" t="s">
        <v>1279</v>
      </c>
      <c r="E81" t="s">
        <v>1280</v>
      </c>
      <c r="F81">
        <v>473539</v>
      </c>
      <c r="G81" s="153" t="s">
        <v>802</v>
      </c>
      <c r="H81" t="s">
        <v>1282</v>
      </c>
      <c r="J81" s="21">
        <v>0</v>
      </c>
      <c r="K81" s="21">
        <v>27701</v>
      </c>
      <c r="L81" s="21">
        <v>5263</v>
      </c>
      <c r="M81" s="21"/>
      <c r="N81" s="21"/>
      <c r="O81" s="21">
        <v>32964</v>
      </c>
      <c r="P81" s="21"/>
      <c r="Q81" s="21"/>
      <c r="R81" s="21"/>
      <c r="S81" s="21"/>
      <c r="T81" s="21">
        <v>0</v>
      </c>
      <c r="U81" s="21"/>
      <c r="V81" s="21"/>
      <c r="W81" s="21"/>
      <c r="X81" s="21">
        <v>0</v>
      </c>
      <c r="Y81" s="21"/>
      <c r="Z81" s="21"/>
      <c r="AA81" s="21"/>
      <c r="AB81" s="21"/>
      <c r="AC81" t="s">
        <v>1288</v>
      </c>
      <c r="AD81" t="s">
        <v>871</v>
      </c>
      <c r="AE81" s="21">
        <v>2024</v>
      </c>
      <c r="AF81">
        <v>9</v>
      </c>
      <c r="AG81" t="s">
        <v>872</v>
      </c>
    </row>
    <row r="82" spans="1:33">
      <c r="A82">
        <v>16</v>
      </c>
      <c r="B82">
        <v>33</v>
      </c>
      <c r="C82" t="s">
        <v>74</v>
      </c>
      <c r="D82" t="s">
        <v>1222</v>
      </c>
      <c r="E82" t="s">
        <v>1223</v>
      </c>
      <c r="F82">
        <v>3220077</v>
      </c>
      <c r="G82" s="153" t="s">
        <v>803</v>
      </c>
      <c r="H82" t="s">
        <v>1283</v>
      </c>
      <c r="I82" t="s">
        <v>1284</v>
      </c>
      <c r="J82" s="21">
        <v>0</v>
      </c>
      <c r="K82" s="21">
        <v>8618889</v>
      </c>
      <c r="L82" s="21">
        <v>1637589</v>
      </c>
      <c r="M82" s="21"/>
      <c r="N82" s="21"/>
      <c r="O82" s="21">
        <v>10256478</v>
      </c>
      <c r="P82" s="21"/>
      <c r="Q82" s="21"/>
      <c r="R82" s="21"/>
      <c r="S82" s="21"/>
      <c r="T82" s="21">
        <v>0</v>
      </c>
      <c r="U82" s="21"/>
      <c r="V82" s="21"/>
      <c r="W82" s="21"/>
      <c r="X82" s="21">
        <v>0</v>
      </c>
      <c r="Y82" s="21"/>
      <c r="Z82" s="21"/>
      <c r="AA82" s="21"/>
      <c r="AB82" s="21"/>
      <c r="AC82" t="s">
        <v>1288</v>
      </c>
      <c r="AD82" t="s">
        <v>871</v>
      </c>
      <c r="AE82" s="21">
        <v>2024</v>
      </c>
      <c r="AF82">
        <v>9</v>
      </c>
      <c r="AG82" t="s">
        <v>872</v>
      </c>
    </row>
    <row r="83" spans="1:33">
      <c r="A83">
        <v>17</v>
      </c>
      <c r="B83">
        <v>33</v>
      </c>
      <c r="C83" t="s">
        <v>74</v>
      </c>
      <c r="D83" t="s">
        <v>1279</v>
      </c>
      <c r="E83" t="s">
        <v>1280</v>
      </c>
      <c r="F83">
        <v>475293</v>
      </c>
      <c r="G83" s="153" t="s">
        <v>805</v>
      </c>
      <c r="H83" t="s">
        <v>1285</v>
      </c>
      <c r="J83" s="21">
        <v>0</v>
      </c>
      <c r="K83" s="21">
        <v>27345</v>
      </c>
      <c r="L83" s="21">
        <v>5196</v>
      </c>
      <c r="M83" s="21"/>
      <c r="N83" s="21"/>
      <c r="O83" s="21">
        <v>32541</v>
      </c>
      <c r="P83" s="21"/>
      <c r="Q83" s="21"/>
      <c r="R83" s="21"/>
      <c r="S83" s="21"/>
      <c r="T83" s="21">
        <v>0</v>
      </c>
      <c r="U83" s="21"/>
      <c r="V83" s="21"/>
      <c r="W83" s="21"/>
      <c r="X83" s="21">
        <v>0</v>
      </c>
      <c r="Y83" s="21"/>
      <c r="Z83" s="21"/>
      <c r="AA83" s="21"/>
      <c r="AB83" s="21"/>
      <c r="AC83" t="s">
        <v>1288</v>
      </c>
      <c r="AD83" t="s">
        <v>871</v>
      </c>
      <c r="AE83" s="21">
        <v>2024</v>
      </c>
      <c r="AF83">
        <v>9</v>
      </c>
      <c r="AG83" t="s">
        <v>872</v>
      </c>
    </row>
    <row r="84" spans="1:33">
      <c r="A84">
        <v>18</v>
      </c>
      <c r="B84">
        <v>33</v>
      </c>
      <c r="C84" t="s">
        <v>74</v>
      </c>
      <c r="D84" t="s">
        <v>873</v>
      </c>
      <c r="E84" t="s">
        <v>874</v>
      </c>
      <c r="F84">
        <v>48979863</v>
      </c>
      <c r="G84" s="153" t="s">
        <v>806</v>
      </c>
      <c r="H84" t="s">
        <v>1286</v>
      </c>
      <c r="J84" s="21">
        <v>0</v>
      </c>
      <c r="K84" s="21">
        <v>29055</v>
      </c>
      <c r="L84" s="21">
        <v>5520</v>
      </c>
      <c r="M84" s="21"/>
      <c r="N84" s="21"/>
      <c r="O84" s="21">
        <v>34575</v>
      </c>
      <c r="P84" s="21"/>
      <c r="Q84" s="21"/>
      <c r="R84" s="21"/>
      <c r="S84" s="21"/>
      <c r="T84" s="21">
        <v>0</v>
      </c>
      <c r="U84" s="21"/>
      <c r="V84" s="21"/>
      <c r="W84" s="21"/>
      <c r="X84" s="21">
        <v>0</v>
      </c>
      <c r="Y84" s="21"/>
      <c r="Z84" s="21"/>
      <c r="AA84" s="21"/>
      <c r="AB84" s="21"/>
      <c r="AC84" t="s">
        <v>1288</v>
      </c>
      <c r="AD84" t="s">
        <v>871</v>
      </c>
      <c r="AE84" s="21">
        <v>2024</v>
      </c>
      <c r="AF84">
        <v>9</v>
      </c>
      <c r="AG84" t="s">
        <v>872</v>
      </c>
    </row>
    <row r="85" spans="1:33">
      <c r="A85">
        <v>19</v>
      </c>
      <c r="B85">
        <v>33</v>
      </c>
      <c r="C85" t="s">
        <v>74</v>
      </c>
      <c r="D85" t="s">
        <v>1246</v>
      </c>
      <c r="E85" t="s">
        <v>1247</v>
      </c>
      <c r="F85">
        <v>69312</v>
      </c>
      <c r="G85" s="153" t="s">
        <v>807</v>
      </c>
      <c r="H85" t="s">
        <v>1287</v>
      </c>
      <c r="J85" s="21">
        <v>0</v>
      </c>
      <c r="K85" s="21">
        <v>192672</v>
      </c>
      <c r="L85" s="21">
        <v>36608</v>
      </c>
      <c r="M85" s="21"/>
      <c r="N85" s="21"/>
      <c r="O85" s="21">
        <v>229280</v>
      </c>
      <c r="P85" s="21"/>
      <c r="Q85" s="21"/>
      <c r="R85" s="21"/>
      <c r="S85" s="21"/>
      <c r="T85" s="21">
        <v>0</v>
      </c>
      <c r="U85" s="21"/>
      <c r="V85" s="21"/>
      <c r="W85" s="21"/>
      <c r="X85" s="21">
        <v>0</v>
      </c>
      <c r="Y85" s="21"/>
      <c r="Z85" s="21"/>
      <c r="AA85" s="21"/>
      <c r="AB85" s="21"/>
      <c r="AC85" t="s">
        <v>1288</v>
      </c>
      <c r="AD85" t="s">
        <v>871</v>
      </c>
      <c r="AE85" s="21">
        <v>2024</v>
      </c>
      <c r="AF85">
        <v>9</v>
      </c>
      <c r="AG85" t="s">
        <v>872</v>
      </c>
    </row>
    <row r="86" spans="1:33">
      <c r="A86">
        <v>20</v>
      </c>
      <c r="B86">
        <v>33</v>
      </c>
      <c r="C86" t="s">
        <v>74</v>
      </c>
      <c r="D86" t="s">
        <v>1246</v>
      </c>
      <c r="E86" t="s">
        <v>1247</v>
      </c>
      <c r="F86">
        <v>69314</v>
      </c>
      <c r="G86" s="153" t="s">
        <v>807</v>
      </c>
      <c r="H86" t="s">
        <v>1287</v>
      </c>
      <c r="J86" s="21">
        <v>0</v>
      </c>
      <c r="K86" s="21">
        <v>145645</v>
      </c>
      <c r="L86" s="21">
        <v>27673</v>
      </c>
      <c r="M86" s="21"/>
      <c r="N86" s="21"/>
      <c r="O86" s="21">
        <v>173318</v>
      </c>
      <c r="P86" s="21"/>
      <c r="Q86" s="21"/>
      <c r="R86" s="21"/>
      <c r="S86" s="21"/>
      <c r="T86" s="21">
        <v>0</v>
      </c>
      <c r="U86" s="21"/>
      <c r="V86" s="21"/>
      <c r="W86" s="21"/>
      <c r="X86" s="21">
        <v>0</v>
      </c>
      <c r="Y86" s="21"/>
      <c r="Z86" s="21"/>
      <c r="AA86" s="21"/>
      <c r="AB86" s="21"/>
      <c r="AC86" t="s">
        <v>1288</v>
      </c>
      <c r="AD86" t="s">
        <v>871</v>
      </c>
      <c r="AE86" s="21">
        <v>2024</v>
      </c>
      <c r="AF86">
        <v>9</v>
      </c>
      <c r="AG86" t="s">
        <v>872</v>
      </c>
    </row>
    <row r="87" spans="1:33">
      <c r="A87">
        <v>21</v>
      </c>
      <c r="B87">
        <v>34</v>
      </c>
      <c r="C87" t="s">
        <v>74</v>
      </c>
      <c r="D87" t="s">
        <v>107</v>
      </c>
      <c r="E87" t="s">
        <v>108</v>
      </c>
      <c r="F87">
        <v>2266</v>
      </c>
      <c r="G87" s="154">
        <v>45536</v>
      </c>
      <c r="H87" s="2">
        <v>45331.630277777775</v>
      </c>
      <c r="J87" s="21">
        <v>2454593</v>
      </c>
      <c r="K87" s="21">
        <v>0</v>
      </c>
      <c r="L87" s="21">
        <v>0</v>
      </c>
      <c r="M87" s="21"/>
      <c r="N87" s="21"/>
      <c r="O87" s="21">
        <v>2454593</v>
      </c>
      <c r="P87" s="21"/>
      <c r="Q87" s="21"/>
      <c r="R87" s="21"/>
      <c r="S87" s="21"/>
      <c r="T87" s="21">
        <v>0</v>
      </c>
      <c r="U87" s="21"/>
      <c r="V87" s="21"/>
      <c r="W87" s="21"/>
      <c r="X87" s="21">
        <v>0</v>
      </c>
      <c r="Y87" s="21"/>
      <c r="Z87" s="21"/>
      <c r="AA87" s="21"/>
      <c r="AB87" s="21"/>
      <c r="AC87" t="s">
        <v>1288</v>
      </c>
      <c r="AD87" t="s">
        <v>871</v>
      </c>
      <c r="AE87" s="21">
        <v>2024</v>
      </c>
      <c r="AF87">
        <v>9</v>
      </c>
      <c r="AG87" t="s">
        <v>880</v>
      </c>
    </row>
    <row r="88" spans="1:33">
      <c r="A88">
        <v>22</v>
      </c>
      <c r="B88">
        <v>914</v>
      </c>
      <c r="C88" t="s">
        <v>74</v>
      </c>
      <c r="D88" t="s">
        <v>844</v>
      </c>
      <c r="E88" t="s">
        <v>845</v>
      </c>
      <c r="F88">
        <v>3670095056</v>
      </c>
      <c r="G88" s="154">
        <v>45540</v>
      </c>
      <c r="H88" s="2">
        <v>45453.802025462966</v>
      </c>
      <c r="J88" s="21">
        <v>0</v>
      </c>
      <c r="K88" s="21">
        <v>966853</v>
      </c>
      <c r="L88" s="21">
        <v>183702</v>
      </c>
      <c r="M88" s="21"/>
      <c r="N88" s="21"/>
      <c r="O88" s="21">
        <v>1150555</v>
      </c>
      <c r="P88" s="21"/>
      <c r="Q88" s="21"/>
      <c r="R88" s="21"/>
      <c r="S88" s="21"/>
      <c r="T88" s="21"/>
      <c r="U88" s="21"/>
      <c r="V88" s="21"/>
      <c r="W88" s="21"/>
      <c r="X88" s="21">
        <v>0</v>
      </c>
      <c r="Y88" s="21"/>
      <c r="Z88" s="21"/>
      <c r="AA88" s="21"/>
      <c r="AB88" s="21"/>
      <c r="AC88" t="s">
        <v>1288</v>
      </c>
      <c r="AD88" t="s">
        <v>871</v>
      </c>
      <c r="AE88" s="21">
        <v>2024</v>
      </c>
      <c r="AF88">
        <v>9</v>
      </c>
      <c r="AG88" t="s">
        <v>1142</v>
      </c>
    </row>
    <row r="89" spans="1:33">
      <c r="A89">
        <v>23</v>
      </c>
      <c r="B89">
        <v>914</v>
      </c>
      <c r="C89" t="s">
        <v>74</v>
      </c>
      <c r="D89" t="s">
        <v>844</v>
      </c>
      <c r="E89" t="s">
        <v>845</v>
      </c>
      <c r="F89">
        <v>3670095120</v>
      </c>
      <c r="G89" s="153" t="s">
        <v>806</v>
      </c>
      <c r="H89" s="2">
        <v>45453.802905092591</v>
      </c>
      <c r="J89" s="21">
        <v>0</v>
      </c>
      <c r="K89" s="21">
        <v>73678205</v>
      </c>
      <c r="L89" s="21">
        <v>13998859</v>
      </c>
      <c r="M89" s="21"/>
      <c r="N89" s="21"/>
      <c r="O89" s="21">
        <v>87677064</v>
      </c>
      <c r="P89" s="21"/>
      <c r="Q89" s="21"/>
      <c r="R89" s="21"/>
      <c r="S89" s="21"/>
      <c r="T89" s="21"/>
      <c r="U89" s="21"/>
      <c r="V89" s="21"/>
      <c r="W89" s="21"/>
      <c r="X89" s="21">
        <v>0</v>
      </c>
      <c r="Y89" s="21"/>
      <c r="Z89" s="21"/>
      <c r="AA89" s="21"/>
      <c r="AB89" s="21"/>
      <c r="AC89" t="s">
        <v>1288</v>
      </c>
      <c r="AD89" t="s">
        <v>871</v>
      </c>
      <c r="AE89" s="21">
        <v>2024</v>
      </c>
      <c r="AF89">
        <v>9</v>
      </c>
      <c r="AG89" t="s">
        <v>1142</v>
      </c>
    </row>
    <row r="90" spans="1:33">
      <c r="A90">
        <v>24</v>
      </c>
      <c r="B90">
        <v>914</v>
      </c>
      <c r="C90" t="s">
        <v>74</v>
      </c>
      <c r="D90" t="s">
        <v>844</v>
      </c>
      <c r="E90" t="s">
        <v>845</v>
      </c>
      <c r="F90">
        <v>3670094878</v>
      </c>
      <c r="G90" s="153" t="s">
        <v>806</v>
      </c>
      <c r="H90" s="2">
        <v>45453.803715277776</v>
      </c>
      <c r="J90" s="21">
        <v>0</v>
      </c>
      <c r="K90" s="21">
        <v>18140453</v>
      </c>
      <c r="L90" s="21">
        <v>3446686</v>
      </c>
      <c r="M90" s="21"/>
      <c r="N90" s="21"/>
      <c r="O90" s="21">
        <v>21587140</v>
      </c>
      <c r="P90" s="21"/>
      <c r="Q90" s="21"/>
      <c r="R90" s="21"/>
      <c r="S90" s="21"/>
      <c r="T90" s="21"/>
      <c r="U90" s="21"/>
      <c r="V90" s="21"/>
      <c r="W90" s="21"/>
      <c r="X90" s="21">
        <v>0</v>
      </c>
      <c r="Y90" s="21"/>
      <c r="Z90" s="21"/>
      <c r="AA90" s="21"/>
      <c r="AB90" s="21"/>
      <c r="AC90" t="s">
        <v>1288</v>
      </c>
      <c r="AD90" t="s">
        <v>871</v>
      </c>
      <c r="AE90" s="21">
        <v>2024</v>
      </c>
      <c r="AF90">
        <v>9</v>
      </c>
      <c r="AG90" t="s">
        <v>1142</v>
      </c>
    </row>
    <row r="91" spans="1:33">
      <c r="A91">
        <v>1</v>
      </c>
      <c r="B91">
        <v>33</v>
      </c>
      <c r="C91" t="s">
        <v>74</v>
      </c>
      <c r="D91" t="s">
        <v>1215</v>
      </c>
      <c r="E91" t="s">
        <v>1216</v>
      </c>
      <c r="F91">
        <v>1910100</v>
      </c>
      <c r="G91" s="153" t="s">
        <v>807</v>
      </c>
      <c r="H91" s="2" t="s">
        <v>1289</v>
      </c>
      <c r="J91" s="21">
        <v>0</v>
      </c>
      <c r="K91" s="21">
        <v>12000</v>
      </c>
      <c r="L91" s="21">
        <v>2280</v>
      </c>
      <c r="M91" s="21"/>
      <c r="N91" s="21"/>
      <c r="O91" s="21">
        <v>14280</v>
      </c>
      <c r="P91" s="21"/>
      <c r="Q91" s="21"/>
      <c r="R91" s="21"/>
      <c r="S91" s="21"/>
      <c r="T91" s="21">
        <v>0</v>
      </c>
      <c r="U91" s="21"/>
      <c r="V91" s="21"/>
      <c r="W91" s="21"/>
      <c r="X91" s="21">
        <v>0</v>
      </c>
      <c r="Y91" s="21"/>
      <c r="Z91" s="21"/>
      <c r="AA91" s="21"/>
      <c r="AB91" s="21"/>
      <c r="AC91" t="s">
        <v>1304</v>
      </c>
      <c r="AD91" t="s">
        <v>871</v>
      </c>
      <c r="AE91" s="21">
        <v>2024</v>
      </c>
      <c r="AF91">
        <v>10</v>
      </c>
      <c r="AG91" t="s">
        <v>872</v>
      </c>
    </row>
    <row r="92" spans="1:33">
      <c r="A92">
        <v>2</v>
      </c>
      <c r="B92">
        <v>33</v>
      </c>
      <c r="C92" t="s">
        <v>74</v>
      </c>
      <c r="D92" t="s">
        <v>109</v>
      </c>
      <c r="E92" t="s">
        <v>875</v>
      </c>
      <c r="F92">
        <v>4340</v>
      </c>
      <c r="G92" s="154">
        <v>45566</v>
      </c>
      <c r="H92" s="2">
        <v>45301.668206018519</v>
      </c>
      <c r="J92" s="21">
        <v>0</v>
      </c>
      <c r="K92" s="21">
        <v>568713</v>
      </c>
      <c r="L92" s="21">
        <v>108055</v>
      </c>
      <c r="M92" s="21"/>
      <c r="N92" s="21"/>
      <c r="O92" s="21">
        <v>676768</v>
      </c>
      <c r="P92" s="21"/>
      <c r="Q92" s="21"/>
      <c r="R92" s="21"/>
      <c r="S92" s="21"/>
      <c r="T92" s="21">
        <v>0</v>
      </c>
      <c r="U92" s="21"/>
      <c r="V92" s="21"/>
      <c r="W92" s="21"/>
      <c r="X92" s="21">
        <v>0</v>
      </c>
      <c r="Y92" s="21"/>
      <c r="Z92" s="21"/>
      <c r="AA92" s="21"/>
      <c r="AB92" s="21"/>
      <c r="AC92" t="s">
        <v>1304</v>
      </c>
      <c r="AD92" t="s">
        <v>871</v>
      </c>
      <c r="AE92" s="21">
        <v>2024</v>
      </c>
      <c r="AF92">
        <v>10</v>
      </c>
      <c r="AG92" t="s">
        <v>872</v>
      </c>
    </row>
    <row r="93" spans="1:33">
      <c r="A93">
        <v>3</v>
      </c>
      <c r="B93">
        <v>33</v>
      </c>
      <c r="C93" t="s">
        <v>74</v>
      </c>
      <c r="D93" t="s">
        <v>1212</v>
      </c>
      <c r="E93" t="s">
        <v>1213</v>
      </c>
      <c r="F93">
        <v>2269143</v>
      </c>
      <c r="G93" s="153" t="s">
        <v>807</v>
      </c>
      <c r="H93" s="2">
        <v>45301.727511574078</v>
      </c>
      <c r="J93" s="21">
        <v>0</v>
      </c>
      <c r="K93" s="21">
        <v>7136511</v>
      </c>
      <c r="L93" s="21">
        <v>1355937</v>
      </c>
      <c r="M93" s="21"/>
      <c r="N93" s="21"/>
      <c r="O93" s="21">
        <v>8492448</v>
      </c>
      <c r="P93" s="21"/>
      <c r="Q93" s="21"/>
      <c r="R93" s="21"/>
      <c r="S93" s="21"/>
      <c r="T93" s="21">
        <v>0</v>
      </c>
      <c r="U93" s="21"/>
      <c r="V93" s="21"/>
      <c r="W93" s="21"/>
      <c r="X93" s="21">
        <v>0</v>
      </c>
      <c r="Y93" s="21"/>
      <c r="Z93" s="21"/>
      <c r="AA93" s="21"/>
      <c r="AB93" s="21"/>
      <c r="AC93" t="s">
        <v>1304</v>
      </c>
      <c r="AD93" t="s">
        <v>871</v>
      </c>
      <c r="AE93" s="21">
        <v>2024</v>
      </c>
      <c r="AF93">
        <v>10</v>
      </c>
      <c r="AG93" t="s">
        <v>872</v>
      </c>
    </row>
    <row r="94" spans="1:33">
      <c r="A94">
        <v>4</v>
      </c>
      <c r="B94">
        <v>33</v>
      </c>
      <c r="C94" t="s">
        <v>74</v>
      </c>
      <c r="D94" t="s">
        <v>1279</v>
      </c>
      <c r="E94" t="s">
        <v>1280</v>
      </c>
      <c r="F94">
        <v>476740</v>
      </c>
      <c r="G94" s="154">
        <v>45567</v>
      </c>
      <c r="H94" s="2">
        <v>45332.411736111113</v>
      </c>
      <c r="J94" s="21">
        <v>0</v>
      </c>
      <c r="K94" s="21">
        <v>620879</v>
      </c>
      <c r="L94" s="21">
        <v>117967</v>
      </c>
      <c r="M94" s="21"/>
      <c r="N94" s="21"/>
      <c r="O94" s="21">
        <v>738846</v>
      </c>
      <c r="P94" s="21"/>
      <c r="Q94" s="21"/>
      <c r="R94" s="21"/>
      <c r="S94" s="21"/>
      <c r="T94" s="21">
        <v>0</v>
      </c>
      <c r="U94" s="21"/>
      <c r="V94" s="21"/>
      <c r="W94" s="21"/>
      <c r="X94" s="21">
        <v>0</v>
      </c>
      <c r="Y94" s="21"/>
      <c r="Z94" s="21"/>
      <c r="AA94" s="21"/>
      <c r="AB94" s="21"/>
      <c r="AC94" t="s">
        <v>1304</v>
      </c>
      <c r="AD94" t="s">
        <v>871</v>
      </c>
      <c r="AE94" s="21">
        <v>2024</v>
      </c>
      <c r="AF94">
        <v>10</v>
      </c>
      <c r="AG94" t="s">
        <v>872</v>
      </c>
    </row>
    <row r="95" spans="1:33">
      <c r="A95">
        <v>5</v>
      </c>
      <c r="B95">
        <v>33</v>
      </c>
      <c r="C95" t="s">
        <v>74</v>
      </c>
      <c r="D95" t="s">
        <v>1279</v>
      </c>
      <c r="E95" t="s">
        <v>1280</v>
      </c>
      <c r="F95">
        <v>476741</v>
      </c>
      <c r="G95" s="154">
        <v>45567</v>
      </c>
      <c r="H95" s="2">
        <v>45332.412546296298</v>
      </c>
      <c r="J95" s="21">
        <v>0</v>
      </c>
      <c r="K95" s="21">
        <v>613669</v>
      </c>
      <c r="L95" s="21">
        <v>116597</v>
      </c>
      <c r="M95" s="21"/>
      <c r="N95" s="21"/>
      <c r="O95" s="21">
        <v>730266</v>
      </c>
      <c r="P95" s="21"/>
      <c r="Q95" s="21"/>
      <c r="R95" s="21"/>
      <c r="S95" s="21"/>
      <c r="T95" s="21">
        <v>0</v>
      </c>
      <c r="U95" s="21"/>
      <c r="V95" s="21"/>
      <c r="W95" s="21"/>
      <c r="X95" s="21">
        <v>0</v>
      </c>
      <c r="Y95" s="21"/>
      <c r="Z95" s="21"/>
      <c r="AA95" s="21"/>
      <c r="AB95" s="21"/>
      <c r="AC95" t="s">
        <v>1304</v>
      </c>
      <c r="AD95" t="s">
        <v>871</v>
      </c>
      <c r="AE95" s="21">
        <v>2024</v>
      </c>
      <c r="AF95">
        <v>10</v>
      </c>
      <c r="AG95" t="s">
        <v>872</v>
      </c>
    </row>
    <row r="96" spans="1:33">
      <c r="A96">
        <v>6</v>
      </c>
      <c r="B96">
        <v>33</v>
      </c>
      <c r="C96" t="s">
        <v>74</v>
      </c>
      <c r="D96" t="s">
        <v>1279</v>
      </c>
      <c r="E96" t="s">
        <v>1280</v>
      </c>
      <c r="F96">
        <v>476742</v>
      </c>
      <c r="G96" s="154">
        <v>45567</v>
      </c>
      <c r="H96" s="155">
        <v>45332.414050925923</v>
      </c>
      <c r="J96" s="21">
        <v>0</v>
      </c>
      <c r="K96" s="21">
        <v>563206</v>
      </c>
      <c r="L96" s="21">
        <v>107009</v>
      </c>
      <c r="M96" s="21"/>
      <c r="N96" s="21"/>
      <c r="O96" s="21">
        <v>670215</v>
      </c>
      <c r="P96" s="21"/>
      <c r="Q96" s="21"/>
      <c r="R96" s="21"/>
      <c r="S96" s="21"/>
      <c r="T96" s="21">
        <v>0</v>
      </c>
      <c r="U96" s="21"/>
      <c r="V96" s="21"/>
      <c r="W96" s="21"/>
      <c r="X96" s="21">
        <v>0</v>
      </c>
      <c r="Y96" s="21"/>
      <c r="Z96" s="21"/>
      <c r="AA96" s="21"/>
      <c r="AB96" s="21"/>
      <c r="AC96" t="s">
        <v>1304</v>
      </c>
      <c r="AD96" t="s">
        <v>871</v>
      </c>
      <c r="AE96" s="21">
        <v>2024</v>
      </c>
      <c r="AF96">
        <v>10</v>
      </c>
      <c r="AG96" t="s">
        <v>872</v>
      </c>
    </row>
    <row r="97" spans="1:33">
      <c r="A97">
        <v>7</v>
      </c>
      <c r="B97">
        <v>33</v>
      </c>
      <c r="C97" t="s">
        <v>74</v>
      </c>
      <c r="D97" t="s">
        <v>1258</v>
      </c>
      <c r="E97" t="s">
        <v>1259</v>
      </c>
      <c r="F97">
        <v>12834</v>
      </c>
      <c r="G97" s="153" t="s">
        <v>807</v>
      </c>
      <c r="H97" s="2">
        <v>45332.825949074075</v>
      </c>
      <c r="J97" s="21">
        <v>0</v>
      </c>
      <c r="K97" s="21">
        <v>544185</v>
      </c>
      <c r="L97" s="21">
        <v>103395</v>
      </c>
      <c r="M97" s="21"/>
      <c r="N97" s="21"/>
      <c r="O97" s="21">
        <v>647580</v>
      </c>
      <c r="P97" s="21"/>
      <c r="Q97" s="21"/>
      <c r="R97" s="21"/>
      <c r="S97" s="21"/>
      <c r="T97" s="21">
        <v>0</v>
      </c>
      <c r="U97" s="21"/>
      <c r="V97" s="21"/>
      <c r="W97" s="21"/>
      <c r="X97" s="21">
        <v>0</v>
      </c>
      <c r="Y97" s="21"/>
      <c r="Z97" s="21"/>
      <c r="AA97" s="21"/>
      <c r="AB97" s="21"/>
      <c r="AC97" t="s">
        <v>1304</v>
      </c>
      <c r="AD97" t="s">
        <v>871</v>
      </c>
      <c r="AE97" s="21">
        <v>2024</v>
      </c>
      <c r="AF97">
        <v>10</v>
      </c>
      <c r="AG97" t="s">
        <v>872</v>
      </c>
    </row>
    <row r="98" spans="1:33">
      <c r="A98">
        <v>8</v>
      </c>
      <c r="B98">
        <v>33</v>
      </c>
      <c r="C98" t="s">
        <v>74</v>
      </c>
      <c r="D98" t="s">
        <v>1231</v>
      </c>
      <c r="E98" t="s">
        <v>1232</v>
      </c>
      <c r="F98">
        <v>1021035</v>
      </c>
      <c r="G98" s="154">
        <v>45568</v>
      </c>
      <c r="H98" s="2">
        <v>45361.382349537038</v>
      </c>
      <c r="J98" s="21">
        <v>0</v>
      </c>
      <c r="K98" s="21">
        <v>132993</v>
      </c>
      <c r="L98" s="21">
        <v>25269</v>
      </c>
      <c r="M98" s="21"/>
      <c r="N98" s="21"/>
      <c r="O98" s="21">
        <v>158262</v>
      </c>
      <c r="P98" s="21"/>
      <c r="Q98" s="21"/>
      <c r="R98" s="21"/>
      <c r="S98" s="21"/>
      <c r="T98" s="21">
        <v>0</v>
      </c>
      <c r="U98" s="21"/>
      <c r="V98" s="21"/>
      <c r="W98" s="21"/>
      <c r="X98" s="21">
        <v>0</v>
      </c>
      <c r="Y98" s="21"/>
      <c r="Z98" s="21"/>
      <c r="AA98" s="21"/>
      <c r="AB98" s="21"/>
      <c r="AC98" t="s">
        <v>1304</v>
      </c>
      <c r="AD98" t="s">
        <v>871</v>
      </c>
      <c r="AE98" s="21">
        <v>2024</v>
      </c>
      <c r="AF98">
        <v>10</v>
      </c>
      <c r="AG98" t="s">
        <v>872</v>
      </c>
    </row>
    <row r="99" spans="1:33">
      <c r="A99">
        <v>9</v>
      </c>
      <c r="B99">
        <v>33</v>
      </c>
      <c r="C99" t="s">
        <v>74</v>
      </c>
      <c r="D99" t="s">
        <v>1217</v>
      </c>
      <c r="E99" t="s">
        <v>1218</v>
      </c>
      <c r="F99">
        <v>40221</v>
      </c>
      <c r="G99" s="154" t="s">
        <v>807</v>
      </c>
      <c r="H99" s="2">
        <v>45361.699537037035</v>
      </c>
      <c r="J99" s="21">
        <v>0</v>
      </c>
      <c r="K99" s="21">
        <v>2089655</v>
      </c>
      <c r="L99" s="21">
        <v>397034</v>
      </c>
      <c r="M99" s="21"/>
      <c r="N99" s="21"/>
      <c r="O99" s="21">
        <v>2486689</v>
      </c>
      <c r="P99" s="21"/>
      <c r="Q99" s="21"/>
      <c r="R99" s="21"/>
      <c r="S99" s="21"/>
      <c r="T99" s="21">
        <v>0</v>
      </c>
      <c r="U99" s="21"/>
      <c r="V99" s="21"/>
      <c r="W99" s="21"/>
      <c r="X99" s="21">
        <v>0</v>
      </c>
      <c r="Y99" s="21"/>
      <c r="Z99" s="21"/>
      <c r="AA99" s="21"/>
      <c r="AB99" s="21"/>
      <c r="AC99" t="s">
        <v>1304</v>
      </c>
      <c r="AD99" t="s">
        <v>871</v>
      </c>
      <c r="AE99" s="21">
        <v>2024</v>
      </c>
      <c r="AF99">
        <v>10</v>
      </c>
      <c r="AG99" t="s">
        <v>872</v>
      </c>
    </row>
    <row r="100" spans="1:33">
      <c r="A100">
        <v>10</v>
      </c>
      <c r="B100">
        <v>33</v>
      </c>
      <c r="C100" t="s">
        <v>74</v>
      </c>
      <c r="D100" t="s">
        <v>1219</v>
      </c>
      <c r="E100" t="s">
        <v>1220</v>
      </c>
      <c r="F100">
        <v>511436</v>
      </c>
      <c r="G100" s="154">
        <v>45568</v>
      </c>
      <c r="H100" s="2">
        <v>45361.756979166668</v>
      </c>
      <c r="J100" s="21">
        <v>0</v>
      </c>
      <c r="K100" s="21">
        <v>345654</v>
      </c>
      <c r="L100" s="21">
        <v>65674</v>
      </c>
      <c r="M100" s="21"/>
      <c r="N100" s="21"/>
      <c r="O100" s="21">
        <v>411328</v>
      </c>
      <c r="P100" s="21"/>
      <c r="Q100" s="21"/>
      <c r="R100" s="21"/>
      <c r="S100" s="21"/>
      <c r="T100" s="21">
        <v>0</v>
      </c>
      <c r="U100" s="21"/>
      <c r="V100" s="21"/>
      <c r="W100" s="21"/>
      <c r="X100" s="21">
        <v>0</v>
      </c>
      <c r="Y100" s="21"/>
      <c r="Z100" s="21"/>
      <c r="AA100" s="21"/>
      <c r="AB100" s="21"/>
      <c r="AC100" t="s">
        <v>1304</v>
      </c>
      <c r="AD100" t="s">
        <v>871</v>
      </c>
      <c r="AE100" s="21">
        <v>2024</v>
      </c>
      <c r="AF100">
        <v>10</v>
      </c>
      <c r="AG100" t="s">
        <v>872</v>
      </c>
    </row>
    <row r="101" spans="1:33">
      <c r="A101">
        <v>11</v>
      </c>
      <c r="B101">
        <v>33</v>
      </c>
      <c r="C101" t="s">
        <v>74</v>
      </c>
      <c r="D101" t="s">
        <v>1219</v>
      </c>
      <c r="E101" t="s">
        <v>1220</v>
      </c>
      <c r="F101">
        <v>511437</v>
      </c>
      <c r="G101" s="154">
        <v>45568</v>
      </c>
      <c r="H101" s="2">
        <v>45361.758275462962</v>
      </c>
      <c r="J101" s="21">
        <v>0</v>
      </c>
      <c r="K101" s="21">
        <v>345654</v>
      </c>
      <c r="L101" s="21">
        <v>65674</v>
      </c>
      <c r="M101" s="21"/>
      <c r="N101" s="21"/>
      <c r="O101" s="21">
        <v>411328</v>
      </c>
      <c r="P101" s="21"/>
      <c r="Q101" s="21"/>
      <c r="R101" s="21"/>
      <c r="S101" s="21"/>
      <c r="T101" s="21">
        <v>0</v>
      </c>
      <c r="U101" s="21"/>
      <c r="V101" s="21"/>
      <c r="W101" s="21"/>
      <c r="X101" s="21">
        <v>0</v>
      </c>
      <c r="Y101" s="21"/>
      <c r="Z101" s="21"/>
      <c r="AA101" s="21"/>
      <c r="AB101" s="21"/>
      <c r="AC101" t="s">
        <v>1304</v>
      </c>
      <c r="AD101" t="s">
        <v>871</v>
      </c>
      <c r="AE101" s="21">
        <v>2024</v>
      </c>
      <c r="AF101">
        <v>10</v>
      </c>
      <c r="AG101" t="s">
        <v>872</v>
      </c>
    </row>
    <row r="102" spans="1:33">
      <c r="A102">
        <v>12</v>
      </c>
      <c r="B102">
        <v>33</v>
      </c>
      <c r="C102" t="s">
        <v>74</v>
      </c>
      <c r="D102" t="s">
        <v>1240</v>
      </c>
      <c r="E102" t="s">
        <v>1241</v>
      </c>
      <c r="F102">
        <v>6777</v>
      </c>
      <c r="G102" s="154">
        <v>45568</v>
      </c>
      <c r="H102" s="2">
        <v>45361.885601851849</v>
      </c>
      <c r="J102" s="21">
        <v>0</v>
      </c>
      <c r="K102" s="21">
        <v>50000</v>
      </c>
      <c r="L102" s="21">
        <v>9500</v>
      </c>
      <c r="M102" s="21"/>
      <c r="N102" s="21"/>
      <c r="O102" s="21">
        <v>59500</v>
      </c>
      <c r="P102" s="21"/>
      <c r="Q102" s="21"/>
      <c r="R102" s="21"/>
      <c r="S102" s="21"/>
      <c r="T102" s="21">
        <v>0</v>
      </c>
      <c r="U102" s="21"/>
      <c r="V102" s="21"/>
      <c r="W102" s="21"/>
      <c r="X102" s="21">
        <v>0</v>
      </c>
      <c r="Y102" s="21"/>
      <c r="Z102" s="21"/>
      <c r="AA102" s="21"/>
      <c r="AB102" s="21"/>
      <c r="AC102" t="s">
        <v>1304</v>
      </c>
      <c r="AD102" t="s">
        <v>871</v>
      </c>
      <c r="AE102" s="21">
        <v>2024</v>
      </c>
      <c r="AF102">
        <v>10</v>
      </c>
      <c r="AG102" t="s">
        <v>872</v>
      </c>
    </row>
    <row r="103" spans="1:33">
      <c r="A103">
        <v>13</v>
      </c>
      <c r="B103">
        <v>33</v>
      </c>
      <c r="C103" t="s">
        <v>74</v>
      </c>
      <c r="D103" t="s">
        <v>917</v>
      </c>
      <c r="E103" t="s">
        <v>1221</v>
      </c>
      <c r="F103">
        <v>179222</v>
      </c>
      <c r="G103" s="154">
        <v>45568</v>
      </c>
      <c r="H103" s="2">
        <v>45392.573194444441</v>
      </c>
      <c r="J103" s="21">
        <v>0</v>
      </c>
      <c r="K103" s="21">
        <v>979967</v>
      </c>
      <c r="L103" s="21">
        <v>186194</v>
      </c>
      <c r="M103" s="21"/>
      <c r="N103" s="21"/>
      <c r="O103" s="21">
        <v>1166161</v>
      </c>
      <c r="P103" s="21"/>
      <c r="Q103" s="21"/>
      <c r="R103" s="21"/>
      <c r="S103" s="21"/>
      <c r="T103" s="21">
        <v>0</v>
      </c>
      <c r="U103" s="21"/>
      <c r="V103" s="21"/>
      <c r="W103" s="21"/>
      <c r="X103" s="21">
        <v>0</v>
      </c>
      <c r="Y103" s="21"/>
      <c r="Z103" s="21"/>
      <c r="AA103" s="21"/>
      <c r="AB103" s="21"/>
      <c r="AC103" t="s">
        <v>1304</v>
      </c>
      <c r="AD103" t="s">
        <v>871</v>
      </c>
      <c r="AE103" s="21">
        <v>2024</v>
      </c>
      <c r="AF103">
        <v>10</v>
      </c>
      <c r="AG103" t="s">
        <v>872</v>
      </c>
    </row>
    <row r="104" spans="1:33">
      <c r="A104">
        <v>14</v>
      </c>
      <c r="B104">
        <v>33</v>
      </c>
      <c r="C104" t="s">
        <v>74</v>
      </c>
      <c r="D104" t="s">
        <v>1227</v>
      </c>
      <c r="E104" t="s">
        <v>1228</v>
      </c>
      <c r="F104">
        <v>896</v>
      </c>
      <c r="G104" s="154">
        <v>45572</v>
      </c>
      <c r="H104" s="2">
        <v>45483.53496527778</v>
      </c>
      <c r="J104" s="21">
        <v>0</v>
      </c>
      <c r="K104" s="21">
        <v>970000</v>
      </c>
      <c r="L104" s="21">
        <v>184300</v>
      </c>
      <c r="M104" s="21"/>
      <c r="N104" s="21"/>
      <c r="O104" s="21">
        <v>1154300</v>
      </c>
      <c r="P104" s="21"/>
      <c r="Q104" s="21"/>
      <c r="R104" s="21"/>
      <c r="S104" s="21"/>
      <c r="T104" s="21">
        <v>0</v>
      </c>
      <c r="U104" s="21"/>
      <c r="V104" s="21"/>
      <c r="W104" s="21"/>
      <c r="X104" s="21">
        <v>0</v>
      </c>
      <c r="Y104" s="21"/>
      <c r="Z104" s="21"/>
      <c r="AA104" s="21"/>
      <c r="AB104" s="21"/>
      <c r="AC104" t="s">
        <v>1304</v>
      </c>
      <c r="AD104" t="s">
        <v>871</v>
      </c>
      <c r="AE104" s="21">
        <v>2024</v>
      </c>
      <c r="AF104">
        <v>10</v>
      </c>
      <c r="AG104" t="s">
        <v>872</v>
      </c>
    </row>
    <row r="105" spans="1:33">
      <c r="A105">
        <v>15</v>
      </c>
      <c r="B105">
        <v>33</v>
      </c>
      <c r="C105" t="s">
        <v>74</v>
      </c>
      <c r="D105" t="s">
        <v>1222</v>
      </c>
      <c r="E105" t="s">
        <v>1223</v>
      </c>
      <c r="F105">
        <v>3245480</v>
      </c>
      <c r="G105" s="154">
        <v>45575</v>
      </c>
      <c r="H105" s="2">
        <v>45575.678136574075</v>
      </c>
      <c r="J105" s="21">
        <v>0</v>
      </c>
      <c r="K105" s="21">
        <v>7431645</v>
      </c>
      <c r="L105" s="21">
        <v>1412013</v>
      </c>
      <c r="M105" s="21"/>
      <c r="N105" s="21"/>
      <c r="O105" s="21">
        <v>8843658</v>
      </c>
      <c r="P105" s="21"/>
      <c r="Q105" s="21"/>
      <c r="R105" s="21"/>
      <c r="S105" s="21"/>
      <c r="T105" s="21">
        <v>0</v>
      </c>
      <c r="U105" s="21"/>
      <c r="V105" s="21"/>
      <c r="W105" s="21"/>
      <c r="X105" s="21">
        <v>0</v>
      </c>
      <c r="Y105" s="21"/>
      <c r="Z105" s="21"/>
      <c r="AA105" s="21"/>
      <c r="AB105" s="21"/>
      <c r="AC105" t="s">
        <v>1304</v>
      </c>
      <c r="AD105" t="s">
        <v>871</v>
      </c>
      <c r="AE105" s="21">
        <v>2024</v>
      </c>
      <c r="AF105">
        <v>10</v>
      </c>
      <c r="AG105" t="s">
        <v>872</v>
      </c>
    </row>
    <row r="106" spans="1:33">
      <c r="A106">
        <v>16</v>
      </c>
      <c r="B106">
        <v>33</v>
      </c>
      <c r="C106" t="s">
        <v>74</v>
      </c>
      <c r="D106" t="s">
        <v>1222</v>
      </c>
      <c r="E106" t="s">
        <v>1223</v>
      </c>
      <c r="F106">
        <v>3247392</v>
      </c>
      <c r="G106" s="154">
        <v>45576</v>
      </c>
      <c r="H106" s="2">
        <v>45606.55190972222</v>
      </c>
      <c r="J106" s="21">
        <v>0</v>
      </c>
      <c r="K106" s="21">
        <v>1142358</v>
      </c>
      <c r="L106" s="21">
        <v>217048</v>
      </c>
      <c r="M106" s="21"/>
      <c r="N106" s="21"/>
      <c r="O106" s="21">
        <v>1359406</v>
      </c>
      <c r="P106" s="21"/>
      <c r="Q106" s="21"/>
      <c r="R106" s="21"/>
      <c r="S106" s="21"/>
      <c r="T106" s="21">
        <v>0</v>
      </c>
      <c r="U106" s="21"/>
      <c r="V106" s="21"/>
      <c r="W106" s="21"/>
      <c r="X106" s="21">
        <v>0</v>
      </c>
      <c r="Y106" s="21"/>
      <c r="Z106" s="21"/>
      <c r="AA106" s="21"/>
      <c r="AB106" s="21"/>
      <c r="AC106" t="s">
        <v>1304</v>
      </c>
      <c r="AD106" t="s">
        <v>871</v>
      </c>
      <c r="AE106" s="21">
        <v>2024</v>
      </c>
      <c r="AF106">
        <v>10</v>
      </c>
      <c r="AG106" t="s">
        <v>872</v>
      </c>
    </row>
    <row r="107" spans="1:33">
      <c r="A107">
        <v>17</v>
      </c>
      <c r="B107">
        <v>33</v>
      </c>
      <c r="C107" t="s">
        <v>74</v>
      </c>
      <c r="D107" t="s">
        <v>1222</v>
      </c>
      <c r="E107" t="s">
        <v>1223</v>
      </c>
      <c r="F107">
        <v>3247391</v>
      </c>
      <c r="G107" s="154">
        <v>45576</v>
      </c>
      <c r="H107" s="2">
        <v>45606.551874999997</v>
      </c>
      <c r="J107" s="21">
        <v>0</v>
      </c>
      <c r="K107" s="21">
        <v>18500062</v>
      </c>
      <c r="L107" s="21">
        <v>3515012</v>
      </c>
      <c r="M107" s="21"/>
      <c r="N107" s="21"/>
      <c r="O107" s="21">
        <v>22015074</v>
      </c>
      <c r="P107" s="21"/>
      <c r="Q107" s="21"/>
      <c r="R107" s="21"/>
      <c r="S107" s="21"/>
      <c r="T107" s="21">
        <v>0</v>
      </c>
      <c r="U107" s="21"/>
      <c r="V107" s="21"/>
      <c r="W107" s="21"/>
      <c r="X107" s="21">
        <v>0</v>
      </c>
      <c r="Y107" s="21"/>
      <c r="Z107" s="21"/>
      <c r="AA107" s="21"/>
      <c r="AB107" s="21"/>
      <c r="AC107" t="s">
        <v>1304</v>
      </c>
      <c r="AD107" t="s">
        <v>871</v>
      </c>
      <c r="AE107" s="21">
        <v>2024</v>
      </c>
      <c r="AF107">
        <v>10</v>
      </c>
      <c r="AG107" t="s">
        <v>872</v>
      </c>
    </row>
    <row r="108" spans="1:33">
      <c r="A108">
        <v>18</v>
      </c>
      <c r="B108">
        <v>33</v>
      </c>
      <c r="C108" t="s">
        <v>74</v>
      </c>
      <c r="D108" t="s">
        <v>1246</v>
      </c>
      <c r="E108" t="s">
        <v>1247</v>
      </c>
      <c r="F108">
        <v>69417</v>
      </c>
      <c r="G108" s="154">
        <v>45576</v>
      </c>
      <c r="H108" s="2">
        <v>45606.578148148146</v>
      </c>
      <c r="J108" s="21">
        <v>0</v>
      </c>
      <c r="K108" s="21">
        <v>145799</v>
      </c>
      <c r="L108" s="21">
        <v>27702</v>
      </c>
      <c r="M108" s="21"/>
      <c r="N108" s="21"/>
      <c r="O108" s="21">
        <v>173501</v>
      </c>
      <c r="P108" s="21"/>
      <c r="Q108" s="21"/>
      <c r="R108" s="21"/>
      <c r="S108" s="21"/>
      <c r="T108" s="21">
        <v>0</v>
      </c>
      <c r="U108" s="21"/>
      <c r="V108" s="21"/>
      <c r="W108" s="21"/>
      <c r="X108" s="21">
        <v>0</v>
      </c>
      <c r="Y108" s="21"/>
      <c r="Z108" s="21"/>
      <c r="AA108" s="21"/>
      <c r="AB108" s="21"/>
      <c r="AC108" t="s">
        <v>1304</v>
      </c>
      <c r="AD108" t="s">
        <v>871</v>
      </c>
      <c r="AE108" s="21">
        <v>2024</v>
      </c>
      <c r="AF108">
        <v>10</v>
      </c>
      <c r="AG108" t="s">
        <v>872</v>
      </c>
    </row>
    <row r="109" spans="1:33">
      <c r="A109">
        <v>19</v>
      </c>
      <c r="B109">
        <v>33</v>
      </c>
      <c r="C109" t="s">
        <v>74</v>
      </c>
      <c r="D109" t="s">
        <v>1246</v>
      </c>
      <c r="E109" t="s">
        <v>1247</v>
      </c>
      <c r="F109">
        <v>69418</v>
      </c>
      <c r="G109" s="154" t="s">
        <v>808</v>
      </c>
      <c r="H109" t="s">
        <v>1290</v>
      </c>
      <c r="J109" s="21">
        <v>0</v>
      </c>
      <c r="K109" s="21">
        <v>145799</v>
      </c>
      <c r="L109" s="21">
        <v>27702</v>
      </c>
      <c r="M109" s="21"/>
      <c r="N109" s="21"/>
      <c r="O109" s="21">
        <v>173501</v>
      </c>
      <c r="P109" s="21"/>
      <c r="Q109" s="21"/>
      <c r="R109" s="21"/>
      <c r="S109" s="21"/>
      <c r="T109" s="21">
        <v>0</v>
      </c>
      <c r="U109" s="21"/>
      <c r="V109" s="21"/>
      <c r="W109" s="21"/>
      <c r="X109" s="21">
        <v>0</v>
      </c>
      <c r="Y109" s="21"/>
      <c r="Z109" s="21"/>
      <c r="AA109" s="21"/>
      <c r="AB109" s="21"/>
      <c r="AC109" t="s">
        <v>1304</v>
      </c>
      <c r="AD109" t="s">
        <v>871</v>
      </c>
      <c r="AE109" s="21">
        <v>2024</v>
      </c>
      <c r="AF109">
        <v>10</v>
      </c>
      <c r="AG109" t="s">
        <v>872</v>
      </c>
    </row>
    <row r="110" spans="1:33">
      <c r="A110">
        <v>20</v>
      </c>
      <c r="B110">
        <v>33</v>
      </c>
      <c r="C110" t="s">
        <v>74</v>
      </c>
      <c r="D110" t="s">
        <v>1236</v>
      </c>
      <c r="E110" t="s">
        <v>1237</v>
      </c>
      <c r="F110">
        <v>129991</v>
      </c>
      <c r="G110" s="154" t="s">
        <v>809</v>
      </c>
      <c r="H110" s="2" t="s">
        <v>1291</v>
      </c>
      <c r="I110" t="s">
        <v>1292</v>
      </c>
      <c r="J110" s="21">
        <v>0</v>
      </c>
      <c r="K110" s="21">
        <v>113743</v>
      </c>
      <c r="L110" s="21">
        <v>21611</v>
      </c>
      <c r="M110" s="21"/>
      <c r="N110" s="21"/>
      <c r="O110" s="21">
        <v>135354</v>
      </c>
      <c r="P110" s="21"/>
      <c r="Q110" s="21"/>
      <c r="R110" s="21"/>
      <c r="S110" s="21"/>
      <c r="T110" s="21">
        <v>0</v>
      </c>
      <c r="U110" s="21"/>
      <c r="V110" s="21"/>
      <c r="W110" s="21"/>
      <c r="X110" s="21">
        <v>0</v>
      </c>
      <c r="Y110" s="21"/>
      <c r="Z110" s="21"/>
      <c r="AA110" s="21"/>
      <c r="AB110" s="21"/>
      <c r="AC110" t="s">
        <v>1304</v>
      </c>
      <c r="AD110" t="s">
        <v>871</v>
      </c>
      <c r="AE110" s="21">
        <v>2024</v>
      </c>
      <c r="AF110">
        <v>10</v>
      </c>
      <c r="AG110" t="s">
        <v>872</v>
      </c>
    </row>
    <row r="111" spans="1:33">
      <c r="A111">
        <v>21</v>
      </c>
      <c r="B111">
        <v>33</v>
      </c>
      <c r="C111" t="s">
        <v>74</v>
      </c>
      <c r="D111" t="s">
        <v>1246</v>
      </c>
      <c r="E111" t="s">
        <v>1247</v>
      </c>
      <c r="F111">
        <v>69431</v>
      </c>
      <c r="G111" s="153" t="s">
        <v>811</v>
      </c>
      <c r="H111" s="2" t="s">
        <v>1293</v>
      </c>
      <c r="J111" s="21">
        <v>0</v>
      </c>
      <c r="K111" s="21">
        <v>108766</v>
      </c>
      <c r="L111" s="21">
        <v>20666</v>
      </c>
      <c r="M111" s="21"/>
      <c r="N111" s="21"/>
      <c r="O111" s="21">
        <v>129432</v>
      </c>
      <c r="P111" s="21"/>
      <c r="Q111" s="21"/>
      <c r="R111" s="21"/>
      <c r="S111" s="21"/>
      <c r="T111" s="21">
        <v>0</v>
      </c>
      <c r="U111" s="21"/>
      <c r="V111" s="21"/>
      <c r="W111" s="21"/>
      <c r="X111" s="21">
        <v>0</v>
      </c>
      <c r="Y111" s="21"/>
      <c r="Z111" s="21"/>
      <c r="AA111" s="21"/>
      <c r="AB111" s="21"/>
      <c r="AC111" t="s">
        <v>1304</v>
      </c>
      <c r="AD111" t="s">
        <v>871</v>
      </c>
      <c r="AE111" s="21">
        <v>2024</v>
      </c>
      <c r="AF111">
        <v>10</v>
      </c>
      <c r="AG111" t="s">
        <v>872</v>
      </c>
    </row>
    <row r="112" spans="1:33">
      <c r="A112">
        <v>22</v>
      </c>
      <c r="B112">
        <v>33</v>
      </c>
      <c r="C112" t="s">
        <v>74</v>
      </c>
      <c r="D112" t="s">
        <v>873</v>
      </c>
      <c r="E112" t="s">
        <v>874</v>
      </c>
      <c r="F112">
        <v>49361032</v>
      </c>
      <c r="G112" s="154" t="s">
        <v>818</v>
      </c>
      <c r="H112" s="2" t="s">
        <v>1294</v>
      </c>
      <c r="J112" s="21">
        <v>0</v>
      </c>
      <c r="K112" s="21">
        <v>29182</v>
      </c>
      <c r="L112" s="21">
        <v>5544</v>
      </c>
      <c r="M112" s="21"/>
      <c r="N112" s="21"/>
      <c r="O112" s="21">
        <v>34726</v>
      </c>
      <c r="P112" s="21"/>
      <c r="Q112" s="21"/>
      <c r="R112" s="21"/>
      <c r="S112" s="21"/>
      <c r="T112" s="21">
        <v>0</v>
      </c>
      <c r="U112" s="21"/>
      <c r="V112" s="21"/>
      <c r="W112" s="21"/>
      <c r="X112" s="21">
        <v>0</v>
      </c>
      <c r="Y112" s="21"/>
      <c r="Z112" s="21"/>
      <c r="AA112" s="21"/>
      <c r="AB112" s="21"/>
      <c r="AC112" t="s">
        <v>1304</v>
      </c>
      <c r="AD112" t="s">
        <v>871</v>
      </c>
      <c r="AE112" s="21">
        <v>2024</v>
      </c>
      <c r="AF112">
        <v>10</v>
      </c>
      <c r="AG112" t="s">
        <v>872</v>
      </c>
    </row>
    <row r="113" spans="1:33">
      <c r="A113">
        <v>23</v>
      </c>
      <c r="B113">
        <v>33</v>
      </c>
      <c r="C113" t="s">
        <v>74</v>
      </c>
      <c r="D113" t="s">
        <v>1246</v>
      </c>
      <c r="E113" t="s">
        <v>1247</v>
      </c>
      <c r="F113">
        <v>69835</v>
      </c>
      <c r="G113" s="153" t="s">
        <v>821</v>
      </c>
      <c r="H113" s="2" t="s">
        <v>1295</v>
      </c>
      <c r="J113" s="21">
        <v>0</v>
      </c>
      <c r="K113" s="21">
        <v>144597</v>
      </c>
      <c r="L113" s="21">
        <v>27473</v>
      </c>
      <c r="M113" s="21"/>
      <c r="N113" s="21"/>
      <c r="O113" s="21">
        <v>172070</v>
      </c>
      <c r="P113" s="21"/>
      <c r="Q113" s="21"/>
      <c r="R113" s="21"/>
      <c r="S113" s="21"/>
      <c r="T113" s="21">
        <v>0</v>
      </c>
      <c r="U113" s="21"/>
      <c r="V113" s="21"/>
      <c r="W113" s="21"/>
      <c r="X113" s="21">
        <v>0</v>
      </c>
      <c r="Y113" s="21"/>
      <c r="Z113" s="21"/>
      <c r="AA113" s="21"/>
      <c r="AB113" s="21"/>
      <c r="AC113" t="s">
        <v>1304</v>
      </c>
      <c r="AD113" t="s">
        <v>871</v>
      </c>
      <c r="AE113" s="21">
        <v>2024</v>
      </c>
      <c r="AF113">
        <v>10</v>
      </c>
      <c r="AG113" t="s">
        <v>872</v>
      </c>
    </row>
    <row r="114" spans="1:33">
      <c r="A114">
        <v>24</v>
      </c>
      <c r="B114">
        <v>33</v>
      </c>
      <c r="C114" t="s">
        <v>74</v>
      </c>
      <c r="D114" t="s">
        <v>1246</v>
      </c>
      <c r="E114" t="s">
        <v>1247</v>
      </c>
      <c r="F114">
        <v>69836</v>
      </c>
      <c r="G114" s="153" t="s">
        <v>821</v>
      </c>
      <c r="H114" s="2" t="s">
        <v>1295</v>
      </c>
      <c r="J114" s="21">
        <v>0</v>
      </c>
      <c r="K114" s="21">
        <v>144597</v>
      </c>
      <c r="L114" s="21">
        <v>27473</v>
      </c>
      <c r="M114" s="21"/>
      <c r="N114" s="21"/>
      <c r="O114" s="21">
        <v>172070</v>
      </c>
      <c r="P114" s="21"/>
      <c r="Q114" s="21"/>
      <c r="R114" s="21"/>
      <c r="S114" s="21"/>
      <c r="T114" s="21">
        <v>0</v>
      </c>
      <c r="U114" s="21"/>
      <c r="V114" s="21"/>
      <c r="W114" s="21"/>
      <c r="X114" s="21">
        <v>0</v>
      </c>
      <c r="Y114" s="21"/>
      <c r="Z114" s="21"/>
      <c r="AA114" s="21"/>
      <c r="AB114" s="21"/>
      <c r="AC114" t="s">
        <v>1304</v>
      </c>
      <c r="AD114" t="s">
        <v>871</v>
      </c>
      <c r="AE114" s="21">
        <v>2024</v>
      </c>
      <c r="AF114">
        <v>10</v>
      </c>
      <c r="AG114" t="s">
        <v>872</v>
      </c>
    </row>
    <row r="115" spans="1:33">
      <c r="A115">
        <v>25</v>
      </c>
      <c r="B115">
        <v>33</v>
      </c>
      <c r="C115" t="s">
        <v>74</v>
      </c>
      <c r="D115" t="s">
        <v>1246</v>
      </c>
      <c r="E115" t="s">
        <v>1247</v>
      </c>
      <c r="F115">
        <v>69885</v>
      </c>
      <c r="G115" s="154" t="s">
        <v>821</v>
      </c>
      <c r="H115" s="2" t="s">
        <v>1296</v>
      </c>
      <c r="J115" s="21">
        <v>0</v>
      </c>
      <c r="K115" s="21">
        <v>144597</v>
      </c>
      <c r="L115" s="21">
        <v>27473</v>
      </c>
      <c r="M115" s="21"/>
      <c r="N115" s="21"/>
      <c r="O115" s="21">
        <v>172070</v>
      </c>
      <c r="P115" s="21"/>
      <c r="Q115" s="21"/>
      <c r="R115" s="21"/>
      <c r="S115" s="21"/>
      <c r="T115" s="21">
        <v>0</v>
      </c>
      <c r="U115" s="21"/>
      <c r="V115" s="21"/>
      <c r="W115" s="21"/>
      <c r="X115" s="21">
        <v>0</v>
      </c>
      <c r="Y115" s="21"/>
      <c r="Z115" s="21"/>
      <c r="AA115" s="21"/>
      <c r="AB115" s="21"/>
      <c r="AC115" t="s">
        <v>1304</v>
      </c>
      <c r="AD115" t="s">
        <v>871</v>
      </c>
      <c r="AE115" s="21">
        <v>2024</v>
      </c>
      <c r="AF115">
        <v>10</v>
      </c>
      <c r="AG115" t="s">
        <v>872</v>
      </c>
    </row>
    <row r="116" spans="1:33">
      <c r="A116">
        <v>26</v>
      </c>
      <c r="B116">
        <v>33</v>
      </c>
      <c r="C116" t="s">
        <v>74</v>
      </c>
      <c r="D116" t="s">
        <v>1246</v>
      </c>
      <c r="E116" t="s">
        <v>1247</v>
      </c>
      <c r="F116">
        <v>69886</v>
      </c>
      <c r="G116" s="154" t="s">
        <v>821</v>
      </c>
      <c r="H116" s="2" t="s">
        <v>1296</v>
      </c>
      <c r="J116" s="21">
        <v>0</v>
      </c>
      <c r="K116" s="21">
        <v>166448</v>
      </c>
      <c r="L116" s="21">
        <v>31625</v>
      </c>
      <c r="M116" s="21"/>
      <c r="N116" s="21"/>
      <c r="O116" s="21">
        <v>198073</v>
      </c>
      <c r="P116" s="21"/>
      <c r="Q116" s="21"/>
      <c r="R116" s="21"/>
      <c r="S116" s="21"/>
      <c r="T116" s="21">
        <v>0</v>
      </c>
      <c r="U116" s="21"/>
      <c r="V116" s="21"/>
      <c r="W116" s="21"/>
      <c r="X116" s="21">
        <v>0</v>
      </c>
      <c r="Y116" s="21"/>
      <c r="Z116" s="21"/>
      <c r="AA116" s="21"/>
      <c r="AB116" s="21"/>
      <c r="AC116" t="s">
        <v>1304</v>
      </c>
      <c r="AD116" t="s">
        <v>871</v>
      </c>
      <c r="AE116" s="21">
        <v>2024</v>
      </c>
      <c r="AF116">
        <v>10</v>
      </c>
      <c r="AG116" t="s">
        <v>872</v>
      </c>
    </row>
    <row r="117" spans="1:33">
      <c r="A117">
        <v>27</v>
      </c>
      <c r="B117">
        <v>33</v>
      </c>
      <c r="C117" t="s">
        <v>74</v>
      </c>
      <c r="D117" t="s">
        <v>1219</v>
      </c>
      <c r="E117" t="s">
        <v>1220</v>
      </c>
      <c r="F117">
        <v>518791</v>
      </c>
      <c r="G117" s="154" t="s">
        <v>885</v>
      </c>
      <c r="H117" s="2" t="s">
        <v>1297</v>
      </c>
      <c r="J117" s="21">
        <v>0</v>
      </c>
      <c r="K117" s="21">
        <v>286493</v>
      </c>
      <c r="L117" s="21">
        <v>54434</v>
      </c>
      <c r="M117" s="21"/>
      <c r="N117" s="21"/>
      <c r="O117" s="21">
        <v>340927</v>
      </c>
      <c r="P117" s="21"/>
      <c r="Q117" s="21"/>
      <c r="R117" s="21"/>
      <c r="S117" s="21"/>
      <c r="T117" s="21">
        <v>0</v>
      </c>
      <c r="U117" s="21"/>
      <c r="V117" s="21"/>
      <c r="W117" s="21"/>
      <c r="X117" s="21">
        <v>0</v>
      </c>
      <c r="Y117" s="21"/>
      <c r="Z117" s="21"/>
      <c r="AA117" s="21"/>
      <c r="AB117" s="21"/>
      <c r="AC117" t="s">
        <v>1304</v>
      </c>
      <c r="AD117" t="s">
        <v>871</v>
      </c>
      <c r="AE117" s="21">
        <v>2024</v>
      </c>
      <c r="AF117">
        <v>10</v>
      </c>
      <c r="AG117" t="s">
        <v>872</v>
      </c>
    </row>
    <row r="118" spans="1:33">
      <c r="A118">
        <v>28</v>
      </c>
      <c r="B118">
        <v>33</v>
      </c>
      <c r="C118" t="s">
        <v>74</v>
      </c>
      <c r="D118" t="s">
        <v>1219</v>
      </c>
      <c r="E118" t="s">
        <v>1220</v>
      </c>
      <c r="F118">
        <v>518789</v>
      </c>
      <c r="G118" s="153" t="s">
        <v>885</v>
      </c>
      <c r="H118" t="s">
        <v>1298</v>
      </c>
      <c r="J118" s="21">
        <v>0</v>
      </c>
      <c r="K118" s="21">
        <v>286493</v>
      </c>
      <c r="L118" s="21">
        <v>54434</v>
      </c>
      <c r="M118" s="21"/>
      <c r="N118" s="21"/>
      <c r="O118" s="21">
        <v>340927</v>
      </c>
      <c r="P118" s="21"/>
      <c r="Q118" s="21"/>
      <c r="R118" s="21"/>
      <c r="S118" s="21"/>
      <c r="T118" s="21">
        <v>0</v>
      </c>
      <c r="U118" s="21"/>
      <c r="V118" s="21"/>
      <c r="W118" s="21"/>
      <c r="X118" s="21">
        <v>0</v>
      </c>
      <c r="Y118" s="21"/>
      <c r="Z118" s="21"/>
      <c r="AA118" s="21"/>
      <c r="AB118" s="21"/>
      <c r="AC118" t="s">
        <v>1304</v>
      </c>
      <c r="AD118" t="s">
        <v>871</v>
      </c>
      <c r="AE118" s="21">
        <v>2024</v>
      </c>
      <c r="AF118">
        <v>10</v>
      </c>
      <c r="AG118" t="s">
        <v>872</v>
      </c>
    </row>
    <row r="119" spans="1:33">
      <c r="A119">
        <v>29</v>
      </c>
      <c r="B119">
        <v>33</v>
      </c>
      <c r="C119" t="s">
        <v>74</v>
      </c>
      <c r="D119" t="s">
        <v>1219</v>
      </c>
      <c r="E119" t="s">
        <v>1220</v>
      </c>
      <c r="F119">
        <v>518793</v>
      </c>
      <c r="G119" s="153" t="s">
        <v>885</v>
      </c>
      <c r="H119" t="s">
        <v>1299</v>
      </c>
      <c r="J119" s="21">
        <v>0</v>
      </c>
      <c r="K119" s="21">
        <v>286493</v>
      </c>
      <c r="L119" s="21">
        <v>54434</v>
      </c>
      <c r="M119" s="21"/>
      <c r="N119" s="21"/>
      <c r="O119" s="21">
        <v>340927</v>
      </c>
      <c r="P119" s="21"/>
      <c r="Q119" s="21"/>
      <c r="R119" s="21"/>
      <c r="S119" s="21"/>
      <c r="T119" s="21">
        <v>0</v>
      </c>
      <c r="U119" s="21"/>
      <c r="V119" s="21"/>
      <c r="W119" s="21"/>
      <c r="X119" s="21">
        <v>0</v>
      </c>
      <c r="Y119" s="21"/>
      <c r="Z119" s="21"/>
      <c r="AA119" s="21"/>
      <c r="AB119" s="21"/>
      <c r="AC119" t="s">
        <v>1304</v>
      </c>
      <c r="AD119" t="s">
        <v>871</v>
      </c>
      <c r="AE119" s="21">
        <v>2024</v>
      </c>
      <c r="AF119">
        <v>10</v>
      </c>
      <c r="AG119" t="s">
        <v>872</v>
      </c>
    </row>
    <row r="120" spans="1:33">
      <c r="A120">
        <v>30</v>
      </c>
      <c r="B120">
        <v>34</v>
      </c>
      <c r="C120" t="s">
        <v>74</v>
      </c>
      <c r="D120" t="s">
        <v>107</v>
      </c>
      <c r="E120" t="s">
        <v>108</v>
      </c>
      <c r="F120">
        <v>2372</v>
      </c>
      <c r="G120" s="154">
        <v>45566</v>
      </c>
      <c r="H120" s="2">
        <v>45301.626782407409</v>
      </c>
      <c r="J120" s="21">
        <v>2464423</v>
      </c>
      <c r="K120" s="21">
        <v>0</v>
      </c>
      <c r="L120" s="21">
        <v>0</v>
      </c>
      <c r="M120" s="21"/>
      <c r="N120" s="21"/>
      <c r="O120" s="21">
        <v>2464423</v>
      </c>
      <c r="P120" s="21"/>
      <c r="Q120" s="21"/>
      <c r="R120" s="21"/>
      <c r="S120" s="21"/>
      <c r="T120" s="21">
        <v>0</v>
      </c>
      <c r="U120" s="21"/>
      <c r="V120" s="21"/>
      <c r="W120" s="21"/>
      <c r="X120" s="21">
        <v>0</v>
      </c>
      <c r="Y120" s="21"/>
      <c r="Z120" s="21"/>
      <c r="AA120" s="21"/>
      <c r="AB120" s="21"/>
      <c r="AC120" t="s">
        <v>1304</v>
      </c>
      <c r="AD120" t="s">
        <v>871</v>
      </c>
      <c r="AE120" s="21">
        <v>2024</v>
      </c>
      <c r="AF120">
        <v>10</v>
      </c>
      <c r="AG120" t="s">
        <v>880</v>
      </c>
    </row>
    <row r="121" spans="1:33">
      <c r="A121">
        <v>31</v>
      </c>
      <c r="B121">
        <v>34</v>
      </c>
      <c r="C121" t="s">
        <v>74</v>
      </c>
      <c r="D121" t="s">
        <v>873</v>
      </c>
      <c r="E121" t="s">
        <v>874</v>
      </c>
      <c r="F121">
        <v>12833132</v>
      </c>
      <c r="G121" s="154" t="s">
        <v>814</v>
      </c>
      <c r="H121" s="2" t="s">
        <v>1300</v>
      </c>
      <c r="J121" s="21">
        <v>0</v>
      </c>
      <c r="K121" s="21">
        <v>0</v>
      </c>
      <c r="L121" s="21">
        <v>0</v>
      </c>
      <c r="M121" s="21"/>
      <c r="N121" s="21"/>
      <c r="O121" s="21">
        <v>0</v>
      </c>
      <c r="P121" s="21"/>
      <c r="Q121" s="21"/>
      <c r="R121" s="21"/>
      <c r="S121" s="21"/>
      <c r="T121" s="21">
        <v>0</v>
      </c>
      <c r="U121" s="21"/>
      <c r="V121" s="21"/>
      <c r="W121" s="21"/>
      <c r="X121" s="21">
        <v>0</v>
      </c>
      <c r="Y121" s="21"/>
      <c r="Z121" s="21"/>
      <c r="AA121" s="21"/>
      <c r="AB121" s="21"/>
      <c r="AC121" t="s">
        <v>1304</v>
      </c>
      <c r="AD121" t="s">
        <v>871</v>
      </c>
      <c r="AE121" s="21">
        <v>2024</v>
      </c>
      <c r="AF121">
        <v>10</v>
      </c>
      <c r="AG121" t="s">
        <v>880</v>
      </c>
    </row>
    <row r="122" spans="1:33">
      <c r="A122">
        <v>32</v>
      </c>
      <c r="B122">
        <v>34</v>
      </c>
      <c r="C122" t="s">
        <v>74</v>
      </c>
      <c r="D122" t="s">
        <v>873</v>
      </c>
      <c r="E122" t="s">
        <v>874</v>
      </c>
      <c r="F122">
        <v>12833121</v>
      </c>
      <c r="G122" s="154" t="s">
        <v>814</v>
      </c>
      <c r="H122" s="2" t="s">
        <v>1301</v>
      </c>
      <c r="J122" s="21">
        <v>0</v>
      </c>
      <c r="K122" s="21">
        <v>0</v>
      </c>
      <c r="L122" s="21">
        <v>0</v>
      </c>
      <c r="M122" s="21"/>
      <c r="N122" s="21"/>
      <c r="O122" s="21">
        <v>0</v>
      </c>
      <c r="P122" s="21"/>
      <c r="Q122" s="21"/>
      <c r="R122" s="21"/>
      <c r="S122" s="21"/>
      <c r="T122" s="21">
        <v>0</v>
      </c>
      <c r="U122" s="21"/>
      <c r="V122" s="21"/>
      <c r="W122" s="21"/>
      <c r="X122" s="21">
        <v>0</v>
      </c>
      <c r="Y122" s="21"/>
      <c r="Z122" s="21"/>
      <c r="AA122" s="21"/>
      <c r="AB122" s="21"/>
      <c r="AC122" t="s">
        <v>1304</v>
      </c>
      <c r="AD122" t="s">
        <v>871</v>
      </c>
      <c r="AE122" s="21">
        <v>2024</v>
      </c>
      <c r="AF122">
        <v>10</v>
      </c>
      <c r="AG122" t="s">
        <v>880</v>
      </c>
    </row>
    <row r="123" spans="1:33">
      <c r="A123">
        <v>33</v>
      </c>
      <c r="B123">
        <v>34</v>
      </c>
      <c r="C123" t="s">
        <v>74</v>
      </c>
      <c r="D123" t="s">
        <v>873</v>
      </c>
      <c r="E123" t="s">
        <v>874</v>
      </c>
      <c r="F123">
        <v>12838924</v>
      </c>
      <c r="G123" s="154" t="s">
        <v>816</v>
      </c>
      <c r="H123" s="2" t="s">
        <v>1302</v>
      </c>
      <c r="J123" s="21">
        <v>0</v>
      </c>
      <c r="K123" s="21">
        <v>0</v>
      </c>
      <c r="L123" s="21">
        <v>0</v>
      </c>
      <c r="M123" s="21"/>
      <c r="N123" s="21"/>
      <c r="O123" s="21">
        <v>0</v>
      </c>
      <c r="P123" s="21"/>
      <c r="Q123" s="21"/>
      <c r="R123" s="21"/>
      <c r="S123" s="21"/>
      <c r="T123" s="21">
        <v>0</v>
      </c>
      <c r="U123" s="21"/>
      <c r="V123" s="21"/>
      <c r="W123" s="21"/>
      <c r="X123" s="21">
        <v>0</v>
      </c>
      <c r="Y123" s="21"/>
      <c r="Z123" s="21"/>
      <c r="AA123" s="21"/>
      <c r="AB123" s="21"/>
      <c r="AC123" t="s">
        <v>1304</v>
      </c>
      <c r="AD123" t="s">
        <v>871</v>
      </c>
      <c r="AE123" s="21">
        <v>2024</v>
      </c>
      <c r="AF123">
        <v>10</v>
      </c>
      <c r="AG123" t="s">
        <v>880</v>
      </c>
    </row>
    <row r="124" spans="1:33">
      <c r="A124">
        <v>34</v>
      </c>
      <c r="B124">
        <v>34</v>
      </c>
      <c r="C124" t="s">
        <v>74</v>
      </c>
      <c r="D124" t="s">
        <v>873</v>
      </c>
      <c r="E124" t="s">
        <v>874</v>
      </c>
      <c r="F124">
        <v>12838923</v>
      </c>
      <c r="G124" s="154" t="s">
        <v>816</v>
      </c>
      <c r="H124" s="2" t="s">
        <v>1303</v>
      </c>
      <c r="J124" s="21">
        <v>0</v>
      </c>
      <c r="K124" s="21">
        <v>0</v>
      </c>
      <c r="L124" s="21">
        <v>0</v>
      </c>
      <c r="M124" s="21"/>
      <c r="N124" s="21"/>
      <c r="O124" s="21">
        <v>0</v>
      </c>
      <c r="P124" s="21"/>
      <c r="Q124" s="21"/>
      <c r="R124" s="21"/>
      <c r="S124" s="21"/>
      <c r="T124" s="21">
        <v>0</v>
      </c>
      <c r="U124" s="21"/>
      <c r="V124" s="21"/>
      <c r="W124" s="21"/>
      <c r="X124" s="21">
        <v>0</v>
      </c>
      <c r="Y124" s="21"/>
      <c r="Z124" s="21"/>
      <c r="AA124" s="21"/>
      <c r="AB124" s="21"/>
      <c r="AC124" t="s">
        <v>1304</v>
      </c>
      <c r="AD124" t="s">
        <v>871</v>
      </c>
      <c r="AE124" s="21">
        <v>2024</v>
      </c>
      <c r="AF124">
        <v>10</v>
      </c>
      <c r="AG124" t="s">
        <v>880</v>
      </c>
    </row>
    <row r="125" spans="1:33">
      <c r="A125">
        <v>35</v>
      </c>
      <c r="B125">
        <v>914</v>
      </c>
      <c r="C125" t="s">
        <v>74</v>
      </c>
      <c r="D125" t="s">
        <v>844</v>
      </c>
      <c r="E125" t="s">
        <v>845</v>
      </c>
      <c r="F125">
        <v>3670095341</v>
      </c>
      <c r="G125" s="154">
        <v>45569</v>
      </c>
      <c r="H125" s="2">
        <v>45362.755162037036</v>
      </c>
      <c r="J125" s="21">
        <v>0</v>
      </c>
      <c r="K125" s="21">
        <v>27338779</v>
      </c>
      <c r="L125" s="21">
        <v>5194368</v>
      </c>
      <c r="M125" s="21"/>
      <c r="N125" s="21"/>
      <c r="O125" s="21">
        <v>32533148</v>
      </c>
      <c r="P125" s="21"/>
      <c r="Q125" s="21"/>
      <c r="R125" s="21"/>
      <c r="S125" s="21"/>
      <c r="T125" s="21"/>
      <c r="U125" s="21"/>
      <c r="V125" s="21"/>
      <c r="W125" s="21"/>
      <c r="X125" s="21">
        <v>0</v>
      </c>
      <c r="Y125" s="21"/>
      <c r="Z125" s="21"/>
      <c r="AA125" s="21"/>
      <c r="AB125" s="21"/>
      <c r="AC125" t="s">
        <v>1304</v>
      </c>
      <c r="AD125" t="s">
        <v>871</v>
      </c>
      <c r="AE125" s="21">
        <v>2024</v>
      </c>
      <c r="AF125">
        <v>10</v>
      </c>
      <c r="AG125" t="s">
        <v>1142</v>
      </c>
    </row>
    <row r="126" spans="1:33">
      <c r="A126">
        <v>36</v>
      </c>
      <c r="B126">
        <v>914</v>
      </c>
      <c r="C126" t="s">
        <v>74</v>
      </c>
      <c r="D126" t="s">
        <v>844</v>
      </c>
      <c r="E126" t="s">
        <v>845</v>
      </c>
      <c r="F126">
        <v>3670095340</v>
      </c>
      <c r="G126" s="154">
        <v>45569</v>
      </c>
      <c r="H126" s="2">
        <v>45362.756180555552</v>
      </c>
      <c r="J126" s="21">
        <v>0</v>
      </c>
      <c r="K126" s="21">
        <v>17918295</v>
      </c>
      <c r="L126" s="21">
        <v>3404476</v>
      </c>
      <c r="M126" s="21"/>
      <c r="N126" s="21"/>
      <c r="O126" s="21">
        <v>21322772</v>
      </c>
      <c r="P126" s="21"/>
      <c r="Q126" s="21"/>
      <c r="R126" s="21"/>
      <c r="S126" s="21"/>
      <c r="T126" s="21"/>
      <c r="U126" s="21"/>
      <c r="V126" s="21"/>
      <c r="W126" s="21"/>
      <c r="X126" s="21">
        <v>0</v>
      </c>
      <c r="Y126" s="21"/>
      <c r="Z126" s="21"/>
      <c r="AA126" s="21"/>
      <c r="AB126" s="21"/>
      <c r="AC126" t="s">
        <v>1304</v>
      </c>
      <c r="AD126" t="s">
        <v>871</v>
      </c>
      <c r="AE126" s="21">
        <v>2024</v>
      </c>
      <c r="AF126">
        <v>10</v>
      </c>
      <c r="AG126" t="s">
        <v>1142</v>
      </c>
    </row>
    <row r="127" spans="1:33">
      <c r="A127">
        <v>37</v>
      </c>
      <c r="B127">
        <v>914</v>
      </c>
      <c r="C127" t="s">
        <v>74</v>
      </c>
      <c r="D127" t="s">
        <v>844</v>
      </c>
      <c r="E127" t="s">
        <v>845</v>
      </c>
      <c r="F127">
        <v>3670095419</v>
      </c>
      <c r="G127" s="154">
        <v>45568</v>
      </c>
      <c r="H127" s="2">
        <v>45362.757222222222</v>
      </c>
      <c r="J127" s="21">
        <v>0</v>
      </c>
      <c r="K127" s="21">
        <v>1172463</v>
      </c>
      <c r="L127" s="21">
        <v>222768</v>
      </c>
      <c r="M127" s="21"/>
      <c r="N127" s="21"/>
      <c r="O127" s="21">
        <v>1395232</v>
      </c>
      <c r="P127" s="21"/>
      <c r="Q127" s="21"/>
      <c r="R127" s="21"/>
      <c r="S127" s="21"/>
      <c r="T127" s="21"/>
      <c r="U127" s="21"/>
      <c r="V127" s="21"/>
      <c r="W127" s="21"/>
      <c r="X127" s="21">
        <v>0</v>
      </c>
      <c r="Y127" s="21"/>
      <c r="Z127" s="21"/>
      <c r="AA127" s="21"/>
      <c r="AB127" s="21"/>
      <c r="AC127" t="s">
        <v>1304</v>
      </c>
      <c r="AD127" t="s">
        <v>871</v>
      </c>
      <c r="AE127" s="21">
        <v>2024</v>
      </c>
      <c r="AF127">
        <v>10</v>
      </c>
      <c r="AG127" t="s">
        <v>1142</v>
      </c>
    </row>
    <row r="128" spans="1:33">
      <c r="A128">
        <v>38</v>
      </c>
      <c r="B128">
        <v>914</v>
      </c>
      <c r="C128" t="s">
        <v>74</v>
      </c>
      <c r="D128" t="s">
        <v>844</v>
      </c>
      <c r="E128" t="s">
        <v>845</v>
      </c>
      <c r="F128">
        <v>3670095491</v>
      </c>
      <c r="G128" s="154" t="s">
        <v>820</v>
      </c>
      <c r="H128" s="2">
        <v>45362.758449074077</v>
      </c>
      <c r="J128" s="21">
        <v>0</v>
      </c>
      <c r="K128" s="21">
        <v>18022421</v>
      </c>
      <c r="L128" s="21">
        <v>3424260</v>
      </c>
      <c r="M128" s="21"/>
      <c r="N128" s="21"/>
      <c r="O128" s="21">
        <v>21446682</v>
      </c>
      <c r="P128" s="21"/>
      <c r="Q128" s="21"/>
      <c r="R128" s="21"/>
      <c r="S128" s="21"/>
      <c r="T128" s="21"/>
      <c r="U128" s="21"/>
      <c r="V128" s="21"/>
      <c r="W128" s="21"/>
      <c r="X128" s="21">
        <v>0</v>
      </c>
      <c r="Y128" s="21"/>
      <c r="Z128" s="21"/>
      <c r="AA128" s="21"/>
      <c r="AB128" s="21"/>
      <c r="AC128" t="s">
        <v>1304</v>
      </c>
      <c r="AD128" t="s">
        <v>871</v>
      </c>
      <c r="AE128" s="21">
        <v>2024</v>
      </c>
      <c r="AF128">
        <v>10</v>
      </c>
      <c r="AG128" t="s">
        <v>1142</v>
      </c>
    </row>
    <row r="129" spans="1:33">
      <c r="A129">
        <v>39</v>
      </c>
      <c r="B129">
        <v>914</v>
      </c>
      <c r="C129" t="s">
        <v>74</v>
      </c>
      <c r="D129" t="s">
        <v>844</v>
      </c>
      <c r="E129" t="s">
        <v>845</v>
      </c>
      <c r="F129">
        <v>3670095891</v>
      </c>
      <c r="G129" s="153" t="s">
        <v>820</v>
      </c>
      <c r="H129" s="2">
        <v>45362.759328703702</v>
      </c>
      <c r="J129" s="21">
        <v>0</v>
      </c>
      <c r="K129" s="21">
        <v>44156300</v>
      </c>
      <c r="L129" s="21">
        <v>8389697</v>
      </c>
      <c r="M129" s="21"/>
      <c r="N129" s="21"/>
      <c r="O129" s="21">
        <v>52545998</v>
      </c>
      <c r="P129" s="21"/>
      <c r="Q129" s="21"/>
      <c r="R129" s="21"/>
      <c r="S129" s="21"/>
      <c r="T129" s="21"/>
      <c r="U129" s="21"/>
      <c r="V129" s="21"/>
      <c r="W129" s="21"/>
      <c r="X129" s="21">
        <v>0</v>
      </c>
      <c r="Y129" s="21"/>
      <c r="Z129" s="21"/>
      <c r="AA129" s="21"/>
      <c r="AB129" s="21"/>
      <c r="AC129" t="s">
        <v>1304</v>
      </c>
      <c r="AD129" t="s">
        <v>871</v>
      </c>
      <c r="AE129" s="21">
        <v>2024</v>
      </c>
      <c r="AF129">
        <v>10</v>
      </c>
      <c r="AG129" t="s">
        <v>1142</v>
      </c>
    </row>
    <row r="130" spans="1:33">
      <c r="A130">
        <v>40</v>
      </c>
      <c r="B130">
        <v>914</v>
      </c>
      <c r="C130" t="s">
        <v>74</v>
      </c>
      <c r="D130" t="s">
        <v>844</v>
      </c>
      <c r="E130" t="s">
        <v>845</v>
      </c>
      <c r="F130">
        <v>3670095892</v>
      </c>
      <c r="G130" s="153" t="s">
        <v>821</v>
      </c>
      <c r="H130" s="2">
        <v>45362.761678240742</v>
      </c>
      <c r="J130" s="21">
        <v>0</v>
      </c>
      <c r="K130" s="21">
        <v>60475668</v>
      </c>
      <c r="L130" s="21">
        <v>11490377</v>
      </c>
      <c r="M130" s="21"/>
      <c r="N130" s="21"/>
      <c r="O130" s="21">
        <v>71966045</v>
      </c>
      <c r="P130" s="21"/>
      <c r="Q130" s="21"/>
      <c r="R130" s="21"/>
      <c r="S130" s="21"/>
      <c r="T130" s="21"/>
      <c r="U130" s="21"/>
      <c r="V130" s="21"/>
      <c r="W130" s="21"/>
      <c r="X130" s="21">
        <v>0</v>
      </c>
      <c r="Y130" s="21"/>
      <c r="Z130" s="21"/>
      <c r="AA130" s="21"/>
      <c r="AB130" s="21"/>
      <c r="AC130" t="s">
        <v>1304</v>
      </c>
      <c r="AD130" t="s">
        <v>871</v>
      </c>
      <c r="AE130" s="21">
        <v>2024</v>
      </c>
      <c r="AF130">
        <v>10</v>
      </c>
      <c r="AG130" t="s">
        <v>1142</v>
      </c>
    </row>
    <row r="131" spans="1:33">
      <c r="A131">
        <v>41</v>
      </c>
      <c r="B131">
        <v>914</v>
      </c>
      <c r="C131" t="s">
        <v>74</v>
      </c>
      <c r="D131" t="s">
        <v>844</v>
      </c>
      <c r="E131" t="s">
        <v>845</v>
      </c>
      <c r="F131">
        <v>3670095890</v>
      </c>
      <c r="G131" s="154" t="s">
        <v>821</v>
      </c>
      <c r="H131" s="2">
        <v>45362.763275462959</v>
      </c>
      <c r="J131" s="21">
        <v>0</v>
      </c>
      <c r="K131" s="21">
        <v>36044842</v>
      </c>
      <c r="L131" s="21">
        <v>6848520</v>
      </c>
      <c r="M131" s="21"/>
      <c r="N131" s="21"/>
      <c r="O131" s="21">
        <v>42893362</v>
      </c>
      <c r="P131" s="21"/>
      <c r="Q131" s="21"/>
      <c r="R131" s="21"/>
      <c r="S131" s="21"/>
      <c r="T131" s="21"/>
      <c r="U131" s="21"/>
      <c r="V131" s="21"/>
      <c r="W131" s="21"/>
      <c r="X131" s="21">
        <v>0</v>
      </c>
      <c r="Y131" s="21"/>
      <c r="Z131" s="21"/>
      <c r="AA131" s="21"/>
      <c r="AB131" s="21"/>
      <c r="AC131" t="s">
        <v>1304</v>
      </c>
      <c r="AD131" t="s">
        <v>871</v>
      </c>
      <c r="AE131" s="21">
        <v>2024</v>
      </c>
      <c r="AF131">
        <v>10</v>
      </c>
      <c r="AG131" t="s">
        <v>1142</v>
      </c>
    </row>
    <row r="132" spans="1:33">
      <c r="A132">
        <v>1</v>
      </c>
      <c r="B132">
        <v>33</v>
      </c>
      <c r="C132" t="s">
        <v>74</v>
      </c>
      <c r="D132" t="s">
        <v>1279</v>
      </c>
      <c r="E132" t="s">
        <v>1280</v>
      </c>
      <c r="F132">
        <v>481584</v>
      </c>
      <c r="G132" s="154">
        <v>45597</v>
      </c>
      <c r="H132" s="2">
        <v>45302.472025462965</v>
      </c>
      <c r="J132" s="21">
        <v>0</v>
      </c>
      <c r="K132" s="21">
        <v>57054</v>
      </c>
      <c r="L132" s="21">
        <v>10840</v>
      </c>
      <c r="M132" s="21"/>
      <c r="N132" s="21"/>
      <c r="O132" s="21">
        <v>67894</v>
      </c>
      <c r="P132" s="21"/>
      <c r="Q132" s="21"/>
      <c r="R132" s="21"/>
      <c r="S132" s="21"/>
      <c r="T132" s="21">
        <v>0</v>
      </c>
      <c r="U132" s="21"/>
      <c r="V132" s="21"/>
      <c r="W132" s="21"/>
      <c r="X132" s="21">
        <v>0</v>
      </c>
      <c r="Y132" s="21"/>
      <c r="Z132" s="21"/>
      <c r="AA132" s="21"/>
      <c r="AB132" s="21"/>
      <c r="AC132" t="s">
        <v>1330</v>
      </c>
      <c r="AD132" t="s">
        <v>871</v>
      </c>
      <c r="AE132" s="21">
        <v>2024</v>
      </c>
      <c r="AF132">
        <v>11</v>
      </c>
      <c r="AG132" t="s">
        <v>872</v>
      </c>
    </row>
    <row r="133" spans="1:33">
      <c r="A133">
        <v>2</v>
      </c>
      <c r="B133">
        <v>33</v>
      </c>
      <c r="C133" t="s">
        <v>74</v>
      </c>
      <c r="D133" t="s">
        <v>1279</v>
      </c>
      <c r="E133" t="s">
        <v>1280</v>
      </c>
      <c r="F133">
        <v>481588</v>
      </c>
      <c r="G133" s="154">
        <v>45597</v>
      </c>
      <c r="H133" s="2">
        <v>45302.476550925923</v>
      </c>
      <c r="J133" s="21">
        <v>0</v>
      </c>
      <c r="K133" s="21">
        <v>57054</v>
      </c>
      <c r="L133" s="21">
        <v>10840</v>
      </c>
      <c r="M133" s="21"/>
      <c r="N133" s="21"/>
      <c r="O133" s="21">
        <v>67894</v>
      </c>
      <c r="P133" s="21"/>
      <c r="Q133" s="21"/>
      <c r="R133" s="21"/>
      <c r="S133" s="21"/>
      <c r="T133" s="21">
        <v>0</v>
      </c>
      <c r="U133" s="21"/>
      <c r="V133" s="21"/>
      <c r="W133" s="21"/>
      <c r="X133" s="21">
        <v>0</v>
      </c>
      <c r="Y133" s="21"/>
      <c r="Z133" s="21"/>
      <c r="AA133" s="21"/>
      <c r="AB133" s="21"/>
      <c r="AC133" t="s">
        <v>1330</v>
      </c>
      <c r="AD133" t="s">
        <v>871</v>
      </c>
      <c r="AE133" s="21">
        <v>2024</v>
      </c>
      <c r="AF133">
        <v>11</v>
      </c>
      <c r="AG133" t="s">
        <v>872</v>
      </c>
    </row>
    <row r="134" spans="1:33">
      <c r="A134">
        <v>3</v>
      </c>
      <c r="B134">
        <v>33</v>
      </c>
      <c r="C134" t="s">
        <v>74</v>
      </c>
      <c r="D134" t="s">
        <v>202</v>
      </c>
      <c r="E134" t="s">
        <v>203</v>
      </c>
      <c r="F134">
        <v>2419856</v>
      </c>
      <c r="G134" s="154">
        <v>45600</v>
      </c>
      <c r="H134" s="2">
        <v>45393.328113425923</v>
      </c>
      <c r="J134" s="21">
        <v>0</v>
      </c>
      <c r="K134" s="21">
        <v>88924</v>
      </c>
      <c r="L134" s="21">
        <v>16896</v>
      </c>
      <c r="M134" s="21"/>
      <c r="N134" s="21"/>
      <c r="O134" s="21">
        <v>105820</v>
      </c>
      <c r="P134" s="21"/>
      <c r="Q134" s="21"/>
      <c r="R134" s="21"/>
      <c r="S134" s="21"/>
      <c r="T134" s="21">
        <v>0</v>
      </c>
      <c r="U134" s="21"/>
      <c r="V134" s="21"/>
      <c r="W134" s="21"/>
      <c r="X134" s="21">
        <v>0</v>
      </c>
      <c r="Y134" s="21"/>
      <c r="Z134" s="21"/>
      <c r="AA134" s="21"/>
      <c r="AB134" s="21"/>
      <c r="AC134" t="s">
        <v>1330</v>
      </c>
      <c r="AD134" t="s">
        <v>871</v>
      </c>
      <c r="AE134" s="21">
        <v>2024</v>
      </c>
      <c r="AF134">
        <v>11</v>
      </c>
      <c r="AG134" t="s">
        <v>872</v>
      </c>
    </row>
    <row r="135" spans="1:33">
      <c r="A135">
        <v>4</v>
      </c>
      <c r="B135">
        <v>33</v>
      </c>
      <c r="C135" t="s">
        <v>74</v>
      </c>
      <c r="D135" t="s">
        <v>109</v>
      </c>
      <c r="E135" t="s">
        <v>875</v>
      </c>
      <c r="F135">
        <v>4415</v>
      </c>
      <c r="G135" s="154">
        <v>45597</v>
      </c>
      <c r="H135" s="2">
        <v>45393.587418981479</v>
      </c>
      <c r="J135" s="21">
        <v>0</v>
      </c>
      <c r="K135" s="21">
        <v>569645</v>
      </c>
      <c r="L135" s="21">
        <v>108233</v>
      </c>
      <c r="M135" s="21"/>
      <c r="N135" s="21"/>
      <c r="O135" s="21">
        <v>677878</v>
      </c>
      <c r="P135" s="21"/>
      <c r="Q135" s="21"/>
      <c r="R135" s="21"/>
      <c r="S135" s="21"/>
      <c r="T135" s="21">
        <v>0</v>
      </c>
      <c r="U135" s="21"/>
      <c r="V135" s="21"/>
      <c r="W135" s="21"/>
      <c r="X135" s="21">
        <v>0</v>
      </c>
      <c r="Y135" s="21"/>
      <c r="Z135" s="21"/>
      <c r="AA135" s="21"/>
      <c r="AB135" s="21"/>
      <c r="AC135" t="s">
        <v>1330</v>
      </c>
      <c r="AD135" t="s">
        <v>871</v>
      </c>
      <c r="AE135" s="21">
        <v>2024</v>
      </c>
      <c r="AF135">
        <v>11</v>
      </c>
      <c r="AG135" t="s">
        <v>872</v>
      </c>
    </row>
    <row r="136" spans="1:33">
      <c r="A136">
        <v>5</v>
      </c>
      <c r="B136">
        <v>33</v>
      </c>
      <c r="C136" t="s">
        <v>74</v>
      </c>
      <c r="D136" t="s">
        <v>1212</v>
      </c>
      <c r="E136" t="s">
        <v>1213</v>
      </c>
      <c r="F136">
        <v>2303128</v>
      </c>
      <c r="G136" s="153" t="s">
        <v>885</v>
      </c>
      <c r="H136" s="2">
        <v>45393.656238425923</v>
      </c>
      <c r="J136" s="21">
        <v>0</v>
      </c>
      <c r="K136" s="21">
        <v>2477266</v>
      </c>
      <c r="L136" s="21">
        <v>470681</v>
      </c>
      <c r="M136" s="21"/>
      <c r="N136" s="21"/>
      <c r="O136" s="21">
        <v>2947947</v>
      </c>
      <c r="P136" s="21"/>
      <c r="Q136" s="21"/>
      <c r="R136" s="21"/>
      <c r="S136" s="21"/>
      <c r="T136" s="21">
        <v>0</v>
      </c>
      <c r="U136" s="21"/>
      <c r="V136" s="21"/>
      <c r="W136" s="21"/>
      <c r="X136" s="21">
        <v>0</v>
      </c>
      <c r="Y136" s="21"/>
      <c r="Z136" s="21"/>
      <c r="AA136" s="21"/>
      <c r="AB136" s="21"/>
      <c r="AC136" t="s">
        <v>1330</v>
      </c>
      <c r="AD136" t="s">
        <v>871</v>
      </c>
      <c r="AE136" s="21">
        <v>2024</v>
      </c>
      <c r="AF136">
        <v>11</v>
      </c>
      <c r="AG136" t="s">
        <v>872</v>
      </c>
    </row>
    <row r="137" spans="1:33">
      <c r="A137">
        <v>6</v>
      </c>
      <c r="B137">
        <v>33</v>
      </c>
      <c r="C137" t="s">
        <v>74</v>
      </c>
      <c r="D137" t="s">
        <v>1217</v>
      </c>
      <c r="E137" t="s">
        <v>1305</v>
      </c>
      <c r="F137">
        <v>40362</v>
      </c>
      <c r="G137" s="153" t="s">
        <v>885</v>
      </c>
      <c r="H137" s="2">
        <v>45393.732928240737</v>
      </c>
      <c r="J137" s="21">
        <v>0</v>
      </c>
      <c r="K137" s="21">
        <v>587488</v>
      </c>
      <c r="L137" s="21">
        <v>111623</v>
      </c>
      <c r="M137" s="21"/>
      <c r="N137" s="21"/>
      <c r="O137" s="21">
        <v>699111</v>
      </c>
      <c r="P137" s="21"/>
      <c r="Q137" s="21"/>
      <c r="R137" s="21"/>
      <c r="S137" s="21"/>
      <c r="T137" s="21">
        <v>0</v>
      </c>
      <c r="U137" s="21"/>
      <c r="V137" s="21"/>
      <c r="W137" s="21"/>
      <c r="X137" s="21">
        <v>0</v>
      </c>
      <c r="Y137" s="21"/>
      <c r="Z137" s="21"/>
      <c r="AA137" s="21"/>
      <c r="AB137" s="21"/>
      <c r="AC137" t="s">
        <v>1330</v>
      </c>
      <c r="AD137" t="s">
        <v>871</v>
      </c>
      <c r="AE137" s="21">
        <v>2024</v>
      </c>
      <c r="AF137">
        <v>11</v>
      </c>
      <c r="AG137" t="s">
        <v>872</v>
      </c>
    </row>
    <row r="138" spans="1:33">
      <c r="A138">
        <v>7</v>
      </c>
      <c r="B138">
        <v>33</v>
      </c>
      <c r="C138" t="s">
        <v>74</v>
      </c>
      <c r="D138" t="s">
        <v>1258</v>
      </c>
      <c r="E138" t="s">
        <v>1259</v>
      </c>
      <c r="F138">
        <v>12946</v>
      </c>
      <c r="G138" s="153" t="s">
        <v>821</v>
      </c>
      <c r="H138" s="2">
        <v>45423.406550925924</v>
      </c>
      <c r="J138" s="21">
        <v>0</v>
      </c>
      <c r="K138" s="21">
        <v>798102</v>
      </c>
      <c r="L138" s="21">
        <v>151639</v>
      </c>
      <c r="M138" s="21"/>
      <c r="N138" s="21"/>
      <c r="O138" s="21">
        <v>949741</v>
      </c>
      <c r="P138" s="21"/>
      <c r="Q138" s="21"/>
      <c r="R138" s="21"/>
      <c r="S138" s="21"/>
      <c r="T138" s="21">
        <v>0</v>
      </c>
      <c r="U138" s="21"/>
      <c r="V138" s="21"/>
      <c r="W138" s="21"/>
      <c r="X138" s="21">
        <v>0</v>
      </c>
      <c r="Y138" s="21"/>
      <c r="Z138" s="21"/>
      <c r="AA138" s="21"/>
      <c r="AB138" s="21"/>
      <c r="AC138" t="s">
        <v>1330</v>
      </c>
      <c r="AD138" t="s">
        <v>871</v>
      </c>
      <c r="AE138" s="21">
        <v>2024</v>
      </c>
      <c r="AF138">
        <v>11</v>
      </c>
      <c r="AG138" t="s">
        <v>872</v>
      </c>
    </row>
    <row r="139" spans="1:33">
      <c r="A139">
        <v>8</v>
      </c>
      <c r="B139">
        <v>33</v>
      </c>
      <c r="C139" t="s">
        <v>74</v>
      </c>
      <c r="D139" t="s">
        <v>917</v>
      </c>
      <c r="E139" t="s">
        <v>1221</v>
      </c>
      <c r="F139">
        <v>180154</v>
      </c>
      <c r="G139" s="154">
        <v>45601</v>
      </c>
      <c r="H139" s="2">
        <v>45454.849733796298</v>
      </c>
      <c r="J139" s="21">
        <v>0</v>
      </c>
      <c r="K139" s="21">
        <v>1097354</v>
      </c>
      <c r="L139" s="21">
        <v>208497</v>
      </c>
      <c r="M139" s="21"/>
      <c r="N139" s="21"/>
      <c r="O139" s="21">
        <v>1305851</v>
      </c>
      <c r="P139" s="21"/>
      <c r="Q139" s="21"/>
      <c r="R139" s="21"/>
      <c r="S139" s="21"/>
      <c r="T139" s="21">
        <v>0</v>
      </c>
      <c r="U139" s="21"/>
      <c r="V139" s="21"/>
      <c r="W139" s="21"/>
      <c r="X139" s="21">
        <v>0</v>
      </c>
      <c r="Y139" s="21"/>
      <c r="Z139" s="21"/>
      <c r="AA139" s="21"/>
      <c r="AB139" s="21"/>
      <c r="AC139" t="s">
        <v>1330</v>
      </c>
      <c r="AD139" t="s">
        <v>871</v>
      </c>
      <c r="AE139" s="21">
        <v>2024</v>
      </c>
      <c r="AF139">
        <v>11</v>
      </c>
      <c r="AG139" t="s">
        <v>872</v>
      </c>
    </row>
    <row r="140" spans="1:33">
      <c r="A140">
        <v>9</v>
      </c>
      <c r="B140">
        <v>33</v>
      </c>
      <c r="C140" t="s">
        <v>74</v>
      </c>
      <c r="D140" t="s">
        <v>1222</v>
      </c>
      <c r="E140" t="s">
        <v>1223</v>
      </c>
      <c r="F140">
        <v>3288512</v>
      </c>
      <c r="G140" s="154">
        <v>45603</v>
      </c>
      <c r="H140" s="2">
        <v>45484.449236111112</v>
      </c>
      <c r="J140" s="21">
        <v>0</v>
      </c>
      <c r="K140" s="21">
        <v>910000</v>
      </c>
      <c r="L140" s="21">
        <v>172900</v>
      </c>
      <c r="M140" s="21"/>
      <c r="N140" s="21"/>
      <c r="O140" s="21">
        <v>1082900</v>
      </c>
      <c r="P140" s="21"/>
      <c r="Q140" s="21"/>
      <c r="R140" s="21"/>
      <c r="S140" s="21"/>
      <c r="T140" s="21">
        <v>0</v>
      </c>
      <c r="U140" s="21"/>
      <c r="V140" s="21"/>
      <c r="W140" s="21"/>
      <c r="X140" s="21">
        <v>0</v>
      </c>
      <c r="Y140" s="21"/>
      <c r="Z140" s="21"/>
      <c r="AA140" s="21"/>
      <c r="AB140" s="21"/>
      <c r="AC140" t="s">
        <v>1330</v>
      </c>
      <c r="AD140" t="s">
        <v>871</v>
      </c>
      <c r="AE140" s="21">
        <v>2024</v>
      </c>
      <c r="AF140">
        <v>11</v>
      </c>
      <c r="AG140" t="s">
        <v>872</v>
      </c>
    </row>
    <row r="141" spans="1:33">
      <c r="A141">
        <v>10</v>
      </c>
      <c r="B141">
        <v>33</v>
      </c>
      <c r="C141" t="s">
        <v>74</v>
      </c>
      <c r="D141" t="s">
        <v>1222</v>
      </c>
      <c r="E141" t="s">
        <v>1223</v>
      </c>
      <c r="F141">
        <v>3288513</v>
      </c>
      <c r="G141" s="154">
        <v>45603</v>
      </c>
      <c r="H141" s="2">
        <v>45484.452025462961</v>
      </c>
      <c r="J141" s="21">
        <v>0</v>
      </c>
      <c r="K141" s="21">
        <v>18867720</v>
      </c>
      <c r="L141" s="21">
        <v>3584867</v>
      </c>
      <c r="M141" s="21"/>
      <c r="N141" s="21"/>
      <c r="O141" s="21">
        <v>22452587</v>
      </c>
      <c r="P141" s="21"/>
      <c r="Q141" s="21"/>
      <c r="R141" s="21"/>
      <c r="S141" s="21"/>
      <c r="T141" s="21">
        <v>0</v>
      </c>
      <c r="U141" s="21"/>
      <c r="V141" s="21"/>
      <c r="W141" s="21"/>
      <c r="X141" s="21">
        <v>0</v>
      </c>
      <c r="Y141" s="21"/>
      <c r="Z141" s="21"/>
      <c r="AA141" s="21"/>
      <c r="AB141" s="21"/>
      <c r="AC141" t="s">
        <v>1330</v>
      </c>
      <c r="AD141" t="s">
        <v>871</v>
      </c>
      <c r="AE141" s="21">
        <v>2024</v>
      </c>
      <c r="AF141">
        <v>11</v>
      </c>
      <c r="AG141" t="s">
        <v>872</v>
      </c>
    </row>
    <row r="142" spans="1:33">
      <c r="A142">
        <v>11</v>
      </c>
      <c r="B142">
        <v>33</v>
      </c>
      <c r="C142" t="s">
        <v>74</v>
      </c>
      <c r="D142" t="s">
        <v>873</v>
      </c>
      <c r="E142" t="s">
        <v>874</v>
      </c>
      <c r="F142">
        <v>49534683</v>
      </c>
      <c r="G142" s="154">
        <v>45603</v>
      </c>
      <c r="H142" s="2">
        <v>45484.812881944446</v>
      </c>
      <c r="J142" s="21">
        <v>0</v>
      </c>
      <c r="K142" s="21">
        <v>77973</v>
      </c>
      <c r="L142" s="21">
        <v>14815</v>
      </c>
      <c r="M142" s="21"/>
      <c r="N142" s="21"/>
      <c r="O142" s="21">
        <v>92788</v>
      </c>
      <c r="P142" s="21"/>
      <c r="Q142" s="21"/>
      <c r="R142" s="21"/>
      <c r="S142" s="21"/>
      <c r="T142" s="21">
        <v>0</v>
      </c>
      <c r="U142" s="21"/>
      <c r="V142" s="21"/>
      <c r="W142" s="21"/>
      <c r="X142" s="21">
        <v>0</v>
      </c>
      <c r="Y142" s="21"/>
      <c r="Z142" s="21"/>
      <c r="AA142" s="21"/>
      <c r="AB142" s="21"/>
      <c r="AC142" t="s">
        <v>1330</v>
      </c>
      <c r="AD142" t="s">
        <v>871</v>
      </c>
      <c r="AE142" s="21">
        <v>2024</v>
      </c>
      <c r="AF142">
        <v>11</v>
      </c>
      <c r="AG142" t="s">
        <v>872</v>
      </c>
    </row>
    <row r="143" spans="1:33">
      <c r="A143">
        <v>12</v>
      </c>
      <c r="B143">
        <v>33</v>
      </c>
      <c r="C143" t="s">
        <v>74</v>
      </c>
      <c r="D143" t="s">
        <v>1227</v>
      </c>
      <c r="E143" t="s">
        <v>1228</v>
      </c>
      <c r="F143">
        <v>946</v>
      </c>
      <c r="G143" s="154">
        <v>45607</v>
      </c>
      <c r="H143" s="2">
        <v>45607.455046296294</v>
      </c>
      <c r="J143" s="21">
        <v>0</v>
      </c>
      <c r="K143" s="21">
        <v>2130000</v>
      </c>
      <c r="L143" s="21">
        <v>404700</v>
      </c>
      <c r="M143" s="21"/>
      <c r="N143" s="21"/>
      <c r="O143" s="21">
        <v>2534700</v>
      </c>
      <c r="P143" s="21"/>
      <c r="Q143" s="21"/>
      <c r="R143" s="21"/>
      <c r="S143" s="21"/>
      <c r="T143" s="21">
        <v>0</v>
      </c>
      <c r="U143" s="21"/>
      <c r="V143" s="21"/>
      <c r="W143" s="21"/>
      <c r="X143" s="21">
        <v>0</v>
      </c>
      <c r="Y143" s="21"/>
      <c r="Z143" s="21"/>
      <c r="AA143" s="21"/>
      <c r="AB143" s="21"/>
      <c r="AC143" t="s">
        <v>1330</v>
      </c>
      <c r="AD143" t="s">
        <v>871</v>
      </c>
      <c r="AE143" s="21">
        <v>2024</v>
      </c>
      <c r="AF143">
        <v>11</v>
      </c>
      <c r="AG143" t="s">
        <v>872</v>
      </c>
    </row>
    <row r="144" spans="1:33">
      <c r="A144">
        <v>13</v>
      </c>
      <c r="B144">
        <v>33</v>
      </c>
      <c r="C144" t="s">
        <v>74</v>
      </c>
      <c r="D144" t="s">
        <v>1279</v>
      </c>
      <c r="E144" t="s">
        <v>1280</v>
      </c>
      <c r="F144">
        <v>484037</v>
      </c>
      <c r="G144" s="154">
        <v>45608</v>
      </c>
      <c r="H144" s="2">
        <v>45637.503611111111</v>
      </c>
      <c r="J144" s="21">
        <v>0</v>
      </c>
      <c r="K144" s="21">
        <v>1460900</v>
      </c>
      <c r="L144" s="21">
        <v>277571</v>
      </c>
      <c r="M144" s="21"/>
      <c r="N144" s="21"/>
      <c r="O144" s="21">
        <v>1738471</v>
      </c>
      <c r="P144" s="21"/>
      <c r="Q144" s="21"/>
      <c r="R144" s="21"/>
      <c r="S144" s="21"/>
      <c r="T144" s="21">
        <v>0</v>
      </c>
      <c r="U144" s="21"/>
      <c r="V144" s="21"/>
      <c r="W144" s="21"/>
      <c r="X144" s="21">
        <v>0</v>
      </c>
      <c r="Y144" s="21"/>
      <c r="Z144" s="21"/>
      <c r="AA144" s="21"/>
      <c r="AB144" s="21"/>
      <c r="AC144" t="s">
        <v>1330</v>
      </c>
      <c r="AD144" t="s">
        <v>871</v>
      </c>
      <c r="AE144" s="21">
        <v>2024</v>
      </c>
      <c r="AF144">
        <v>11</v>
      </c>
      <c r="AG144" t="s">
        <v>872</v>
      </c>
    </row>
    <row r="145" spans="1:33">
      <c r="A145">
        <v>14</v>
      </c>
      <c r="B145">
        <v>33</v>
      </c>
      <c r="C145" t="s">
        <v>74</v>
      </c>
      <c r="D145" t="s">
        <v>1279</v>
      </c>
      <c r="E145" t="s">
        <v>1280</v>
      </c>
      <c r="F145">
        <v>484038</v>
      </c>
      <c r="G145" s="154">
        <v>45608</v>
      </c>
      <c r="H145" s="2">
        <v>45637.505011574074</v>
      </c>
      <c r="J145" s="21">
        <v>0</v>
      </c>
      <c r="K145" s="21">
        <v>1453057</v>
      </c>
      <c r="L145" s="21">
        <v>276081</v>
      </c>
      <c r="M145" s="21"/>
      <c r="N145" s="21"/>
      <c r="O145" s="21">
        <v>1729138</v>
      </c>
      <c r="P145" s="21"/>
      <c r="Q145" s="21"/>
      <c r="R145" s="21"/>
      <c r="S145" s="21"/>
      <c r="T145" s="21">
        <v>0</v>
      </c>
      <c r="U145" s="21"/>
      <c r="V145" s="21"/>
      <c r="W145" s="21"/>
      <c r="X145" s="21">
        <v>0</v>
      </c>
      <c r="Y145" s="21"/>
      <c r="Z145" s="21"/>
      <c r="AA145" s="21"/>
      <c r="AB145" s="21"/>
      <c r="AC145" t="s">
        <v>1330</v>
      </c>
      <c r="AD145" t="s">
        <v>871</v>
      </c>
      <c r="AE145" s="21">
        <v>2024</v>
      </c>
      <c r="AF145">
        <v>11</v>
      </c>
      <c r="AG145" t="s">
        <v>872</v>
      </c>
    </row>
    <row r="146" spans="1:33">
      <c r="A146">
        <v>15</v>
      </c>
      <c r="B146">
        <v>33</v>
      </c>
      <c r="C146" t="s">
        <v>74</v>
      </c>
      <c r="D146" t="s">
        <v>1306</v>
      </c>
      <c r="E146" t="s">
        <v>1307</v>
      </c>
      <c r="F146">
        <v>82302</v>
      </c>
      <c r="G146" s="154">
        <v>45608</v>
      </c>
      <c r="H146" s="2">
        <v>45637.819745370369</v>
      </c>
      <c r="J146" s="21">
        <v>0</v>
      </c>
      <c r="K146" s="21">
        <v>1132266</v>
      </c>
      <c r="L146" s="21">
        <v>215131</v>
      </c>
      <c r="M146" s="21"/>
      <c r="N146" s="21"/>
      <c r="O146" s="21">
        <v>1347397</v>
      </c>
      <c r="P146" s="21"/>
      <c r="Q146" s="21"/>
      <c r="R146" s="21"/>
      <c r="S146" s="21"/>
      <c r="T146" s="21">
        <v>0</v>
      </c>
      <c r="U146" s="21"/>
      <c r="V146" s="21"/>
      <c r="W146" s="21"/>
      <c r="X146" s="21">
        <v>0</v>
      </c>
      <c r="Y146" s="21"/>
      <c r="Z146" s="21"/>
      <c r="AA146" s="21"/>
      <c r="AB146" s="21"/>
      <c r="AC146" t="s">
        <v>1330</v>
      </c>
      <c r="AD146" t="s">
        <v>871</v>
      </c>
      <c r="AE146" s="21">
        <v>2024</v>
      </c>
      <c r="AF146">
        <v>11</v>
      </c>
      <c r="AG146" t="s">
        <v>872</v>
      </c>
    </row>
    <row r="147" spans="1:33">
      <c r="A147">
        <v>16</v>
      </c>
      <c r="B147">
        <v>33</v>
      </c>
      <c r="C147" t="s">
        <v>74</v>
      </c>
      <c r="D147" t="s">
        <v>1236</v>
      </c>
      <c r="E147" t="s">
        <v>1237</v>
      </c>
      <c r="F147">
        <v>130638</v>
      </c>
      <c r="G147" s="153" t="s">
        <v>822</v>
      </c>
      <c r="H147" t="s">
        <v>1308</v>
      </c>
      <c r="J147" s="21">
        <v>0</v>
      </c>
      <c r="K147" s="21">
        <v>113918</v>
      </c>
      <c r="L147" s="21">
        <v>21644</v>
      </c>
      <c r="M147" s="21"/>
      <c r="N147" s="21"/>
      <c r="O147" s="21">
        <v>135562</v>
      </c>
      <c r="P147" s="21"/>
      <c r="Q147" s="21"/>
      <c r="R147" s="21"/>
      <c r="S147" s="21"/>
      <c r="T147" s="21">
        <v>0</v>
      </c>
      <c r="U147" s="21"/>
      <c r="V147" s="21"/>
      <c r="W147" s="21"/>
      <c r="X147" s="21">
        <v>0</v>
      </c>
      <c r="Y147" s="21"/>
      <c r="Z147" s="21"/>
      <c r="AA147" s="21"/>
      <c r="AB147" s="21"/>
      <c r="AC147" t="s">
        <v>1330</v>
      </c>
      <c r="AD147" t="s">
        <v>871</v>
      </c>
      <c r="AE147" s="21">
        <v>2024</v>
      </c>
      <c r="AF147">
        <v>11</v>
      </c>
      <c r="AG147" t="s">
        <v>872</v>
      </c>
    </row>
    <row r="148" spans="1:33">
      <c r="A148">
        <v>17</v>
      </c>
      <c r="B148">
        <v>33</v>
      </c>
      <c r="C148" t="s">
        <v>74</v>
      </c>
      <c r="D148" t="s">
        <v>1231</v>
      </c>
      <c r="E148" t="s">
        <v>1232</v>
      </c>
      <c r="F148">
        <v>1033877</v>
      </c>
      <c r="G148" s="153" t="s">
        <v>823</v>
      </c>
      <c r="H148" t="s">
        <v>1309</v>
      </c>
      <c r="J148" s="21">
        <v>0</v>
      </c>
      <c r="K148" s="21">
        <v>136104</v>
      </c>
      <c r="L148" s="21">
        <v>25860</v>
      </c>
      <c r="M148" s="21"/>
      <c r="N148" s="21"/>
      <c r="O148" s="21">
        <v>161964</v>
      </c>
      <c r="P148" s="21"/>
      <c r="Q148" s="21"/>
      <c r="R148" s="21"/>
      <c r="S148" s="21"/>
      <c r="T148" s="21">
        <v>0</v>
      </c>
      <c r="U148" s="21"/>
      <c r="V148" s="21"/>
      <c r="W148" s="21"/>
      <c r="X148" s="21">
        <v>0</v>
      </c>
      <c r="Y148" s="21"/>
      <c r="Z148" s="21"/>
      <c r="AA148" s="21"/>
      <c r="AB148" s="21"/>
      <c r="AC148" t="s">
        <v>1330</v>
      </c>
      <c r="AD148" t="s">
        <v>871</v>
      </c>
      <c r="AE148" s="21">
        <v>2024</v>
      </c>
      <c r="AF148">
        <v>11</v>
      </c>
      <c r="AG148" t="s">
        <v>872</v>
      </c>
    </row>
    <row r="149" spans="1:33">
      <c r="A149">
        <v>18</v>
      </c>
      <c r="B149">
        <v>33</v>
      </c>
      <c r="C149" t="s">
        <v>74</v>
      </c>
      <c r="D149" t="s">
        <v>1222</v>
      </c>
      <c r="E149" t="s">
        <v>1223</v>
      </c>
      <c r="F149">
        <v>3302537</v>
      </c>
      <c r="G149" s="153" t="s">
        <v>823</v>
      </c>
      <c r="H149" t="s">
        <v>1310</v>
      </c>
      <c r="J149" s="21">
        <v>0</v>
      </c>
      <c r="K149" s="21">
        <v>7511869</v>
      </c>
      <c r="L149" s="21">
        <v>1427255</v>
      </c>
      <c r="M149" s="21"/>
      <c r="N149" s="21"/>
      <c r="O149" s="21">
        <v>8939124</v>
      </c>
      <c r="P149" s="21"/>
      <c r="Q149" s="21"/>
      <c r="R149" s="21"/>
      <c r="S149" s="21"/>
      <c r="T149" s="21">
        <v>0</v>
      </c>
      <c r="U149" s="21"/>
      <c r="V149" s="21"/>
      <c r="W149" s="21"/>
      <c r="X149" s="21">
        <v>0</v>
      </c>
      <c r="Y149" s="21"/>
      <c r="Z149" s="21"/>
      <c r="AA149" s="21"/>
      <c r="AB149" s="21"/>
      <c r="AC149" t="s">
        <v>1330</v>
      </c>
      <c r="AD149" t="s">
        <v>871</v>
      </c>
      <c r="AE149" s="21">
        <v>2024</v>
      </c>
      <c r="AF149">
        <v>11</v>
      </c>
      <c r="AG149" t="s">
        <v>872</v>
      </c>
    </row>
    <row r="150" spans="1:33">
      <c r="A150">
        <v>19</v>
      </c>
      <c r="B150">
        <v>33</v>
      </c>
      <c r="C150" t="s">
        <v>74</v>
      </c>
      <c r="D150" t="s">
        <v>1240</v>
      </c>
      <c r="E150" t="s">
        <v>1241</v>
      </c>
      <c r="F150">
        <v>6882</v>
      </c>
      <c r="G150" s="153" t="s">
        <v>824</v>
      </c>
      <c r="H150" t="s">
        <v>1311</v>
      </c>
      <c r="J150" s="21">
        <v>0</v>
      </c>
      <c r="K150" s="21">
        <v>45000</v>
      </c>
      <c r="L150" s="21">
        <v>8550</v>
      </c>
      <c r="M150" s="21"/>
      <c r="N150" s="21"/>
      <c r="O150" s="21">
        <v>53550</v>
      </c>
      <c r="P150" s="21"/>
      <c r="Q150" s="21"/>
      <c r="R150" s="21"/>
      <c r="S150" s="21"/>
      <c r="T150" s="21">
        <v>0</v>
      </c>
      <c r="U150" s="21"/>
      <c r="V150" s="21"/>
      <c r="W150" s="21"/>
      <c r="X150" s="21">
        <v>0</v>
      </c>
      <c r="Y150" s="21"/>
      <c r="Z150" s="21"/>
      <c r="AA150" s="21"/>
      <c r="AB150" s="21"/>
      <c r="AC150" t="s">
        <v>1330</v>
      </c>
      <c r="AD150" t="s">
        <v>871</v>
      </c>
      <c r="AE150" s="21">
        <v>2024</v>
      </c>
      <c r="AF150">
        <v>11</v>
      </c>
      <c r="AG150" t="s">
        <v>872</v>
      </c>
    </row>
    <row r="151" spans="1:33">
      <c r="A151">
        <v>20</v>
      </c>
      <c r="B151">
        <v>33</v>
      </c>
      <c r="C151" t="s">
        <v>74</v>
      </c>
      <c r="D151" t="s">
        <v>1246</v>
      </c>
      <c r="E151" t="s">
        <v>1247</v>
      </c>
      <c r="F151">
        <v>69944</v>
      </c>
      <c r="G151" s="153" t="s">
        <v>827</v>
      </c>
      <c r="H151" t="s">
        <v>1312</v>
      </c>
      <c r="J151" s="21">
        <v>0</v>
      </c>
      <c r="K151" s="21">
        <v>149614</v>
      </c>
      <c r="L151" s="21">
        <v>28427</v>
      </c>
      <c r="M151" s="21"/>
      <c r="N151" s="21"/>
      <c r="O151" s="21">
        <v>178041</v>
      </c>
      <c r="P151" s="21"/>
      <c r="Q151" s="21"/>
      <c r="R151" s="21"/>
      <c r="S151" s="21"/>
      <c r="T151" s="21">
        <v>0</v>
      </c>
      <c r="U151" s="21"/>
      <c r="V151" s="21"/>
      <c r="W151" s="21"/>
      <c r="X151" s="21">
        <v>0</v>
      </c>
      <c r="Y151" s="21"/>
      <c r="Z151" s="21"/>
      <c r="AA151" s="21"/>
      <c r="AB151" s="21"/>
      <c r="AC151" t="s">
        <v>1330</v>
      </c>
      <c r="AD151" t="s">
        <v>871</v>
      </c>
      <c r="AE151" s="21">
        <v>2024</v>
      </c>
      <c r="AF151">
        <v>11</v>
      </c>
      <c r="AG151" t="s">
        <v>872</v>
      </c>
    </row>
    <row r="152" spans="1:33">
      <c r="A152">
        <v>21</v>
      </c>
      <c r="B152">
        <v>33</v>
      </c>
      <c r="C152" t="s">
        <v>74</v>
      </c>
      <c r="D152" t="s">
        <v>1219</v>
      </c>
      <c r="E152" t="s">
        <v>1220</v>
      </c>
      <c r="F152">
        <v>525409</v>
      </c>
      <c r="G152" s="153" t="s">
        <v>1331</v>
      </c>
      <c r="H152" t="s">
        <v>1313</v>
      </c>
      <c r="J152" s="21">
        <v>0</v>
      </c>
      <c r="K152" s="21">
        <v>446668</v>
      </c>
      <c r="L152" s="21">
        <v>84867</v>
      </c>
      <c r="M152" s="21"/>
      <c r="N152" s="21"/>
      <c r="O152" s="21">
        <v>531535</v>
      </c>
      <c r="P152" s="21"/>
      <c r="Q152" s="21"/>
      <c r="R152" s="21"/>
      <c r="S152" s="21"/>
      <c r="T152" s="21">
        <v>0</v>
      </c>
      <c r="U152" s="21"/>
      <c r="V152" s="21"/>
      <c r="W152" s="21"/>
      <c r="X152" s="21">
        <v>0</v>
      </c>
      <c r="Y152" s="21"/>
      <c r="Z152" s="21"/>
      <c r="AA152" s="21"/>
      <c r="AB152" s="21"/>
      <c r="AC152" t="s">
        <v>1330</v>
      </c>
      <c r="AD152" t="s">
        <v>871</v>
      </c>
      <c r="AE152" s="21">
        <v>2024</v>
      </c>
      <c r="AF152">
        <v>11</v>
      </c>
      <c r="AG152" t="s">
        <v>872</v>
      </c>
    </row>
    <row r="153" spans="1:33">
      <c r="A153">
        <v>22</v>
      </c>
      <c r="B153">
        <v>33</v>
      </c>
      <c r="C153" t="s">
        <v>74</v>
      </c>
      <c r="D153" t="s">
        <v>1219</v>
      </c>
      <c r="E153" t="s">
        <v>1220</v>
      </c>
      <c r="F153">
        <v>526782</v>
      </c>
      <c r="G153" s="153" t="s">
        <v>831</v>
      </c>
      <c r="H153" t="s">
        <v>1314</v>
      </c>
      <c r="J153" s="21">
        <v>0</v>
      </c>
      <c r="K153" s="21">
        <v>218706</v>
      </c>
      <c r="L153" s="21">
        <v>41554</v>
      </c>
      <c r="M153" s="21"/>
      <c r="N153" s="21"/>
      <c r="O153" s="21">
        <v>260260</v>
      </c>
      <c r="P153" s="21"/>
      <c r="Q153" s="21"/>
      <c r="R153" s="21"/>
      <c r="S153" s="21"/>
      <c r="T153" s="21">
        <v>0</v>
      </c>
      <c r="U153" s="21"/>
      <c r="V153" s="21"/>
      <c r="W153" s="21"/>
      <c r="X153" s="21">
        <v>0</v>
      </c>
      <c r="Y153" s="21"/>
      <c r="Z153" s="21"/>
      <c r="AA153" s="21"/>
      <c r="AB153" s="21"/>
      <c r="AC153" t="s">
        <v>1330</v>
      </c>
      <c r="AD153" t="s">
        <v>871</v>
      </c>
      <c r="AE153" s="21">
        <v>2024</v>
      </c>
      <c r="AF153">
        <v>11</v>
      </c>
      <c r="AG153" t="s">
        <v>872</v>
      </c>
    </row>
    <row r="154" spans="1:33">
      <c r="A154">
        <v>23</v>
      </c>
      <c r="B154">
        <v>33</v>
      </c>
      <c r="C154" t="s">
        <v>74</v>
      </c>
      <c r="D154" t="s">
        <v>1219</v>
      </c>
      <c r="E154" t="s">
        <v>1220</v>
      </c>
      <c r="F154">
        <v>526783</v>
      </c>
      <c r="G154" s="153" t="s">
        <v>831</v>
      </c>
      <c r="H154" t="s">
        <v>1315</v>
      </c>
      <c r="J154" s="21">
        <v>0</v>
      </c>
      <c r="K154" s="21">
        <v>218706</v>
      </c>
      <c r="L154" s="21">
        <v>41554</v>
      </c>
      <c r="M154" s="21"/>
      <c r="N154" s="21"/>
      <c r="O154" s="21">
        <v>260260</v>
      </c>
      <c r="P154" s="21"/>
      <c r="Q154" s="21"/>
      <c r="R154" s="21"/>
      <c r="S154" s="21"/>
      <c r="T154" s="21">
        <v>0</v>
      </c>
      <c r="U154" s="21"/>
      <c r="V154" s="21"/>
      <c r="W154" s="21"/>
      <c r="X154" s="21">
        <v>0</v>
      </c>
      <c r="Y154" s="21"/>
      <c r="Z154" s="21"/>
      <c r="AA154" s="21"/>
      <c r="AB154" s="21"/>
      <c r="AC154" t="s">
        <v>1330</v>
      </c>
      <c r="AD154" t="s">
        <v>871</v>
      </c>
      <c r="AE154" s="21">
        <v>2024</v>
      </c>
      <c r="AF154">
        <v>11</v>
      </c>
      <c r="AG154" t="s">
        <v>872</v>
      </c>
    </row>
    <row r="155" spans="1:33">
      <c r="A155">
        <v>24</v>
      </c>
      <c r="B155">
        <v>33</v>
      </c>
      <c r="C155" t="s">
        <v>74</v>
      </c>
      <c r="D155" t="s">
        <v>1219</v>
      </c>
      <c r="E155" t="s">
        <v>1220</v>
      </c>
      <c r="F155">
        <v>526981</v>
      </c>
      <c r="G155" s="153" t="s">
        <v>831</v>
      </c>
      <c r="H155" t="s">
        <v>1316</v>
      </c>
      <c r="J155" s="21">
        <v>0</v>
      </c>
      <c r="K155" s="21">
        <v>296019</v>
      </c>
      <c r="L155" s="21">
        <v>56244</v>
      </c>
      <c r="M155" s="21"/>
      <c r="N155" s="21"/>
      <c r="O155" s="21">
        <v>352263</v>
      </c>
      <c r="P155" s="21"/>
      <c r="Q155" s="21"/>
      <c r="R155" s="21"/>
      <c r="S155" s="21"/>
      <c r="T155" s="21">
        <v>0</v>
      </c>
      <c r="U155" s="21"/>
      <c r="V155" s="21"/>
      <c r="W155" s="21"/>
      <c r="X155" s="21">
        <v>0</v>
      </c>
      <c r="Y155" s="21"/>
      <c r="Z155" s="21"/>
      <c r="AA155" s="21"/>
      <c r="AB155" s="21"/>
      <c r="AC155" t="s">
        <v>1330</v>
      </c>
      <c r="AD155" t="s">
        <v>871</v>
      </c>
      <c r="AE155" s="21">
        <v>2024</v>
      </c>
      <c r="AF155">
        <v>11</v>
      </c>
      <c r="AG155" t="s">
        <v>872</v>
      </c>
    </row>
    <row r="156" spans="1:33">
      <c r="A156">
        <v>25</v>
      </c>
      <c r="B156">
        <v>33</v>
      </c>
      <c r="C156" t="s">
        <v>74</v>
      </c>
      <c r="D156" t="s">
        <v>1219</v>
      </c>
      <c r="E156" t="s">
        <v>1220</v>
      </c>
      <c r="F156">
        <v>526983</v>
      </c>
      <c r="G156" s="153" t="s">
        <v>831</v>
      </c>
      <c r="H156" t="s">
        <v>1317</v>
      </c>
      <c r="J156" s="21">
        <v>0</v>
      </c>
      <c r="K156" s="21">
        <v>33152</v>
      </c>
      <c r="L156" s="21">
        <v>6299</v>
      </c>
      <c r="M156" s="21"/>
      <c r="N156" s="21"/>
      <c r="O156" s="21">
        <v>39451</v>
      </c>
      <c r="P156" s="21"/>
      <c r="Q156" s="21"/>
      <c r="R156" s="21"/>
      <c r="S156" s="21"/>
      <c r="T156" s="21">
        <v>0</v>
      </c>
      <c r="U156" s="21"/>
      <c r="V156" s="21"/>
      <c r="W156" s="21"/>
      <c r="X156" s="21">
        <v>0</v>
      </c>
      <c r="Y156" s="21"/>
      <c r="Z156" s="21"/>
      <c r="AA156" s="21"/>
      <c r="AB156" s="21"/>
      <c r="AC156" t="s">
        <v>1330</v>
      </c>
      <c r="AD156" t="s">
        <v>871</v>
      </c>
      <c r="AE156" s="21">
        <v>2024</v>
      </c>
      <c r="AF156">
        <v>11</v>
      </c>
      <c r="AG156" t="s">
        <v>872</v>
      </c>
    </row>
    <row r="157" spans="1:33">
      <c r="A157">
        <v>26</v>
      </c>
      <c r="B157">
        <v>33</v>
      </c>
      <c r="C157" t="s">
        <v>74</v>
      </c>
      <c r="D157" t="s">
        <v>1219</v>
      </c>
      <c r="E157" t="s">
        <v>1220</v>
      </c>
      <c r="F157">
        <v>526982</v>
      </c>
      <c r="G157" s="153" t="s">
        <v>831</v>
      </c>
      <c r="H157" t="s">
        <v>1316</v>
      </c>
      <c r="J157" s="21">
        <v>0</v>
      </c>
      <c r="K157" s="21">
        <v>33152</v>
      </c>
      <c r="L157" s="21">
        <v>6299</v>
      </c>
      <c r="M157" s="21"/>
      <c r="N157" s="21"/>
      <c r="O157" s="21">
        <v>39451</v>
      </c>
      <c r="P157" s="21"/>
      <c r="Q157" s="21"/>
      <c r="R157" s="21"/>
      <c r="S157" s="21"/>
      <c r="T157" s="21">
        <v>0</v>
      </c>
      <c r="U157" s="21"/>
      <c r="V157" s="21"/>
      <c r="W157" s="21"/>
      <c r="X157" s="21">
        <v>0</v>
      </c>
      <c r="Y157" s="21"/>
      <c r="Z157" s="21"/>
      <c r="AA157" s="21"/>
      <c r="AB157" s="21"/>
      <c r="AC157" t="s">
        <v>1330</v>
      </c>
      <c r="AD157" t="s">
        <v>871</v>
      </c>
      <c r="AE157" s="21">
        <v>2024</v>
      </c>
      <c r="AF157">
        <v>11</v>
      </c>
      <c r="AG157" t="s">
        <v>872</v>
      </c>
    </row>
    <row r="158" spans="1:33">
      <c r="A158">
        <v>27</v>
      </c>
      <c r="B158">
        <v>33</v>
      </c>
      <c r="C158" t="s">
        <v>74</v>
      </c>
      <c r="D158" t="s">
        <v>873</v>
      </c>
      <c r="E158" t="s">
        <v>874</v>
      </c>
      <c r="F158">
        <v>49682232</v>
      </c>
      <c r="G158" s="153" t="s">
        <v>831</v>
      </c>
      <c r="H158" s="2" t="s">
        <v>1318</v>
      </c>
      <c r="J158" s="21">
        <v>0</v>
      </c>
      <c r="K158" s="21">
        <v>29227</v>
      </c>
      <c r="L158" s="21">
        <v>5554</v>
      </c>
      <c r="M158" s="21"/>
      <c r="N158" s="21"/>
      <c r="O158" s="21">
        <v>34781</v>
      </c>
      <c r="P158" s="21"/>
      <c r="Q158" s="21"/>
      <c r="R158" s="21"/>
      <c r="S158" s="21"/>
      <c r="T158" s="21">
        <v>0</v>
      </c>
      <c r="U158" s="21"/>
      <c r="V158" s="21"/>
      <c r="W158" s="21"/>
      <c r="X158" s="21">
        <v>0</v>
      </c>
      <c r="Y158" s="21"/>
      <c r="Z158" s="21"/>
      <c r="AA158" s="21"/>
      <c r="AB158" s="21"/>
      <c r="AC158" t="s">
        <v>1330</v>
      </c>
      <c r="AD158" t="s">
        <v>871</v>
      </c>
      <c r="AE158" s="21">
        <v>2024</v>
      </c>
      <c r="AF158">
        <v>11</v>
      </c>
      <c r="AG158" t="s">
        <v>872</v>
      </c>
    </row>
    <row r="159" spans="1:33">
      <c r="A159">
        <v>28</v>
      </c>
      <c r="B159">
        <v>33</v>
      </c>
      <c r="C159" t="s">
        <v>74</v>
      </c>
      <c r="D159" t="s">
        <v>1246</v>
      </c>
      <c r="E159" t="s">
        <v>1247</v>
      </c>
      <c r="F159">
        <v>70286</v>
      </c>
      <c r="G159" s="153" t="s">
        <v>833</v>
      </c>
      <c r="H159" s="2" t="s">
        <v>1319</v>
      </c>
      <c r="J159" s="21">
        <v>0</v>
      </c>
      <c r="K159" s="21">
        <v>149614</v>
      </c>
      <c r="L159" s="21">
        <v>28427</v>
      </c>
      <c r="M159" s="21"/>
      <c r="N159" s="21"/>
      <c r="O159" s="21">
        <v>178041</v>
      </c>
      <c r="P159" s="21"/>
      <c r="Q159" s="21"/>
      <c r="R159" s="21"/>
      <c r="S159" s="21"/>
      <c r="T159" s="21">
        <v>0</v>
      </c>
      <c r="U159" s="21"/>
      <c r="V159" s="21"/>
      <c r="W159" s="21"/>
      <c r="X159" s="21">
        <v>0</v>
      </c>
      <c r="Y159" s="21"/>
      <c r="Z159" s="21"/>
      <c r="AA159" s="21"/>
      <c r="AB159" s="21"/>
      <c r="AC159" t="s">
        <v>1330</v>
      </c>
      <c r="AD159" t="s">
        <v>871</v>
      </c>
      <c r="AE159" s="21">
        <v>2024</v>
      </c>
      <c r="AF159">
        <v>11</v>
      </c>
      <c r="AG159" t="s">
        <v>872</v>
      </c>
    </row>
    <row r="160" spans="1:33">
      <c r="A160">
        <v>29</v>
      </c>
      <c r="B160">
        <v>33</v>
      </c>
      <c r="C160" t="s">
        <v>74</v>
      </c>
      <c r="D160" t="s">
        <v>1246</v>
      </c>
      <c r="E160" t="s">
        <v>1247</v>
      </c>
      <c r="F160">
        <v>70288</v>
      </c>
      <c r="G160" s="153" t="s">
        <v>833</v>
      </c>
      <c r="H160" s="2" t="s">
        <v>1319</v>
      </c>
      <c r="J160" s="21">
        <v>0</v>
      </c>
      <c r="K160" s="21">
        <v>149614</v>
      </c>
      <c r="L160" s="21">
        <v>28427</v>
      </c>
      <c r="M160" s="21"/>
      <c r="N160" s="21"/>
      <c r="O160" s="21">
        <v>178041</v>
      </c>
      <c r="P160" s="21"/>
      <c r="Q160" s="21"/>
      <c r="R160" s="21"/>
      <c r="S160" s="21"/>
      <c r="T160" s="21">
        <v>0</v>
      </c>
      <c r="U160" s="21"/>
      <c r="V160" s="21"/>
      <c r="W160" s="21"/>
      <c r="X160" s="21">
        <v>0</v>
      </c>
      <c r="Y160" s="21"/>
      <c r="Z160" s="21"/>
      <c r="AA160" s="21"/>
      <c r="AB160" s="21"/>
      <c r="AC160" t="s">
        <v>1330</v>
      </c>
      <c r="AD160" t="s">
        <v>871</v>
      </c>
      <c r="AE160" s="21">
        <v>2024</v>
      </c>
      <c r="AF160">
        <v>11</v>
      </c>
      <c r="AG160" t="s">
        <v>872</v>
      </c>
    </row>
    <row r="161" spans="1:33">
      <c r="A161">
        <v>30</v>
      </c>
      <c r="B161">
        <v>33</v>
      </c>
      <c r="C161" t="s">
        <v>74</v>
      </c>
      <c r="D161" t="s">
        <v>1246</v>
      </c>
      <c r="E161" t="s">
        <v>1247</v>
      </c>
      <c r="F161">
        <v>70305</v>
      </c>
      <c r="G161" s="154" t="s">
        <v>833</v>
      </c>
      <c r="H161" s="2" t="s">
        <v>1320</v>
      </c>
      <c r="J161" s="21">
        <v>0</v>
      </c>
      <c r="K161" s="21">
        <v>149614</v>
      </c>
      <c r="L161" s="21">
        <v>28427</v>
      </c>
      <c r="M161" s="21"/>
      <c r="N161" s="21"/>
      <c r="O161" s="21">
        <v>178041</v>
      </c>
      <c r="P161" s="21"/>
      <c r="Q161" s="21"/>
      <c r="R161" s="21"/>
      <c r="S161" s="21"/>
      <c r="T161" s="21">
        <v>0</v>
      </c>
      <c r="U161" s="21"/>
      <c r="V161" s="21"/>
      <c r="W161" s="21"/>
      <c r="X161" s="21">
        <v>0</v>
      </c>
      <c r="Y161" s="21"/>
      <c r="Z161" s="21"/>
      <c r="AA161" s="21"/>
      <c r="AB161" s="21"/>
      <c r="AC161" t="s">
        <v>1330</v>
      </c>
      <c r="AD161" t="s">
        <v>871</v>
      </c>
      <c r="AE161" s="21">
        <v>2024</v>
      </c>
      <c r="AF161">
        <v>11</v>
      </c>
      <c r="AG161" t="s">
        <v>872</v>
      </c>
    </row>
    <row r="162" spans="1:33">
      <c r="A162">
        <v>31</v>
      </c>
      <c r="B162">
        <v>34</v>
      </c>
      <c r="C162" t="s">
        <v>74</v>
      </c>
      <c r="D162" t="s">
        <v>873</v>
      </c>
      <c r="E162" t="s">
        <v>874</v>
      </c>
      <c r="F162">
        <v>12905039</v>
      </c>
      <c r="G162" s="154">
        <v>45602</v>
      </c>
      <c r="H162" s="155">
        <v>45454.896006944444</v>
      </c>
      <c r="J162" s="21">
        <v>0</v>
      </c>
      <c r="K162" s="21">
        <v>0</v>
      </c>
      <c r="L162" s="21">
        <v>0</v>
      </c>
      <c r="M162" s="21"/>
      <c r="N162" s="21"/>
      <c r="O162" s="21">
        <v>0</v>
      </c>
      <c r="P162" s="21"/>
      <c r="Q162" s="21"/>
      <c r="R162" s="21"/>
      <c r="S162" s="21"/>
      <c r="T162" s="21">
        <v>0</v>
      </c>
      <c r="U162" s="21"/>
      <c r="V162" s="21"/>
      <c r="W162" s="21"/>
      <c r="X162" s="21">
        <v>0</v>
      </c>
      <c r="Y162" s="21"/>
      <c r="Z162" s="21"/>
      <c r="AA162" s="21"/>
      <c r="AB162" s="21"/>
      <c r="AC162" t="s">
        <v>1330</v>
      </c>
      <c r="AD162" t="s">
        <v>871</v>
      </c>
      <c r="AE162" s="21">
        <v>2024</v>
      </c>
      <c r="AF162">
        <v>11</v>
      </c>
      <c r="AG162" t="s">
        <v>880</v>
      </c>
    </row>
    <row r="163" spans="1:33">
      <c r="A163">
        <v>32</v>
      </c>
      <c r="B163">
        <v>34</v>
      </c>
      <c r="C163" t="s">
        <v>74</v>
      </c>
      <c r="D163" t="s">
        <v>107</v>
      </c>
      <c r="E163" t="s">
        <v>108</v>
      </c>
      <c r="F163">
        <v>2496</v>
      </c>
      <c r="G163" s="154">
        <v>45597</v>
      </c>
      <c r="H163" s="2">
        <v>45484.632060185184</v>
      </c>
      <c r="J163" s="21">
        <v>2468700</v>
      </c>
      <c r="K163" s="21">
        <v>0</v>
      </c>
      <c r="L163" s="21">
        <v>0</v>
      </c>
      <c r="M163" s="21"/>
      <c r="N163" s="21"/>
      <c r="O163" s="21">
        <v>2468700</v>
      </c>
      <c r="P163" s="21"/>
      <c r="Q163" s="21"/>
      <c r="R163" s="21"/>
      <c r="S163" s="21"/>
      <c r="T163" s="21">
        <v>0</v>
      </c>
      <c r="U163" s="21"/>
      <c r="V163" s="21"/>
      <c r="W163" s="21"/>
      <c r="X163" s="21">
        <v>0</v>
      </c>
      <c r="Y163" s="21"/>
      <c r="Z163" s="21"/>
      <c r="AA163" s="21"/>
      <c r="AB163" s="21"/>
      <c r="AC163" t="s">
        <v>1330</v>
      </c>
      <c r="AD163" t="s">
        <v>871</v>
      </c>
      <c r="AE163" s="21">
        <v>2024</v>
      </c>
      <c r="AF163">
        <v>11</v>
      </c>
      <c r="AG163" t="s">
        <v>880</v>
      </c>
    </row>
    <row r="164" spans="1:33">
      <c r="A164">
        <v>33</v>
      </c>
      <c r="B164">
        <v>34</v>
      </c>
      <c r="C164" t="s">
        <v>74</v>
      </c>
      <c r="D164" t="s">
        <v>873</v>
      </c>
      <c r="E164" t="s">
        <v>874</v>
      </c>
      <c r="F164">
        <v>12941281</v>
      </c>
      <c r="G164" s="154" t="s">
        <v>829</v>
      </c>
      <c r="H164" s="2" t="s">
        <v>1321</v>
      </c>
      <c r="J164" s="21">
        <v>0</v>
      </c>
      <c r="K164" s="21">
        <v>0</v>
      </c>
      <c r="L164" s="21">
        <v>0</v>
      </c>
      <c r="M164" s="21"/>
      <c r="N164" s="21"/>
      <c r="O164" s="21">
        <v>0</v>
      </c>
      <c r="P164" s="21"/>
      <c r="Q164" s="21"/>
      <c r="R164" s="21"/>
      <c r="S164" s="21"/>
      <c r="T164" s="21">
        <v>0</v>
      </c>
      <c r="U164" s="21"/>
      <c r="V164" s="21"/>
      <c r="W164" s="21"/>
      <c r="X164" s="21">
        <v>0</v>
      </c>
      <c r="Y164" s="21"/>
      <c r="Z164" s="21"/>
      <c r="AA164" s="21"/>
      <c r="AB164" s="21"/>
      <c r="AC164" t="s">
        <v>1330</v>
      </c>
      <c r="AD164" t="s">
        <v>871</v>
      </c>
      <c r="AE164" s="21">
        <v>2024</v>
      </c>
      <c r="AF164">
        <v>11</v>
      </c>
      <c r="AG164" t="s">
        <v>880</v>
      </c>
    </row>
    <row r="165" spans="1:33">
      <c r="A165">
        <v>34</v>
      </c>
      <c r="B165">
        <v>34</v>
      </c>
      <c r="C165" t="s">
        <v>74</v>
      </c>
      <c r="D165" t="s">
        <v>873</v>
      </c>
      <c r="E165" t="s">
        <v>874</v>
      </c>
      <c r="F165">
        <v>12944788</v>
      </c>
      <c r="G165" s="154" t="s">
        <v>830</v>
      </c>
      <c r="H165" s="2" t="s">
        <v>1322</v>
      </c>
      <c r="J165" s="21">
        <v>0</v>
      </c>
      <c r="K165" s="21">
        <v>0</v>
      </c>
      <c r="L165" s="21">
        <v>0</v>
      </c>
      <c r="M165" s="21"/>
      <c r="N165" s="21"/>
      <c r="O165" s="21">
        <v>0</v>
      </c>
      <c r="P165" s="21"/>
      <c r="Q165" s="21"/>
      <c r="R165" s="21"/>
      <c r="S165" s="21"/>
      <c r="T165" s="21">
        <v>0</v>
      </c>
      <c r="U165" s="21"/>
      <c r="V165" s="21"/>
      <c r="W165" s="21"/>
      <c r="X165" s="21">
        <v>0</v>
      </c>
      <c r="Y165" s="21"/>
      <c r="Z165" s="21"/>
      <c r="AA165" s="21"/>
      <c r="AB165" s="21"/>
      <c r="AC165" t="s">
        <v>1330</v>
      </c>
      <c r="AD165" t="s">
        <v>871</v>
      </c>
      <c r="AE165" s="21">
        <v>2024</v>
      </c>
      <c r="AF165">
        <v>11</v>
      </c>
      <c r="AG165" t="s">
        <v>880</v>
      </c>
    </row>
    <row r="166" spans="1:33">
      <c r="A166">
        <v>35</v>
      </c>
      <c r="B166">
        <v>34</v>
      </c>
      <c r="C166" t="s">
        <v>74</v>
      </c>
      <c r="D166" t="s">
        <v>873</v>
      </c>
      <c r="E166" t="s">
        <v>874</v>
      </c>
      <c r="F166">
        <v>12944789</v>
      </c>
      <c r="G166" s="154" t="s">
        <v>830</v>
      </c>
      <c r="H166" s="2" t="s">
        <v>1323</v>
      </c>
      <c r="J166" s="21">
        <v>0</v>
      </c>
      <c r="K166" s="21">
        <v>0</v>
      </c>
      <c r="L166" s="21">
        <v>0</v>
      </c>
      <c r="M166" s="21"/>
      <c r="N166" s="21"/>
      <c r="O166" s="21">
        <v>0</v>
      </c>
      <c r="P166" s="21"/>
      <c r="Q166" s="21"/>
      <c r="R166" s="21"/>
      <c r="S166" s="21"/>
      <c r="T166" s="21">
        <v>0</v>
      </c>
      <c r="U166" s="21"/>
      <c r="V166" s="21"/>
      <c r="W166" s="21"/>
      <c r="X166" s="21">
        <v>0</v>
      </c>
      <c r="Y166" s="21"/>
      <c r="Z166" s="21"/>
      <c r="AA166" s="21"/>
      <c r="AB166" s="21"/>
      <c r="AC166" t="s">
        <v>1330</v>
      </c>
      <c r="AD166" t="s">
        <v>871</v>
      </c>
      <c r="AE166" s="21">
        <v>2024</v>
      </c>
      <c r="AF166">
        <v>11</v>
      </c>
      <c r="AG166" t="s">
        <v>880</v>
      </c>
    </row>
    <row r="167" spans="1:33">
      <c r="A167">
        <v>36</v>
      </c>
      <c r="B167">
        <v>34</v>
      </c>
      <c r="C167" t="s">
        <v>74</v>
      </c>
      <c r="D167" t="s">
        <v>873</v>
      </c>
      <c r="E167" t="s">
        <v>874</v>
      </c>
      <c r="F167">
        <v>12945395</v>
      </c>
      <c r="G167" s="153" t="s">
        <v>831</v>
      </c>
      <c r="H167" s="2" t="s">
        <v>1324</v>
      </c>
      <c r="J167" s="21">
        <v>0</v>
      </c>
      <c r="K167" s="21">
        <v>0</v>
      </c>
      <c r="L167" s="21">
        <v>0</v>
      </c>
      <c r="M167" s="21"/>
      <c r="N167" s="21"/>
      <c r="O167" s="21">
        <v>0</v>
      </c>
      <c r="P167" s="21"/>
      <c r="Q167" s="21"/>
      <c r="R167" s="21"/>
      <c r="S167" s="21"/>
      <c r="T167" s="21">
        <v>0</v>
      </c>
      <c r="U167" s="21"/>
      <c r="V167" s="21"/>
      <c r="W167" s="21"/>
      <c r="X167" s="21">
        <v>0</v>
      </c>
      <c r="Y167" s="21"/>
      <c r="Z167" s="21"/>
      <c r="AA167" s="21"/>
      <c r="AB167" s="21"/>
      <c r="AC167" t="s">
        <v>1330</v>
      </c>
      <c r="AD167" t="s">
        <v>871</v>
      </c>
      <c r="AE167" s="21">
        <v>2024</v>
      </c>
      <c r="AF167">
        <v>11</v>
      </c>
      <c r="AG167" t="s">
        <v>880</v>
      </c>
    </row>
    <row r="168" spans="1:33">
      <c r="A168">
        <v>37</v>
      </c>
      <c r="B168">
        <v>34</v>
      </c>
      <c r="C168" t="s">
        <v>74</v>
      </c>
      <c r="D168" t="s">
        <v>873</v>
      </c>
      <c r="E168" t="s">
        <v>874</v>
      </c>
      <c r="F168">
        <v>12945510</v>
      </c>
      <c r="G168" s="153" t="s">
        <v>831</v>
      </c>
      <c r="H168" s="2" t="s">
        <v>1325</v>
      </c>
      <c r="J168" s="21">
        <v>0</v>
      </c>
      <c r="K168" s="21">
        <v>0</v>
      </c>
      <c r="L168" s="21">
        <v>0</v>
      </c>
      <c r="M168" s="21"/>
      <c r="N168" s="21"/>
      <c r="O168" s="21">
        <v>0</v>
      </c>
      <c r="P168" s="21"/>
      <c r="Q168" s="21"/>
      <c r="R168" s="21"/>
      <c r="S168" s="21"/>
      <c r="T168" s="21">
        <v>0</v>
      </c>
      <c r="U168" s="21"/>
      <c r="V168" s="21"/>
      <c r="W168" s="21"/>
      <c r="X168" s="21">
        <v>0</v>
      </c>
      <c r="Y168" s="21"/>
      <c r="Z168" s="21"/>
      <c r="AA168" s="21"/>
      <c r="AB168" s="21"/>
      <c r="AC168" t="s">
        <v>1330</v>
      </c>
      <c r="AD168" t="s">
        <v>871</v>
      </c>
      <c r="AE168" s="21">
        <v>2024</v>
      </c>
      <c r="AF168">
        <v>11</v>
      </c>
      <c r="AG168" t="s">
        <v>880</v>
      </c>
    </row>
    <row r="169" spans="1:33">
      <c r="A169">
        <v>38</v>
      </c>
      <c r="B169">
        <v>34</v>
      </c>
      <c r="C169" t="s">
        <v>74</v>
      </c>
      <c r="D169" t="s">
        <v>873</v>
      </c>
      <c r="E169" t="s">
        <v>874</v>
      </c>
      <c r="F169">
        <v>12999460</v>
      </c>
      <c r="G169" s="154" t="s">
        <v>832</v>
      </c>
      <c r="H169" s="2" t="s">
        <v>1326</v>
      </c>
      <c r="J169" s="21">
        <v>0</v>
      </c>
      <c r="K169" s="21">
        <v>0</v>
      </c>
      <c r="L169" s="21">
        <v>0</v>
      </c>
      <c r="M169" s="21"/>
      <c r="N169" s="21"/>
      <c r="O169" s="21">
        <v>0</v>
      </c>
      <c r="P169" s="21"/>
      <c r="Q169" s="21"/>
      <c r="R169" s="21"/>
      <c r="S169" s="21"/>
      <c r="T169" s="21">
        <v>0</v>
      </c>
      <c r="U169" s="21"/>
      <c r="V169" s="21"/>
      <c r="W169" s="21"/>
      <c r="X169" s="21">
        <v>0</v>
      </c>
      <c r="Y169" s="21"/>
      <c r="Z169" s="21"/>
      <c r="AA169" s="21"/>
      <c r="AB169" s="21"/>
      <c r="AC169" t="s">
        <v>1330</v>
      </c>
      <c r="AD169" t="s">
        <v>871</v>
      </c>
      <c r="AE169" s="21">
        <v>2024</v>
      </c>
      <c r="AF169">
        <v>11</v>
      </c>
      <c r="AG169" t="s">
        <v>880</v>
      </c>
    </row>
    <row r="170" spans="1:33">
      <c r="A170">
        <v>39</v>
      </c>
      <c r="B170">
        <v>34</v>
      </c>
      <c r="C170" t="s">
        <v>74</v>
      </c>
      <c r="D170" t="s">
        <v>873</v>
      </c>
      <c r="E170" t="s">
        <v>874</v>
      </c>
      <c r="F170">
        <v>12999461</v>
      </c>
      <c r="G170" s="154" t="s">
        <v>832</v>
      </c>
      <c r="H170" s="2" t="s">
        <v>1327</v>
      </c>
      <c r="J170" s="21">
        <v>0</v>
      </c>
      <c r="K170" s="21">
        <v>0</v>
      </c>
      <c r="L170" s="21">
        <v>0</v>
      </c>
      <c r="M170" s="21"/>
      <c r="N170" s="21"/>
      <c r="O170" s="21">
        <v>0</v>
      </c>
      <c r="P170" s="21"/>
      <c r="Q170" s="21"/>
      <c r="R170" s="21"/>
      <c r="S170" s="21"/>
      <c r="T170" s="21">
        <v>0</v>
      </c>
      <c r="U170" s="21"/>
      <c r="V170" s="21"/>
      <c r="W170" s="21"/>
      <c r="X170" s="21">
        <v>0</v>
      </c>
      <c r="Y170" s="21"/>
      <c r="Z170" s="21"/>
      <c r="AA170" s="21"/>
      <c r="AB170" s="21"/>
      <c r="AC170" t="s">
        <v>1330</v>
      </c>
      <c r="AD170" t="s">
        <v>871</v>
      </c>
      <c r="AE170" s="21">
        <v>2024</v>
      </c>
      <c r="AF170">
        <v>11</v>
      </c>
      <c r="AG170" t="s">
        <v>880</v>
      </c>
    </row>
    <row r="171" spans="1:33">
      <c r="A171">
        <v>40</v>
      </c>
      <c r="B171">
        <v>61</v>
      </c>
      <c r="C171" t="s">
        <v>74</v>
      </c>
      <c r="D171" t="s">
        <v>1222</v>
      </c>
      <c r="E171" t="s">
        <v>1328</v>
      </c>
      <c r="F171">
        <v>182508</v>
      </c>
      <c r="G171" s="154">
        <v>45601</v>
      </c>
      <c r="H171" s="2">
        <v>45423.444884259261</v>
      </c>
      <c r="J171" s="21">
        <v>0</v>
      </c>
      <c r="K171" s="21">
        <v>-331940</v>
      </c>
      <c r="L171" s="21">
        <v>-63069</v>
      </c>
      <c r="M171" s="21">
        <v>0</v>
      </c>
      <c r="N171" s="21"/>
      <c r="O171" s="21">
        <v>-395009</v>
      </c>
      <c r="P171" s="21"/>
      <c r="Q171" s="21"/>
      <c r="R171" s="21"/>
      <c r="S171" s="21"/>
      <c r="T171" s="21">
        <v>0</v>
      </c>
      <c r="U171" s="21"/>
      <c r="V171" s="21"/>
      <c r="W171" s="21"/>
      <c r="X171" s="21">
        <v>0</v>
      </c>
      <c r="Y171" s="21"/>
      <c r="Z171" s="21"/>
      <c r="AA171" s="21"/>
      <c r="AB171" s="21"/>
      <c r="AC171" t="s">
        <v>1330</v>
      </c>
      <c r="AD171" t="s">
        <v>871</v>
      </c>
      <c r="AE171" s="21">
        <v>2024</v>
      </c>
      <c r="AF171">
        <v>11</v>
      </c>
      <c r="AG171" t="s">
        <v>881</v>
      </c>
    </row>
    <row r="172" spans="1:33">
      <c r="A172">
        <v>41</v>
      </c>
      <c r="B172">
        <v>61</v>
      </c>
      <c r="C172" t="s">
        <v>74</v>
      </c>
      <c r="D172" t="s">
        <v>1222</v>
      </c>
      <c r="E172" t="s">
        <v>1328</v>
      </c>
      <c r="F172">
        <v>182509</v>
      </c>
      <c r="G172" s="154">
        <v>45601</v>
      </c>
      <c r="H172" s="2">
        <v>45423.448807870373</v>
      </c>
      <c r="J172" s="21">
        <v>0</v>
      </c>
      <c r="K172" s="21">
        <v>-232358</v>
      </c>
      <c r="L172" s="21">
        <v>-44148</v>
      </c>
      <c r="M172" s="21">
        <v>0</v>
      </c>
      <c r="N172" s="21"/>
      <c r="O172" s="21">
        <v>-276506</v>
      </c>
      <c r="P172" s="21"/>
      <c r="Q172" s="21"/>
      <c r="R172" s="21"/>
      <c r="S172" s="21"/>
      <c r="T172" s="21">
        <v>0</v>
      </c>
      <c r="U172" s="21"/>
      <c r="V172" s="21"/>
      <c r="W172" s="21"/>
      <c r="X172" s="21">
        <v>0</v>
      </c>
      <c r="Y172" s="21"/>
      <c r="Z172" s="21"/>
      <c r="AA172" s="21"/>
      <c r="AB172" s="21"/>
      <c r="AC172" t="s">
        <v>1330</v>
      </c>
      <c r="AD172" t="s">
        <v>871</v>
      </c>
      <c r="AE172" s="21">
        <v>2024</v>
      </c>
      <c r="AF172">
        <v>11</v>
      </c>
      <c r="AG172" t="s">
        <v>881</v>
      </c>
    </row>
    <row r="173" spans="1:33">
      <c r="A173">
        <v>42</v>
      </c>
      <c r="B173">
        <v>61</v>
      </c>
      <c r="C173" t="s">
        <v>74</v>
      </c>
      <c r="D173" t="s">
        <v>1222</v>
      </c>
      <c r="E173" t="s">
        <v>1328</v>
      </c>
      <c r="F173">
        <v>184115</v>
      </c>
      <c r="G173" s="154" t="s">
        <v>827</v>
      </c>
      <c r="H173" s="2" t="s">
        <v>1329</v>
      </c>
      <c r="J173" s="21">
        <v>0</v>
      </c>
      <c r="K173" s="21">
        <v>-145748</v>
      </c>
      <c r="L173" s="21">
        <v>-27692</v>
      </c>
      <c r="M173" s="21">
        <v>0</v>
      </c>
      <c r="N173" s="21"/>
      <c r="O173" s="21">
        <v>-173440</v>
      </c>
      <c r="P173" s="21"/>
      <c r="Q173" s="21"/>
      <c r="R173" s="21"/>
      <c r="S173" s="21"/>
      <c r="T173" s="21">
        <v>0</v>
      </c>
      <c r="U173" s="21"/>
      <c r="V173" s="21"/>
      <c r="W173" s="21"/>
      <c r="X173" s="21">
        <v>0</v>
      </c>
      <c r="Y173" s="21"/>
      <c r="Z173" s="21"/>
      <c r="AA173" s="21"/>
      <c r="AB173" s="21"/>
      <c r="AC173" t="s">
        <v>1330</v>
      </c>
      <c r="AD173" t="s">
        <v>871</v>
      </c>
      <c r="AE173" s="21">
        <v>2024</v>
      </c>
      <c r="AF173">
        <v>11</v>
      </c>
      <c r="AG173" t="s">
        <v>881</v>
      </c>
    </row>
    <row r="174" spans="1:33">
      <c r="A174">
        <v>43</v>
      </c>
      <c r="B174">
        <v>914</v>
      </c>
      <c r="C174" t="s">
        <v>74</v>
      </c>
      <c r="D174" t="s">
        <v>844</v>
      </c>
      <c r="E174" t="s">
        <v>845</v>
      </c>
      <c r="F174">
        <v>3670096165</v>
      </c>
      <c r="G174" s="154" t="s">
        <v>823</v>
      </c>
      <c r="H174" s="2">
        <v>45363.313113425924</v>
      </c>
      <c r="J174" s="21">
        <v>0</v>
      </c>
      <c r="K174" s="21">
        <v>1324379</v>
      </c>
      <c r="L174" s="21">
        <v>251632</v>
      </c>
      <c r="M174" s="21"/>
      <c r="N174" s="21"/>
      <c r="O174" s="21">
        <v>1576011</v>
      </c>
      <c r="P174" s="21"/>
      <c r="Q174" s="21"/>
      <c r="R174" s="21"/>
      <c r="S174" s="21"/>
      <c r="T174" s="21"/>
      <c r="U174" s="21"/>
      <c r="V174" s="21"/>
      <c r="W174" s="21"/>
      <c r="X174" s="21">
        <v>0</v>
      </c>
      <c r="Y174" s="21"/>
      <c r="Z174" s="21"/>
      <c r="AA174" s="21"/>
      <c r="AB174" s="21"/>
      <c r="AC174" t="s">
        <v>1330</v>
      </c>
      <c r="AD174" t="s">
        <v>871</v>
      </c>
      <c r="AE174" s="21">
        <v>2024</v>
      </c>
      <c r="AF174">
        <v>11</v>
      </c>
      <c r="AG174" t="s">
        <v>1142</v>
      </c>
    </row>
    <row r="175" spans="1:33">
      <c r="A175">
        <v>44</v>
      </c>
      <c r="B175">
        <v>914</v>
      </c>
      <c r="C175" t="s">
        <v>74</v>
      </c>
      <c r="D175" t="s">
        <v>844</v>
      </c>
      <c r="E175" t="s">
        <v>845</v>
      </c>
      <c r="F175">
        <v>3670096013</v>
      </c>
      <c r="G175" s="154" t="s">
        <v>831</v>
      </c>
      <c r="H175" s="2">
        <v>45363.314004629632</v>
      </c>
      <c r="J175" s="21">
        <v>0</v>
      </c>
      <c r="K175" s="21">
        <v>36624374</v>
      </c>
      <c r="L175" s="21">
        <v>6958631</v>
      </c>
      <c r="M175" s="21"/>
      <c r="N175" s="21"/>
      <c r="O175" s="21">
        <v>43583005</v>
      </c>
      <c r="P175" s="21"/>
      <c r="Q175" s="21"/>
      <c r="R175" s="21"/>
      <c r="S175" s="21"/>
      <c r="T175" s="21"/>
      <c r="U175" s="21"/>
      <c r="V175" s="21"/>
      <c r="W175" s="21"/>
      <c r="X175" s="21">
        <v>0</v>
      </c>
      <c r="Y175" s="21"/>
      <c r="Z175" s="21"/>
      <c r="AA175" s="21"/>
      <c r="AB175" s="21"/>
      <c r="AC175" t="s">
        <v>1330</v>
      </c>
      <c r="AD175" t="s">
        <v>871</v>
      </c>
      <c r="AE175" s="21">
        <v>2024</v>
      </c>
      <c r="AF175">
        <v>11</v>
      </c>
      <c r="AG175" t="s">
        <v>1142</v>
      </c>
    </row>
    <row r="176" spans="1:33">
      <c r="A176">
        <v>45</v>
      </c>
      <c r="B176">
        <v>914</v>
      </c>
      <c r="C176" t="s">
        <v>74</v>
      </c>
      <c r="D176" t="s">
        <v>844</v>
      </c>
      <c r="E176" t="s">
        <v>845</v>
      </c>
      <c r="F176">
        <v>3670096105</v>
      </c>
      <c r="G176" s="154" t="s">
        <v>832</v>
      </c>
      <c r="H176" s="2">
        <v>45363.314872685187</v>
      </c>
      <c r="J176" s="21">
        <v>0</v>
      </c>
      <c r="K176" s="21">
        <v>27593958</v>
      </c>
      <c r="L176" s="21">
        <v>5242852</v>
      </c>
      <c r="M176" s="21"/>
      <c r="N176" s="21"/>
      <c r="O176" s="21">
        <v>32836810</v>
      </c>
      <c r="P176" s="21"/>
      <c r="Q176" s="21"/>
      <c r="R176" s="21"/>
      <c r="S176" s="21"/>
      <c r="T176" s="21"/>
      <c r="U176" s="21"/>
      <c r="V176" s="21"/>
      <c r="W176" s="21"/>
      <c r="X176" s="21">
        <v>0</v>
      </c>
      <c r="Y176" s="21"/>
      <c r="Z176" s="21"/>
      <c r="AA176" s="21"/>
      <c r="AB176" s="21"/>
      <c r="AC176" t="s">
        <v>1330</v>
      </c>
      <c r="AD176" t="s">
        <v>871</v>
      </c>
      <c r="AE176" s="21">
        <v>2024</v>
      </c>
      <c r="AF176">
        <v>11</v>
      </c>
      <c r="AG176" t="s">
        <v>1142</v>
      </c>
    </row>
    <row r="177" spans="1:33">
      <c r="A177">
        <v>46</v>
      </c>
      <c r="B177">
        <v>914</v>
      </c>
      <c r="C177" t="s">
        <v>74</v>
      </c>
      <c r="D177" t="s">
        <v>844</v>
      </c>
      <c r="E177" t="s">
        <v>845</v>
      </c>
      <c r="F177">
        <v>3670096107</v>
      </c>
      <c r="G177" s="154" t="s">
        <v>828</v>
      </c>
      <c r="H177" s="2">
        <v>45363.315532407411</v>
      </c>
      <c r="J177" s="21">
        <v>0</v>
      </c>
      <c r="K177" s="21">
        <v>16413258</v>
      </c>
      <c r="L177" s="21">
        <v>3118519</v>
      </c>
      <c r="M177" s="21"/>
      <c r="N177" s="21"/>
      <c r="O177" s="21">
        <v>19531777</v>
      </c>
      <c r="P177" s="21"/>
      <c r="Q177" s="21"/>
      <c r="R177" s="21"/>
      <c r="S177" s="21"/>
      <c r="T177" s="21"/>
      <c r="U177" s="21"/>
      <c r="V177" s="21"/>
      <c r="W177" s="21"/>
      <c r="X177" s="21">
        <v>0</v>
      </c>
      <c r="Y177" s="21"/>
      <c r="Z177" s="21"/>
      <c r="AA177" s="21"/>
      <c r="AB177" s="21"/>
      <c r="AC177" t="s">
        <v>1330</v>
      </c>
      <c r="AD177" t="s">
        <v>871</v>
      </c>
      <c r="AE177" s="21">
        <v>2024</v>
      </c>
      <c r="AF177">
        <v>11</v>
      </c>
      <c r="AG177" t="s">
        <v>1142</v>
      </c>
    </row>
    <row r="178" spans="1:33">
      <c r="A178">
        <v>1</v>
      </c>
      <c r="B178">
        <v>33</v>
      </c>
      <c r="C178" t="s">
        <v>74</v>
      </c>
      <c r="D178" t="s">
        <v>109</v>
      </c>
      <c r="E178" t="s">
        <v>875</v>
      </c>
      <c r="F178">
        <v>4455</v>
      </c>
      <c r="G178" s="154">
        <v>45627</v>
      </c>
      <c r="H178" s="2">
        <v>45334.712372685186</v>
      </c>
      <c r="J178" s="21">
        <v>0</v>
      </c>
      <c r="K178" s="21">
        <v>574100</v>
      </c>
      <c r="L178" s="21">
        <v>109079</v>
      </c>
      <c r="M178" s="21"/>
      <c r="N178" s="21"/>
      <c r="O178" s="21">
        <v>683179</v>
      </c>
      <c r="P178" s="21"/>
      <c r="Q178" s="21"/>
      <c r="R178" s="21"/>
      <c r="S178" s="21"/>
      <c r="T178" s="21">
        <v>0</v>
      </c>
      <c r="U178" s="21"/>
      <c r="V178" s="21"/>
      <c r="W178" s="21"/>
      <c r="X178" s="21">
        <v>0</v>
      </c>
      <c r="Y178" s="21"/>
      <c r="Z178" s="21"/>
      <c r="AA178" s="21"/>
      <c r="AB178" s="21"/>
      <c r="AC178" t="s">
        <v>1351</v>
      </c>
      <c r="AD178" t="s">
        <v>871</v>
      </c>
      <c r="AE178" s="21">
        <v>2024</v>
      </c>
      <c r="AF178">
        <v>12</v>
      </c>
      <c r="AG178" t="s">
        <v>872</v>
      </c>
    </row>
    <row r="179" spans="1:33">
      <c r="A179">
        <v>2</v>
      </c>
      <c r="B179">
        <v>33</v>
      </c>
      <c r="C179" t="s">
        <v>74</v>
      </c>
      <c r="D179" t="s">
        <v>1258</v>
      </c>
      <c r="E179" t="s">
        <v>1259</v>
      </c>
      <c r="F179">
        <v>13030</v>
      </c>
      <c r="G179" s="154" t="s">
        <v>833</v>
      </c>
      <c r="H179" s="2">
        <v>45334.735682870371</v>
      </c>
      <c r="J179" s="21">
        <v>0</v>
      </c>
      <c r="K179" s="21">
        <v>496779</v>
      </c>
      <c r="L179" s="21">
        <v>94388</v>
      </c>
      <c r="M179" s="21"/>
      <c r="N179" s="21"/>
      <c r="O179" s="21">
        <v>591167</v>
      </c>
      <c r="P179" s="21"/>
      <c r="Q179" s="21"/>
      <c r="R179" s="21"/>
      <c r="S179" s="21"/>
      <c r="T179" s="21">
        <v>0</v>
      </c>
      <c r="U179" s="21"/>
      <c r="V179" s="21"/>
      <c r="W179" s="21"/>
      <c r="X179" s="21">
        <v>0</v>
      </c>
      <c r="Y179" s="21"/>
      <c r="Z179" s="21"/>
      <c r="AA179" s="21"/>
      <c r="AB179" s="21"/>
      <c r="AC179" t="s">
        <v>1351</v>
      </c>
      <c r="AD179" t="s">
        <v>871</v>
      </c>
      <c r="AE179" s="21">
        <v>2024</v>
      </c>
      <c r="AF179">
        <v>12</v>
      </c>
      <c r="AG179" t="s">
        <v>872</v>
      </c>
    </row>
    <row r="180" spans="1:33">
      <c r="A180">
        <v>3</v>
      </c>
      <c r="B180">
        <v>33</v>
      </c>
      <c r="C180" t="s">
        <v>74</v>
      </c>
      <c r="D180" t="s">
        <v>1212</v>
      </c>
      <c r="E180" t="s">
        <v>1213</v>
      </c>
      <c r="F180">
        <v>2310769</v>
      </c>
      <c r="G180" s="154" t="s">
        <v>886</v>
      </c>
      <c r="H180" s="2">
        <v>45334.953611111108</v>
      </c>
      <c r="J180" s="21">
        <v>0</v>
      </c>
      <c r="K180" s="21">
        <v>4096770</v>
      </c>
      <c r="L180" s="21">
        <v>778386</v>
      </c>
      <c r="M180" s="21"/>
      <c r="N180" s="21"/>
      <c r="O180" s="21">
        <v>4875156</v>
      </c>
      <c r="P180" s="21"/>
      <c r="Q180" s="21"/>
      <c r="R180" s="21"/>
      <c r="S180" s="21"/>
      <c r="T180" s="21">
        <v>0</v>
      </c>
      <c r="U180" s="21"/>
      <c r="V180" s="21"/>
      <c r="W180" s="21"/>
      <c r="X180" s="21">
        <v>0</v>
      </c>
      <c r="Y180" s="21"/>
      <c r="Z180" s="21"/>
      <c r="AA180" s="21"/>
      <c r="AB180" s="21"/>
      <c r="AC180" t="s">
        <v>1351</v>
      </c>
      <c r="AD180" t="s">
        <v>871</v>
      </c>
      <c r="AE180" s="21">
        <v>2024</v>
      </c>
      <c r="AF180">
        <v>12</v>
      </c>
      <c r="AG180" t="s">
        <v>872</v>
      </c>
    </row>
    <row r="181" spans="1:33">
      <c r="A181">
        <v>4</v>
      </c>
      <c r="B181">
        <v>33</v>
      </c>
      <c r="C181" t="s">
        <v>74</v>
      </c>
      <c r="D181" t="s">
        <v>1217</v>
      </c>
      <c r="E181" t="s">
        <v>1305</v>
      </c>
      <c r="F181">
        <v>40478</v>
      </c>
      <c r="G181" s="154" t="s">
        <v>886</v>
      </c>
      <c r="H181" s="2">
        <v>45363.427893518521</v>
      </c>
      <c r="J181" s="21">
        <v>0</v>
      </c>
      <c r="K181" s="21">
        <v>1026465</v>
      </c>
      <c r="L181" s="21">
        <v>195028</v>
      </c>
      <c r="M181" s="21"/>
      <c r="N181" s="21"/>
      <c r="O181" s="21">
        <v>1221493</v>
      </c>
      <c r="P181" s="21"/>
      <c r="Q181" s="21"/>
      <c r="R181" s="21"/>
      <c r="S181" s="21"/>
      <c r="T181" s="21">
        <v>0</v>
      </c>
      <c r="U181" s="21"/>
      <c r="V181" s="21"/>
      <c r="W181" s="21"/>
      <c r="X181" s="21">
        <v>0</v>
      </c>
      <c r="Y181" s="21"/>
      <c r="Z181" s="21"/>
      <c r="AA181" s="21"/>
      <c r="AB181" s="21"/>
      <c r="AC181" t="s">
        <v>1351</v>
      </c>
      <c r="AD181" t="s">
        <v>871</v>
      </c>
      <c r="AE181" s="21">
        <v>2024</v>
      </c>
      <c r="AF181">
        <v>12</v>
      </c>
      <c r="AG181" t="s">
        <v>872</v>
      </c>
    </row>
    <row r="182" spans="1:33">
      <c r="A182">
        <v>5</v>
      </c>
      <c r="B182">
        <v>33</v>
      </c>
      <c r="C182" t="s">
        <v>74</v>
      </c>
      <c r="D182" t="s">
        <v>1279</v>
      </c>
      <c r="E182" t="s">
        <v>1280</v>
      </c>
      <c r="F182">
        <v>487470</v>
      </c>
      <c r="G182" s="154">
        <v>45630</v>
      </c>
      <c r="H182" s="2">
        <v>45394.477430555555</v>
      </c>
      <c r="J182" s="21">
        <v>0</v>
      </c>
      <c r="K182" s="21">
        <v>29183</v>
      </c>
      <c r="L182" s="21">
        <v>5545</v>
      </c>
      <c r="M182" s="21"/>
      <c r="N182" s="21"/>
      <c r="O182" s="21">
        <v>34728</v>
      </c>
      <c r="P182" s="21"/>
      <c r="Q182" s="21"/>
      <c r="R182" s="21"/>
      <c r="S182" s="21"/>
      <c r="T182" s="21">
        <v>0</v>
      </c>
      <c r="U182" s="21"/>
      <c r="V182" s="21"/>
      <c r="W182" s="21"/>
      <c r="X182" s="21">
        <v>0</v>
      </c>
      <c r="Y182" s="21"/>
      <c r="Z182" s="21"/>
      <c r="AA182" s="21"/>
      <c r="AB182" s="21"/>
      <c r="AC182" t="s">
        <v>1351</v>
      </c>
      <c r="AD182" t="s">
        <v>871</v>
      </c>
      <c r="AE182" s="21">
        <v>2024</v>
      </c>
      <c r="AF182">
        <v>12</v>
      </c>
      <c r="AG182" t="s">
        <v>872</v>
      </c>
    </row>
    <row r="183" spans="1:33">
      <c r="A183">
        <v>6</v>
      </c>
      <c r="B183">
        <v>33</v>
      </c>
      <c r="C183" t="s">
        <v>74</v>
      </c>
      <c r="D183" t="s">
        <v>873</v>
      </c>
      <c r="E183" t="s">
        <v>874</v>
      </c>
      <c r="F183">
        <v>49865483</v>
      </c>
      <c r="G183" s="154">
        <v>45631</v>
      </c>
      <c r="H183" s="2">
        <v>45424.811319444445</v>
      </c>
      <c r="J183" s="21">
        <v>0</v>
      </c>
      <c r="K183" s="21">
        <v>80140</v>
      </c>
      <c r="L183" s="21">
        <v>15227</v>
      </c>
      <c r="M183" s="21"/>
      <c r="N183" s="21"/>
      <c r="O183" s="21">
        <v>95367</v>
      </c>
      <c r="P183" s="21"/>
      <c r="Q183" s="21"/>
      <c r="R183" s="21"/>
      <c r="S183" s="21"/>
      <c r="T183" s="21">
        <v>0</v>
      </c>
      <c r="U183" s="21"/>
      <c r="V183" s="21"/>
      <c r="W183" s="21"/>
      <c r="X183" s="21">
        <v>0</v>
      </c>
      <c r="Y183" s="21"/>
      <c r="Z183" s="21"/>
      <c r="AA183" s="21"/>
      <c r="AB183" s="21"/>
      <c r="AC183" t="s">
        <v>1351</v>
      </c>
      <c r="AD183" t="s">
        <v>871</v>
      </c>
      <c r="AE183" s="21">
        <v>2024</v>
      </c>
      <c r="AF183">
        <v>12</v>
      </c>
      <c r="AG183" t="s">
        <v>872</v>
      </c>
    </row>
    <row r="184" spans="1:33">
      <c r="A184">
        <v>7</v>
      </c>
      <c r="B184">
        <v>33</v>
      </c>
      <c r="C184" t="s">
        <v>74</v>
      </c>
      <c r="D184" t="s">
        <v>917</v>
      </c>
      <c r="E184" t="s">
        <v>1221</v>
      </c>
      <c r="F184">
        <v>181065</v>
      </c>
      <c r="G184" s="154">
        <v>45630</v>
      </c>
      <c r="H184" s="2">
        <v>45455.491238425922</v>
      </c>
      <c r="J184" s="21">
        <v>0</v>
      </c>
      <c r="K184" s="21">
        <v>1063352</v>
      </c>
      <c r="L184" s="21">
        <v>202037</v>
      </c>
      <c r="M184" s="21"/>
      <c r="N184" s="21"/>
      <c r="O184" s="21">
        <v>1265389</v>
      </c>
      <c r="P184" s="21"/>
      <c r="Q184" s="21"/>
      <c r="R184" s="21"/>
      <c r="S184" s="21"/>
      <c r="T184" s="21">
        <v>0</v>
      </c>
      <c r="U184" s="21"/>
      <c r="V184" s="21"/>
      <c r="W184" s="21"/>
      <c r="X184" s="21">
        <v>0</v>
      </c>
      <c r="Y184" s="21"/>
      <c r="Z184" s="21"/>
      <c r="AA184" s="21"/>
      <c r="AB184" s="21"/>
      <c r="AC184" t="s">
        <v>1351</v>
      </c>
      <c r="AD184" t="s">
        <v>871</v>
      </c>
      <c r="AE184" s="21">
        <v>2024</v>
      </c>
      <c r="AF184">
        <v>12</v>
      </c>
      <c r="AG184" t="s">
        <v>872</v>
      </c>
    </row>
    <row r="185" spans="1:33">
      <c r="A185">
        <v>8</v>
      </c>
      <c r="B185">
        <v>33</v>
      </c>
      <c r="C185" t="s">
        <v>74</v>
      </c>
      <c r="D185" t="s">
        <v>1306</v>
      </c>
      <c r="E185" t="s">
        <v>1307</v>
      </c>
      <c r="F185">
        <v>82499</v>
      </c>
      <c r="G185" s="154">
        <v>45632</v>
      </c>
      <c r="H185" s="2">
        <v>45455.67019675926</v>
      </c>
      <c r="J185" s="21">
        <v>0</v>
      </c>
      <c r="K185" s="21">
        <v>1132266</v>
      </c>
      <c r="L185" s="21">
        <v>215131</v>
      </c>
      <c r="M185" s="21"/>
      <c r="N185" s="21"/>
      <c r="O185" s="21">
        <v>1347397</v>
      </c>
      <c r="P185" s="21"/>
      <c r="Q185" s="21"/>
      <c r="R185" s="21"/>
      <c r="S185" s="21"/>
      <c r="T185" s="21">
        <v>0</v>
      </c>
      <c r="U185" s="21"/>
      <c r="V185" s="21"/>
      <c r="W185" s="21"/>
      <c r="X185" s="21">
        <v>0</v>
      </c>
      <c r="Y185" s="21"/>
      <c r="Z185" s="21"/>
      <c r="AA185" s="21"/>
      <c r="AB185" s="21"/>
      <c r="AC185" t="s">
        <v>1351</v>
      </c>
      <c r="AD185" t="s">
        <v>871</v>
      </c>
      <c r="AE185" s="21">
        <v>2024</v>
      </c>
      <c r="AF185">
        <v>12</v>
      </c>
      <c r="AG185" t="s">
        <v>872</v>
      </c>
    </row>
    <row r="186" spans="1:33">
      <c r="A186">
        <v>9</v>
      </c>
      <c r="B186">
        <v>33</v>
      </c>
      <c r="C186" t="s">
        <v>74</v>
      </c>
      <c r="D186" t="s">
        <v>1279</v>
      </c>
      <c r="E186" t="s">
        <v>1280</v>
      </c>
      <c r="F186">
        <v>488619</v>
      </c>
      <c r="G186" s="154">
        <v>45636</v>
      </c>
      <c r="H186" s="155">
        <v>45577.473541666666</v>
      </c>
      <c r="J186" s="21">
        <v>0</v>
      </c>
      <c r="K186" s="21">
        <v>474291</v>
      </c>
      <c r="L186" s="21">
        <v>90115</v>
      </c>
      <c r="M186" s="21"/>
      <c r="N186" s="21"/>
      <c r="O186" s="21">
        <v>564406</v>
      </c>
      <c r="P186" s="21"/>
      <c r="Q186" s="21"/>
      <c r="R186" s="21"/>
      <c r="S186" s="21"/>
      <c r="T186" s="21">
        <v>0</v>
      </c>
      <c r="U186" s="21"/>
      <c r="V186" s="21"/>
      <c r="W186" s="21"/>
      <c r="X186" s="21">
        <v>0</v>
      </c>
      <c r="Y186" s="21"/>
      <c r="Z186" s="21"/>
      <c r="AA186" s="21"/>
      <c r="AB186" s="21"/>
      <c r="AC186" t="s">
        <v>1351</v>
      </c>
      <c r="AD186" t="s">
        <v>871</v>
      </c>
      <c r="AE186" s="21">
        <v>2024</v>
      </c>
      <c r="AF186">
        <v>12</v>
      </c>
      <c r="AG186" t="s">
        <v>872</v>
      </c>
    </row>
    <row r="187" spans="1:33">
      <c r="A187">
        <v>10</v>
      </c>
      <c r="B187">
        <v>33</v>
      </c>
      <c r="C187" t="s">
        <v>74</v>
      </c>
      <c r="D187" t="s">
        <v>1236</v>
      </c>
      <c r="E187" t="s">
        <v>1237</v>
      </c>
      <c r="F187">
        <v>131159</v>
      </c>
      <c r="G187" s="154" t="s">
        <v>834</v>
      </c>
      <c r="H187" s="2" t="s">
        <v>1332</v>
      </c>
      <c r="J187" s="21">
        <v>0</v>
      </c>
      <c r="K187" s="21">
        <v>114782</v>
      </c>
      <c r="L187" s="21">
        <v>21809</v>
      </c>
      <c r="M187" s="21"/>
      <c r="N187" s="21"/>
      <c r="O187" s="21">
        <v>136591</v>
      </c>
      <c r="P187" s="21"/>
      <c r="Q187" s="21"/>
      <c r="R187" s="21"/>
      <c r="S187" s="21"/>
      <c r="T187" s="21">
        <v>0</v>
      </c>
      <c r="U187" s="21"/>
      <c r="V187" s="21"/>
      <c r="W187" s="21"/>
      <c r="X187" s="21">
        <v>0</v>
      </c>
      <c r="Y187" s="21"/>
      <c r="Z187" s="21"/>
      <c r="AA187" s="21"/>
      <c r="AB187" s="21"/>
      <c r="AC187" t="s">
        <v>1351</v>
      </c>
      <c r="AD187" t="s">
        <v>871</v>
      </c>
      <c r="AE187" s="21">
        <v>2024</v>
      </c>
      <c r="AF187">
        <v>12</v>
      </c>
      <c r="AG187" t="s">
        <v>872</v>
      </c>
    </row>
    <row r="188" spans="1:33">
      <c r="A188">
        <v>11</v>
      </c>
      <c r="B188">
        <v>33</v>
      </c>
      <c r="C188" t="s">
        <v>74</v>
      </c>
      <c r="D188" t="s">
        <v>1333</v>
      </c>
      <c r="E188" t="s">
        <v>1334</v>
      </c>
      <c r="F188">
        <v>31244</v>
      </c>
      <c r="G188" s="154" t="s">
        <v>834</v>
      </c>
      <c r="H188" s="2" t="s">
        <v>1335</v>
      </c>
      <c r="J188" s="21">
        <v>0</v>
      </c>
      <c r="K188" s="21">
        <v>1584640</v>
      </c>
      <c r="L188" s="21">
        <v>301082</v>
      </c>
      <c r="M188" s="21"/>
      <c r="N188" s="21"/>
      <c r="O188" s="21">
        <v>1885722</v>
      </c>
      <c r="P188" s="21"/>
      <c r="Q188" s="21"/>
      <c r="R188" s="21"/>
      <c r="S188" s="21"/>
      <c r="T188" s="21">
        <v>0</v>
      </c>
      <c r="U188" s="21"/>
      <c r="V188" s="21"/>
      <c r="W188" s="21"/>
      <c r="X188" s="21">
        <v>0</v>
      </c>
      <c r="Y188" s="21"/>
      <c r="Z188" s="21"/>
      <c r="AA188" s="21"/>
      <c r="AB188" s="21"/>
      <c r="AC188" t="s">
        <v>1351</v>
      </c>
      <c r="AD188" t="s">
        <v>871</v>
      </c>
      <c r="AE188" s="21">
        <v>2024</v>
      </c>
      <c r="AF188">
        <v>12</v>
      </c>
      <c r="AG188" t="s">
        <v>872</v>
      </c>
    </row>
    <row r="189" spans="1:33">
      <c r="A189">
        <v>12</v>
      </c>
      <c r="B189">
        <v>33</v>
      </c>
      <c r="C189" t="s">
        <v>74</v>
      </c>
      <c r="D189" t="s">
        <v>1222</v>
      </c>
      <c r="E189" t="s">
        <v>1223</v>
      </c>
      <c r="F189">
        <v>3349210</v>
      </c>
      <c r="G189" s="154" t="s">
        <v>835</v>
      </c>
      <c r="H189" s="2" t="s">
        <v>1336</v>
      </c>
      <c r="J189" s="21">
        <v>0</v>
      </c>
      <c r="K189" s="21">
        <v>23144509</v>
      </c>
      <c r="L189" s="21">
        <v>4397457</v>
      </c>
      <c r="M189" s="21"/>
      <c r="N189" s="21"/>
      <c r="O189" s="21">
        <v>27541966</v>
      </c>
      <c r="P189" s="21"/>
      <c r="Q189" s="21"/>
      <c r="R189" s="21"/>
      <c r="S189" s="21"/>
      <c r="T189" s="21">
        <v>0</v>
      </c>
      <c r="U189" s="21"/>
      <c r="V189" s="21"/>
      <c r="W189" s="21"/>
      <c r="X189" s="21">
        <v>0</v>
      </c>
      <c r="Y189" s="21"/>
      <c r="Z189" s="21"/>
      <c r="AA189" s="21"/>
      <c r="AB189" s="21"/>
      <c r="AC189" t="s">
        <v>1351</v>
      </c>
      <c r="AD189" t="s">
        <v>871</v>
      </c>
      <c r="AE189" s="21">
        <v>2024</v>
      </c>
      <c r="AF189">
        <v>12</v>
      </c>
      <c r="AG189" t="s">
        <v>872</v>
      </c>
    </row>
    <row r="190" spans="1:33">
      <c r="A190">
        <v>13</v>
      </c>
      <c r="B190">
        <v>33</v>
      </c>
      <c r="C190" t="s">
        <v>74</v>
      </c>
      <c r="D190" t="s">
        <v>1222</v>
      </c>
      <c r="E190" t="s">
        <v>1223</v>
      </c>
      <c r="F190">
        <v>3350447</v>
      </c>
      <c r="G190" s="154" t="s">
        <v>835</v>
      </c>
      <c r="H190" s="2" t="s">
        <v>1337</v>
      </c>
      <c r="J190" s="21">
        <v>0</v>
      </c>
      <c r="K190" s="21">
        <v>6973922</v>
      </c>
      <c r="L190" s="21">
        <v>1325045</v>
      </c>
      <c r="M190" s="21"/>
      <c r="N190" s="21"/>
      <c r="O190" s="21">
        <v>8298967</v>
      </c>
      <c r="P190" s="21"/>
      <c r="Q190" s="21"/>
      <c r="R190" s="21"/>
      <c r="S190" s="21"/>
      <c r="T190" s="21">
        <v>0</v>
      </c>
      <c r="U190" s="21"/>
      <c r="V190" s="21"/>
      <c r="W190" s="21"/>
      <c r="X190" s="21">
        <v>0</v>
      </c>
      <c r="Y190" s="21"/>
      <c r="Z190" s="21"/>
      <c r="AA190" s="21"/>
      <c r="AB190" s="21"/>
      <c r="AC190" t="s">
        <v>1351</v>
      </c>
      <c r="AD190" t="s">
        <v>871</v>
      </c>
      <c r="AE190" s="21">
        <v>2024</v>
      </c>
      <c r="AF190">
        <v>12</v>
      </c>
      <c r="AG190" t="s">
        <v>872</v>
      </c>
    </row>
    <row r="191" spans="1:33">
      <c r="A191">
        <v>14</v>
      </c>
      <c r="B191">
        <v>33</v>
      </c>
      <c r="C191" t="s">
        <v>74</v>
      </c>
      <c r="D191" t="s">
        <v>1222</v>
      </c>
      <c r="E191" t="s">
        <v>1223</v>
      </c>
      <c r="F191">
        <v>3350449</v>
      </c>
      <c r="G191" s="154" t="s">
        <v>835</v>
      </c>
      <c r="H191" s="2" t="s">
        <v>1338</v>
      </c>
      <c r="J191" s="21">
        <v>0</v>
      </c>
      <c r="K191" s="21">
        <v>2740000</v>
      </c>
      <c r="L191" s="21">
        <v>520600</v>
      </c>
      <c r="M191" s="21"/>
      <c r="N191" s="21"/>
      <c r="O191" s="21">
        <v>3260600</v>
      </c>
      <c r="P191" s="21"/>
      <c r="Q191" s="21"/>
      <c r="R191" s="21"/>
      <c r="S191" s="21"/>
      <c r="T191" s="21">
        <v>0</v>
      </c>
      <c r="U191" s="21"/>
      <c r="V191" s="21"/>
      <c r="W191" s="21"/>
      <c r="X191" s="21">
        <v>0</v>
      </c>
      <c r="Y191" s="21"/>
      <c r="Z191" s="21"/>
      <c r="AA191" s="21"/>
      <c r="AB191" s="21"/>
      <c r="AC191" t="s">
        <v>1351</v>
      </c>
      <c r="AD191" t="s">
        <v>871</v>
      </c>
      <c r="AE191" s="21">
        <v>2024</v>
      </c>
      <c r="AF191">
        <v>12</v>
      </c>
      <c r="AG191" t="s">
        <v>872</v>
      </c>
    </row>
    <row r="192" spans="1:33">
      <c r="A192">
        <v>15</v>
      </c>
      <c r="B192">
        <v>33</v>
      </c>
      <c r="C192" t="s">
        <v>74</v>
      </c>
      <c r="D192" t="s">
        <v>1222</v>
      </c>
      <c r="E192" t="s">
        <v>1223</v>
      </c>
      <c r="F192">
        <v>3350448</v>
      </c>
      <c r="G192" s="154" t="s">
        <v>835</v>
      </c>
      <c r="H192" s="2" t="s">
        <v>1339</v>
      </c>
      <c r="J192" s="21">
        <v>0</v>
      </c>
      <c r="K192" s="21">
        <v>18791555</v>
      </c>
      <c r="L192" s="21">
        <v>3570395</v>
      </c>
      <c r="M192" s="21"/>
      <c r="N192" s="21"/>
      <c r="O192" s="21">
        <v>22361950</v>
      </c>
      <c r="P192" s="21"/>
      <c r="Q192" s="21"/>
      <c r="R192" s="21"/>
      <c r="S192" s="21"/>
      <c r="T192" s="21">
        <v>0</v>
      </c>
      <c r="U192" s="21"/>
      <c r="V192" s="21"/>
      <c r="W192" s="21"/>
      <c r="X192" s="21">
        <v>0</v>
      </c>
      <c r="Y192" s="21"/>
      <c r="Z192" s="21"/>
      <c r="AA192" s="21"/>
      <c r="AB192" s="21"/>
      <c r="AC192" t="s">
        <v>1351</v>
      </c>
      <c r="AD192" t="s">
        <v>871</v>
      </c>
      <c r="AE192" s="21">
        <v>2024</v>
      </c>
      <c r="AF192">
        <v>12</v>
      </c>
      <c r="AG192" t="s">
        <v>872</v>
      </c>
    </row>
    <row r="193" spans="1:33">
      <c r="A193">
        <v>16</v>
      </c>
      <c r="B193">
        <v>33</v>
      </c>
      <c r="C193" t="s">
        <v>74</v>
      </c>
      <c r="D193" t="s">
        <v>1279</v>
      </c>
      <c r="E193" t="s">
        <v>1280</v>
      </c>
      <c r="F193">
        <v>489752</v>
      </c>
      <c r="G193" s="154" t="s">
        <v>837</v>
      </c>
      <c r="H193" s="2" t="s">
        <v>1340</v>
      </c>
      <c r="J193" s="21">
        <v>0</v>
      </c>
      <c r="K193" s="21">
        <v>59452</v>
      </c>
      <c r="L193" s="21">
        <v>11296</v>
      </c>
      <c r="M193" s="21"/>
      <c r="N193" s="21"/>
      <c r="O193" s="21">
        <v>70748</v>
      </c>
      <c r="P193" s="21"/>
      <c r="Q193" s="21"/>
      <c r="R193" s="21"/>
      <c r="S193" s="21"/>
      <c r="T193" s="21">
        <v>0</v>
      </c>
      <c r="U193" s="21"/>
      <c r="V193" s="21"/>
      <c r="W193" s="21"/>
      <c r="X193" s="21">
        <v>0</v>
      </c>
      <c r="Y193" s="21"/>
      <c r="Z193" s="21"/>
      <c r="AA193" s="21"/>
      <c r="AB193" s="21"/>
      <c r="AC193" t="s">
        <v>1351</v>
      </c>
      <c r="AD193" t="s">
        <v>871</v>
      </c>
      <c r="AE193" s="21">
        <v>2024</v>
      </c>
      <c r="AF193">
        <v>12</v>
      </c>
      <c r="AG193" t="s">
        <v>872</v>
      </c>
    </row>
    <row r="194" spans="1:33">
      <c r="A194">
        <v>17</v>
      </c>
      <c r="B194">
        <v>33</v>
      </c>
      <c r="C194" t="s">
        <v>74</v>
      </c>
      <c r="D194" t="s">
        <v>1279</v>
      </c>
      <c r="E194" t="s">
        <v>1280</v>
      </c>
      <c r="F194">
        <v>489756</v>
      </c>
      <c r="G194" s="154" t="s">
        <v>837</v>
      </c>
      <c r="H194" s="2" t="s">
        <v>1341</v>
      </c>
      <c r="J194" s="21">
        <v>0</v>
      </c>
      <c r="K194" s="21">
        <v>59452</v>
      </c>
      <c r="L194" s="21">
        <v>11296</v>
      </c>
      <c r="M194" s="21"/>
      <c r="N194" s="21"/>
      <c r="O194" s="21">
        <v>70748</v>
      </c>
      <c r="P194" s="21"/>
      <c r="Q194" s="21"/>
      <c r="R194" s="21"/>
      <c r="S194" s="21"/>
      <c r="T194" s="21">
        <v>0</v>
      </c>
      <c r="U194" s="21"/>
      <c r="V194" s="21"/>
      <c r="W194" s="21"/>
      <c r="X194" s="21">
        <v>0</v>
      </c>
      <c r="Y194" s="21"/>
      <c r="Z194" s="21"/>
      <c r="AA194" s="21"/>
      <c r="AB194" s="21"/>
      <c r="AC194" t="s">
        <v>1351</v>
      </c>
      <c r="AD194" t="s">
        <v>871</v>
      </c>
      <c r="AE194" s="21">
        <v>2024</v>
      </c>
      <c r="AF194">
        <v>12</v>
      </c>
      <c r="AG194" t="s">
        <v>872</v>
      </c>
    </row>
    <row r="195" spans="1:33">
      <c r="A195">
        <v>18</v>
      </c>
      <c r="B195">
        <v>33</v>
      </c>
      <c r="C195" t="s">
        <v>74</v>
      </c>
      <c r="D195" t="s">
        <v>1279</v>
      </c>
      <c r="E195" t="s">
        <v>1280</v>
      </c>
      <c r="F195">
        <v>491263</v>
      </c>
      <c r="G195" s="154" t="s">
        <v>841</v>
      </c>
      <c r="H195" s="2" t="s">
        <v>1342</v>
      </c>
      <c r="J195" s="21">
        <v>0</v>
      </c>
      <c r="K195" s="21">
        <v>587508</v>
      </c>
      <c r="L195" s="21">
        <v>111627</v>
      </c>
      <c r="M195" s="21"/>
      <c r="N195" s="21"/>
      <c r="O195" s="21">
        <v>699135</v>
      </c>
      <c r="P195" s="21"/>
      <c r="Q195" s="21"/>
      <c r="R195" s="21"/>
      <c r="S195" s="21"/>
      <c r="T195" s="21">
        <v>0</v>
      </c>
      <c r="U195" s="21"/>
      <c r="V195" s="21"/>
      <c r="W195" s="21"/>
      <c r="X195" s="21">
        <v>0</v>
      </c>
      <c r="Y195" s="21"/>
      <c r="Z195" s="21"/>
      <c r="AA195" s="21"/>
      <c r="AB195" s="21"/>
      <c r="AC195" t="s">
        <v>1351</v>
      </c>
      <c r="AD195" t="s">
        <v>871</v>
      </c>
      <c r="AE195" s="21">
        <v>2024</v>
      </c>
      <c r="AF195">
        <v>12</v>
      </c>
      <c r="AG195" t="s">
        <v>872</v>
      </c>
    </row>
    <row r="196" spans="1:33">
      <c r="A196">
        <v>19</v>
      </c>
      <c r="B196">
        <v>33</v>
      </c>
      <c r="C196" t="s">
        <v>74</v>
      </c>
      <c r="D196" t="s">
        <v>1279</v>
      </c>
      <c r="E196" t="s">
        <v>1280</v>
      </c>
      <c r="F196">
        <v>491264</v>
      </c>
      <c r="G196" s="154" t="s">
        <v>841</v>
      </c>
      <c r="H196" s="2" t="s">
        <v>1343</v>
      </c>
      <c r="J196" s="21">
        <v>0</v>
      </c>
      <c r="K196" s="21">
        <v>595420</v>
      </c>
      <c r="L196" s="21">
        <v>113130</v>
      </c>
      <c r="M196" s="21"/>
      <c r="N196" s="21"/>
      <c r="O196" s="21">
        <v>708550</v>
      </c>
      <c r="P196" s="21"/>
      <c r="Q196" s="21"/>
      <c r="R196" s="21"/>
      <c r="S196" s="21"/>
      <c r="T196" s="21">
        <v>0</v>
      </c>
      <c r="U196" s="21"/>
      <c r="V196" s="21"/>
      <c r="W196" s="21"/>
      <c r="X196" s="21">
        <v>0</v>
      </c>
      <c r="Y196" s="21"/>
      <c r="Z196" s="21"/>
      <c r="AA196" s="21"/>
      <c r="AB196" s="21"/>
      <c r="AC196" t="s">
        <v>1351</v>
      </c>
      <c r="AD196" t="s">
        <v>871</v>
      </c>
      <c r="AE196" s="21">
        <v>2024</v>
      </c>
      <c r="AF196">
        <v>12</v>
      </c>
      <c r="AG196" t="s">
        <v>872</v>
      </c>
    </row>
    <row r="197" spans="1:33">
      <c r="A197">
        <v>20</v>
      </c>
      <c r="B197">
        <v>33</v>
      </c>
      <c r="C197" t="s">
        <v>74</v>
      </c>
      <c r="D197" t="s">
        <v>873</v>
      </c>
      <c r="E197" t="s">
        <v>874</v>
      </c>
      <c r="F197">
        <v>49997867</v>
      </c>
      <c r="G197" s="154" t="s">
        <v>841</v>
      </c>
      <c r="H197" s="2" t="s">
        <v>1344</v>
      </c>
      <c r="J197" s="21">
        <v>0</v>
      </c>
      <c r="K197" s="21">
        <v>29431</v>
      </c>
      <c r="L197" s="21">
        <v>5592</v>
      </c>
      <c r="M197" s="21"/>
      <c r="N197" s="21"/>
      <c r="O197" s="21">
        <v>35023</v>
      </c>
      <c r="P197" s="21"/>
      <c r="Q197" s="21"/>
      <c r="R197" s="21"/>
      <c r="S197" s="21"/>
      <c r="T197" s="21">
        <v>0</v>
      </c>
      <c r="U197" s="21"/>
      <c r="V197" s="21"/>
      <c r="W197" s="21"/>
      <c r="X197" s="21">
        <v>0</v>
      </c>
      <c r="Y197" s="21"/>
      <c r="Z197" s="21"/>
      <c r="AA197" s="21"/>
      <c r="AB197" s="21"/>
      <c r="AC197" t="s">
        <v>1351</v>
      </c>
      <c r="AD197" t="s">
        <v>871</v>
      </c>
      <c r="AE197" s="21">
        <v>2024</v>
      </c>
      <c r="AF197">
        <v>12</v>
      </c>
      <c r="AG197" t="s">
        <v>872</v>
      </c>
    </row>
    <row r="198" spans="1:33">
      <c r="A198">
        <v>21</v>
      </c>
      <c r="B198">
        <v>33</v>
      </c>
      <c r="C198" t="s">
        <v>74</v>
      </c>
      <c r="D198" t="s">
        <v>1246</v>
      </c>
      <c r="E198" t="s">
        <v>1247</v>
      </c>
      <c r="F198">
        <v>70536</v>
      </c>
      <c r="G198" s="153" t="s">
        <v>842</v>
      </c>
      <c r="H198" s="2" t="s">
        <v>1345</v>
      </c>
      <c r="J198" s="21">
        <v>0</v>
      </c>
      <c r="K198" s="21">
        <v>153208</v>
      </c>
      <c r="L198" s="21">
        <v>29110</v>
      </c>
      <c r="M198" s="21"/>
      <c r="N198" s="21"/>
      <c r="O198" s="21">
        <v>182318</v>
      </c>
      <c r="P198" s="21"/>
      <c r="Q198" s="21"/>
      <c r="R198" s="21"/>
      <c r="S198" s="21"/>
      <c r="T198" s="21">
        <v>0</v>
      </c>
      <c r="U198" s="21"/>
      <c r="V198" s="21"/>
      <c r="W198" s="21"/>
      <c r="X198" s="21">
        <v>0</v>
      </c>
      <c r="Y198" s="21"/>
      <c r="Z198" s="21"/>
      <c r="AA198" s="21"/>
      <c r="AB198" s="21"/>
      <c r="AC198" t="s">
        <v>1351</v>
      </c>
      <c r="AD198" t="s">
        <v>871</v>
      </c>
      <c r="AE198" s="21">
        <v>2024</v>
      </c>
      <c r="AF198">
        <v>12</v>
      </c>
      <c r="AG198" t="s">
        <v>872</v>
      </c>
    </row>
    <row r="199" spans="1:33">
      <c r="A199">
        <v>22</v>
      </c>
      <c r="B199">
        <v>33</v>
      </c>
      <c r="C199" t="s">
        <v>74</v>
      </c>
      <c r="D199" t="s">
        <v>1246</v>
      </c>
      <c r="E199" t="s">
        <v>1247</v>
      </c>
      <c r="F199">
        <v>70585</v>
      </c>
      <c r="G199" s="154" t="s">
        <v>842</v>
      </c>
      <c r="H199" s="2" t="s">
        <v>1346</v>
      </c>
      <c r="J199" s="21">
        <v>0</v>
      </c>
      <c r="K199" s="21">
        <v>153208</v>
      </c>
      <c r="L199" s="21">
        <v>29110</v>
      </c>
      <c r="M199" s="21"/>
      <c r="N199" s="21"/>
      <c r="O199" s="21">
        <v>182318</v>
      </c>
      <c r="P199" s="21"/>
      <c r="Q199" s="21"/>
      <c r="R199" s="21"/>
      <c r="S199" s="21"/>
      <c r="T199" s="21">
        <v>0</v>
      </c>
      <c r="U199" s="21"/>
      <c r="V199" s="21"/>
      <c r="W199" s="21"/>
      <c r="X199" s="21">
        <v>0</v>
      </c>
      <c r="Y199" s="21"/>
      <c r="Z199" s="21"/>
      <c r="AA199" s="21"/>
      <c r="AB199" s="21"/>
      <c r="AC199" t="s">
        <v>1351</v>
      </c>
      <c r="AD199" t="s">
        <v>871</v>
      </c>
      <c r="AE199" s="21">
        <v>2024</v>
      </c>
      <c r="AF199">
        <v>12</v>
      </c>
      <c r="AG199" t="s">
        <v>872</v>
      </c>
    </row>
    <row r="200" spans="1:33">
      <c r="A200">
        <v>23</v>
      </c>
      <c r="B200">
        <v>33</v>
      </c>
      <c r="C200" t="s">
        <v>74</v>
      </c>
      <c r="D200" t="s">
        <v>1246</v>
      </c>
      <c r="E200" t="s">
        <v>1247</v>
      </c>
      <c r="F200">
        <v>70632</v>
      </c>
      <c r="G200" s="154" t="s">
        <v>843</v>
      </c>
      <c r="H200" s="2" t="s">
        <v>1347</v>
      </c>
      <c r="J200" s="21">
        <v>0</v>
      </c>
      <c r="K200" s="21">
        <v>153208</v>
      </c>
      <c r="L200" s="21">
        <v>29110</v>
      </c>
      <c r="M200" s="21"/>
      <c r="N200" s="21"/>
      <c r="O200" s="21">
        <v>182318</v>
      </c>
      <c r="P200" s="21"/>
      <c r="Q200" s="21"/>
      <c r="R200" s="21"/>
      <c r="S200" s="21"/>
      <c r="T200" s="21">
        <v>0</v>
      </c>
      <c r="U200" s="21"/>
      <c r="V200" s="21"/>
      <c r="W200" s="21"/>
      <c r="X200" s="21">
        <v>0</v>
      </c>
      <c r="Y200" s="21"/>
      <c r="Z200" s="21"/>
      <c r="AA200" s="21"/>
      <c r="AB200" s="21"/>
      <c r="AC200" t="s">
        <v>1351</v>
      </c>
      <c r="AD200" t="s">
        <v>871</v>
      </c>
      <c r="AE200" s="21">
        <v>2024</v>
      </c>
      <c r="AF200">
        <v>12</v>
      </c>
      <c r="AG200" t="s">
        <v>872</v>
      </c>
    </row>
    <row r="201" spans="1:33">
      <c r="A201">
        <v>24</v>
      </c>
      <c r="B201">
        <v>34</v>
      </c>
      <c r="C201" t="s">
        <v>74</v>
      </c>
      <c r="D201" t="s">
        <v>107</v>
      </c>
      <c r="E201" t="s">
        <v>887</v>
      </c>
      <c r="F201">
        <v>2583</v>
      </c>
      <c r="G201" s="154">
        <v>45627</v>
      </c>
      <c r="H201" s="2">
        <v>45334.588541666664</v>
      </c>
      <c r="J201" s="21">
        <v>2487765</v>
      </c>
      <c r="K201" s="21">
        <v>0</v>
      </c>
      <c r="L201" s="21">
        <v>0</v>
      </c>
      <c r="M201" s="21"/>
      <c r="N201" s="21"/>
      <c r="O201" s="21">
        <v>2487765</v>
      </c>
      <c r="P201" s="21"/>
      <c r="Q201" s="21"/>
      <c r="R201" s="21"/>
      <c r="S201" s="21"/>
      <c r="T201" s="21">
        <v>0</v>
      </c>
      <c r="U201" s="21"/>
      <c r="V201" s="21"/>
      <c r="W201" s="21"/>
      <c r="X201" s="21">
        <v>0</v>
      </c>
      <c r="Y201" s="21"/>
      <c r="Z201" s="21"/>
      <c r="AA201" s="21"/>
      <c r="AB201" s="21"/>
      <c r="AC201" t="s">
        <v>1351</v>
      </c>
      <c r="AD201" t="s">
        <v>871</v>
      </c>
      <c r="AE201" s="21">
        <v>2024</v>
      </c>
      <c r="AF201">
        <v>12</v>
      </c>
      <c r="AG201" t="s">
        <v>880</v>
      </c>
    </row>
    <row r="202" spans="1:33">
      <c r="A202">
        <v>25</v>
      </c>
      <c r="B202">
        <v>34</v>
      </c>
      <c r="C202" t="s">
        <v>74</v>
      </c>
      <c r="D202" t="s">
        <v>873</v>
      </c>
      <c r="E202" t="s">
        <v>874</v>
      </c>
      <c r="F202">
        <v>13033494</v>
      </c>
      <c r="G202" s="154" t="s">
        <v>835</v>
      </c>
      <c r="H202" s="2" t="s">
        <v>1348</v>
      </c>
      <c r="J202" s="21">
        <v>0</v>
      </c>
      <c r="K202" s="21">
        <v>0</v>
      </c>
      <c r="L202" s="21">
        <v>0</v>
      </c>
      <c r="M202" s="21"/>
      <c r="N202" s="21"/>
      <c r="O202" s="21">
        <v>0</v>
      </c>
      <c r="P202" s="21"/>
      <c r="Q202" s="21"/>
      <c r="R202" s="21"/>
      <c r="S202" s="21"/>
      <c r="T202" s="21">
        <v>0</v>
      </c>
      <c r="U202" s="21"/>
      <c r="V202" s="21"/>
      <c r="W202" s="21"/>
      <c r="X202" s="21">
        <v>0</v>
      </c>
      <c r="Y202" s="21"/>
      <c r="Z202" s="21"/>
      <c r="AA202" s="21"/>
      <c r="AB202" s="21"/>
      <c r="AC202" t="s">
        <v>1351</v>
      </c>
      <c r="AD202" t="s">
        <v>871</v>
      </c>
      <c r="AE202" s="21">
        <v>2024</v>
      </c>
      <c r="AF202">
        <v>12</v>
      </c>
      <c r="AG202" t="s">
        <v>880</v>
      </c>
    </row>
    <row r="203" spans="1:33">
      <c r="A203">
        <v>26</v>
      </c>
      <c r="B203">
        <v>34</v>
      </c>
      <c r="C203" t="s">
        <v>74</v>
      </c>
      <c r="D203" t="s">
        <v>873</v>
      </c>
      <c r="E203" t="s">
        <v>874</v>
      </c>
      <c r="F203">
        <v>13033495</v>
      </c>
      <c r="G203" s="154" t="s">
        <v>835</v>
      </c>
      <c r="H203" s="2" t="s">
        <v>1349</v>
      </c>
      <c r="J203" s="21">
        <v>0</v>
      </c>
      <c r="K203" s="21">
        <v>0</v>
      </c>
      <c r="L203" s="21">
        <v>0</v>
      </c>
      <c r="M203" s="21"/>
      <c r="N203" s="21"/>
      <c r="O203" s="21">
        <v>0</v>
      </c>
      <c r="P203" s="21"/>
      <c r="Q203" s="21"/>
      <c r="R203" s="21"/>
      <c r="S203" s="21"/>
      <c r="T203" s="21">
        <v>0</v>
      </c>
      <c r="U203" s="21"/>
      <c r="V203" s="21"/>
      <c r="W203" s="21"/>
      <c r="X203" s="21">
        <v>0</v>
      </c>
      <c r="Y203" s="21"/>
      <c r="Z203" s="21"/>
      <c r="AA203" s="21"/>
      <c r="AB203" s="21"/>
      <c r="AC203" t="s">
        <v>1351</v>
      </c>
      <c r="AD203" t="s">
        <v>871</v>
      </c>
      <c r="AE203" s="21">
        <v>2024</v>
      </c>
      <c r="AF203">
        <v>12</v>
      </c>
      <c r="AG203" t="s">
        <v>880</v>
      </c>
    </row>
    <row r="204" spans="1:33">
      <c r="A204">
        <v>27</v>
      </c>
      <c r="B204">
        <v>61</v>
      </c>
      <c r="C204" t="s">
        <v>74</v>
      </c>
      <c r="D204" t="s">
        <v>1222</v>
      </c>
      <c r="E204" t="s">
        <v>1328</v>
      </c>
      <c r="F204">
        <v>186703</v>
      </c>
      <c r="G204" s="154" t="s">
        <v>841</v>
      </c>
      <c r="H204" s="2" t="s">
        <v>1350</v>
      </c>
      <c r="J204" s="21">
        <v>0</v>
      </c>
      <c r="K204" s="21">
        <v>-23144509</v>
      </c>
      <c r="L204" s="21">
        <v>-4397457</v>
      </c>
      <c r="M204" s="21">
        <v>0</v>
      </c>
      <c r="N204" s="21"/>
      <c r="O204" s="21">
        <v>-27541966</v>
      </c>
      <c r="P204" s="21"/>
      <c r="Q204" s="21"/>
      <c r="R204" s="21"/>
      <c r="S204" s="21"/>
      <c r="T204" s="21">
        <v>0</v>
      </c>
      <c r="U204" s="21"/>
      <c r="V204" s="21"/>
      <c r="W204" s="21"/>
      <c r="X204" s="21">
        <v>0</v>
      </c>
      <c r="Y204" s="21"/>
      <c r="Z204" s="21"/>
      <c r="AA204" s="21"/>
      <c r="AB204" s="21"/>
      <c r="AC204" t="s">
        <v>1351</v>
      </c>
      <c r="AD204" t="s">
        <v>871</v>
      </c>
      <c r="AE204" s="21">
        <v>2024</v>
      </c>
      <c r="AF204">
        <v>12</v>
      </c>
      <c r="AG204" t="s">
        <v>881</v>
      </c>
    </row>
    <row r="205" spans="1:33">
      <c r="A205">
        <v>28</v>
      </c>
      <c r="B205">
        <v>914</v>
      </c>
      <c r="C205" t="s">
        <v>74</v>
      </c>
      <c r="D205" t="s">
        <v>844</v>
      </c>
      <c r="E205" t="s">
        <v>845</v>
      </c>
      <c r="F205">
        <v>3670096790</v>
      </c>
      <c r="G205" s="154" t="s">
        <v>1352</v>
      </c>
      <c r="H205" s="2">
        <v>45931.57775462963</v>
      </c>
      <c r="J205" s="21">
        <v>0</v>
      </c>
      <c r="K205" s="21">
        <v>52973695</v>
      </c>
      <c r="L205" s="21">
        <v>10065002</v>
      </c>
      <c r="M205" s="21"/>
      <c r="N205" s="21"/>
      <c r="O205" s="21">
        <v>63038697</v>
      </c>
      <c r="P205" s="21"/>
      <c r="Q205" s="21"/>
      <c r="R205" s="21"/>
      <c r="S205" s="21"/>
      <c r="T205" s="21"/>
      <c r="U205" s="21"/>
      <c r="V205" s="21"/>
      <c r="W205" s="21"/>
      <c r="X205" s="21">
        <v>0</v>
      </c>
      <c r="Y205" s="21"/>
      <c r="Z205" s="21"/>
      <c r="AA205" s="21"/>
      <c r="AB205" s="21"/>
      <c r="AC205" t="s">
        <v>1351</v>
      </c>
      <c r="AD205" t="s">
        <v>871</v>
      </c>
      <c r="AE205" s="21">
        <v>2024</v>
      </c>
      <c r="AF205">
        <v>12</v>
      </c>
      <c r="AG205" t="s">
        <v>1142</v>
      </c>
    </row>
    <row r="206" spans="1:33">
      <c r="A206">
        <v>29</v>
      </c>
      <c r="B206">
        <v>914</v>
      </c>
      <c r="C206" t="s">
        <v>74</v>
      </c>
      <c r="D206" t="s">
        <v>844</v>
      </c>
      <c r="E206" t="s">
        <v>845</v>
      </c>
      <c r="F206">
        <v>3670096610</v>
      </c>
      <c r="G206" s="154" t="s">
        <v>1352</v>
      </c>
      <c r="H206" s="2">
        <v>45931.578321759262</v>
      </c>
      <c r="J206" s="21">
        <v>0</v>
      </c>
      <c r="K206" s="21">
        <v>31660116</v>
      </c>
      <c r="L206" s="21">
        <v>6015422</v>
      </c>
      <c r="M206" s="21"/>
      <c r="N206" s="21"/>
      <c r="O206" s="21">
        <v>37675538</v>
      </c>
      <c r="P206" s="21"/>
      <c r="Q206" s="21"/>
      <c r="R206" s="21"/>
      <c r="S206" s="21"/>
      <c r="T206" s="21"/>
      <c r="U206" s="21"/>
      <c r="V206" s="21"/>
      <c r="W206" s="21"/>
      <c r="X206" s="21">
        <v>0</v>
      </c>
      <c r="Y206" s="21"/>
      <c r="Z206" s="21"/>
      <c r="AA206" s="21"/>
      <c r="AB206" s="21"/>
      <c r="AC206" t="s">
        <v>1351</v>
      </c>
      <c r="AD206" t="s">
        <v>871</v>
      </c>
      <c r="AE206" s="21">
        <v>2024</v>
      </c>
      <c r="AF206">
        <v>12</v>
      </c>
      <c r="AG206" t="s">
        <v>1142</v>
      </c>
    </row>
    <row r="207" spans="1:33">
      <c r="A207">
        <v>30</v>
      </c>
      <c r="B207">
        <v>914</v>
      </c>
      <c r="C207" t="s">
        <v>74</v>
      </c>
      <c r="D207" t="s">
        <v>844</v>
      </c>
      <c r="E207" t="s">
        <v>845</v>
      </c>
      <c r="F207">
        <v>3670096372</v>
      </c>
      <c r="G207" s="154">
        <v>45633</v>
      </c>
      <c r="H207" s="2">
        <v>45931.579027777778</v>
      </c>
      <c r="J207" s="21">
        <v>0</v>
      </c>
      <c r="K207" s="21">
        <v>41982468</v>
      </c>
      <c r="L207" s="21">
        <v>7976669</v>
      </c>
      <c r="M207" s="21"/>
      <c r="N207" s="21"/>
      <c r="O207" s="21">
        <v>49959138</v>
      </c>
      <c r="P207" s="21"/>
      <c r="Q207" s="21"/>
      <c r="R207" s="21"/>
      <c r="S207" s="21"/>
      <c r="T207" s="21"/>
      <c r="U207" s="21"/>
      <c r="V207" s="21"/>
      <c r="W207" s="21"/>
      <c r="X207" s="21">
        <v>0</v>
      </c>
      <c r="Y207" s="21"/>
      <c r="Z207" s="21"/>
      <c r="AA207" s="21"/>
      <c r="AB207" s="21"/>
      <c r="AC207" t="s">
        <v>1351</v>
      </c>
      <c r="AD207" t="s">
        <v>871</v>
      </c>
      <c r="AE207" s="21">
        <v>2024</v>
      </c>
      <c r="AF207">
        <v>12</v>
      </c>
      <c r="AG207" t="s">
        <v>1142</v>
      </c>
    </row>
    <row r="208" spans="1:33">
      <c r="A208">
        <v>1</v>
      </c>
      <c r="B208">
        <v>33</v>
      </c>
      <c r="C208" t="s">
        <v>74</v>
      </c>
      <c r="D208" t="s">
        <v>109</v>
      </c>
      <c r="E208" t="s">
        <v>875</v>
      </c>
      <c r="F208">
        <v>4502</v>
      </c>
      <c r="G208" s="154">
        <v>45659</v>
      </c>
      <c r="H208" s="2">
        <v>45689.648518518516</v>
      </c>
      <c r="J208" s="21">
        <v>0</v>
      </c>
      <c r="K208" s="21">
        <v>576325</v>
      </c>
      <c r="L208" s="21">
        <v>109502</v>
      </c>
      <c r="M208" s="21"/>
      <c r="N208" s="21"/>
      <c r="O208" s="21">
        <v>685827</v>
      </c>
      <c r="P208" s="21"/>
      <c r="Q208" s="21"/>
      <c r="R208" s="21"/>
      <c r="S208" s="21"/>
      <c r="T208" s="21">
        <v>0</v>
      </c>
      <c r="U208" s="21"/>
      <c r="V208" s="21"/>
      <c r="W208" s="21"/>
      <c r="X208" s="21">
        <v>0</v>
      </c>
      <c r="Y208" s="21"/>
      <c r="Z208" s="21"/>
      <c r="AA208" s="21"/>
      <c r="AB208" s="21"/>
      <c r="AC208" t="s">
        <v>1369</v>
      </c>
      <c r="AD208" t="s">
        <v>871</v>
      </c>
      <c r="AE208" s="21">
        <v>2025</v>
      </c>
      <c r="AF208">
        <v>1</v>
      </c>
      <c r="AG208" t="s">
        <v>872</v>
      </c>
    </row>
    <row r="209" spans="1:33">
      <c r="A209">
        <v>2</v>
      </c>
      <c r="B209">
        <v>33</v>
      </c>
      <c r="C209" t="s">
        <v>74</v>
      </c>
      <c r="D209" t="s">
        <v>1212</v>
      </c>
      <c r="E209" t="s">
        <v>1213</v>
      </c>
      <c r="F209">
        <v>2345294</v>
      </c>
      <c r="G209" s="154" t="s">
        <v>846</v>
      </c>
      <c r="H209" s="2">
        <v>45717.050011574072</v>
      </c>
      <c r="J209" s="21">
        <v>0</v>
      </c>
      <c r="K209" s="21">
        <v>1276728</v>
      </c>
      <c r="L209" s="21">
        <v>242578</v>
      </c>
      <c r="M209" s="21"/>
      <c r="N209" s="21"/>
      <c r="O209" s="21">
        <v>1519306</v>
      </c>
      <c r="P209" s="21"/>
      <c r="Q209" s="21"/>
      <c r="R209" s="21"/>
      <c r="S209" s="21"/>
      <c r="T209" s="21">
        <v>0</v>
      </c>
      <c r="U209" s="21"/>
      <c r="V209" s="21"/>
      <c r="W209" s="21"/>
      <c r="X209" s="21">
        <v>0</v>
      </c>
      <c r="Y209" s="21"/>
      <c r="Z209" s="21"/>
      <c r="AA209" s="21"/>
      <c r="AB209" s="21"/>
      <c r="AC209" t="s">
        <v>1369</v>
      </c>
      <c r="AD209" t="s">
        <v>871</v>
      </c>
      <c r="AE209" s="21">
        <v>2025</v>
      </c>
      <c r="AF209">
        <v>1</v>
      </c>
      <c r="AG209" t="s">
        <v>872</v>
      </c>
    </row>
    <row r="210" spans="1:33">
      <c r="A210">
        <v>3</v>
      </c>
      <c r="B210">
        <v>33</v>
      </c>
      <c r="C210" t="s">
        <v>74</v>
      </c>
      <c r="D210" t="s">
        <v>1217</v>
      </c>
      <c r="E210" t="s">
        <v>1305</v>
      </c>
      <c r="F210">
        <v>40692</v>
      </c>
      <c r="G210" s="154" t="s">
        <v>846</v>
      </c>
      <c r="H210" s="2">
        <v>45717.684733796297</v>
      </c>
      <c r="J210" s="21">
        <v>0</v>
      </c>
      <c r="K210" s="21">
        <v>1026465</v>
      </c>
      <c r="L210" s="21">
        <v>195028</v>
      </c>
      <c r="M210" s="21"/>
      <c r="N210" s="21"/>
      <c r="O210" s="21">
        <v>1221493</v>
      </c>
      <c r="P210" s="21"/>
      <c r="Q210" s="21"/>
      <c r="R210" s="21"/>
      <c r="S210" s="21"/>
      <c r="T210" s="21">
        <v>0</v>
      </c>
      <c r="U210" s="21"/>
      <c r="V210" s="21"/>
      <c r="W210" s="21"/>
      <c r="X210" s="21">
        <v>0</v>
      </c>
      <c r="Y210" s="21"/>
      <c r="Z210" s="21"/>
      <c r="AA210" s="21"/>
      <c r="AB210" s="21"/>
      <c r="AC210" t="s">
        <v>1369</v>
      </c>
      <c r="AD210" t="s">
        <v>871</v>
      </c>
      <c r="AE210" s="21">
        <v>2025</v>
      </c>
      <c r="AF210">
        <v>1</v>
      </c>
      <c r="AG210" t="s">
        <v>872</v>
      </c>
    </row>
    <row r="211" spans="1:33">
      <c r="A211">
        <v>4</v>
      </c>
      <c r="B211">
        <v>33</v>
      </c>
      <c r="C211" t="s">
        <v>74</v>
      </c>
      <c r="D211" t="s">
        <v>1258</v>
      </c>
      <c r="E211" t="s">
        <v>1259</v>
      </c>
      <c r="F211">
        <v>13138</v>
      </c>
      <c r="G211" s="154" t="s">
        <v>846</v>
      </c>
      <c r="H211" s="2">
        <v>45748.860613425924</v>
      </c>
      <c r="J211" s="21">
        <v>0</v>
      </c>
      <c r="K211" s="21">
        <v>791495</v>
      </c>
      <c r="L211" s="21">
        <v>150384</v>
      </c>
      <c r="M211" s="21"/>
      <c r="N211" s="21"/>
      <c r="O211" s="21">
        <v>941879</v>
      </c>
      <c r="P211" s="21"/>
      <c r="Q211" s="21"/>
      <c r="R211" s="21"/>
      <c r="S211" s="21"/>
      <c r="T211" s="21">
        <v>0</v>
      </c>
      <c r="U211" s="21"/>
      <c r="V211" s="21"/>
      <c r="W211" s="21"/>
      <c r="X211" s="21">
        <v>0</v>
      </c>
      <c r="Y211" s="21"/>
      <c r="Z211" s="21"/>
      <c r="AA211" s="21"/>
      <c r="AB211" s="21"/>
      <c r="AC211" t="s">
        <v>1369</v>
      </c>
      <c r="AD211" t="s">
        <v>871</v>
      </c>
      <c r="AE211" s="21">
        <v>2025</v>
      </c>
      <c r="AF211">
        <v>1</v>
      </c>
      <c r="AG211" t="s">
        <v>872</v>
      </c>
    </row>
    <row r="212" spans="1:33">
      <c r="A212">
        <v>5</v>
      </c>
      <c r="B212">
        <v>33</v>
      </c>
      <c r="C212" t="s">
        <v>74</v>
      </c>
      <c r="D212" t="s">
        <v>873</v>
      </c>
      <c r="E212" t="s">
        <v>874</v>
      </c>
      <c r="F212">
        <v>50211349</v>
      </c>
      <c r="G212" s="1">
        <v>45663</v>
      </c>
      <c r="H212" s="2">
        <v>45809.81590277778</v>
      </c>
      <c r="J212">
        <v>0</v>
      </c>
      <c r="K212">
        <v>244061</v>
      </c>
      <c r="L212">
        <v>46372</v>
      </c>
      <c r="O212">
        <v>290433</v>
      </c>
      <c r="T212">
        <v>0</v>
      </c>
      <c r="X212">
        <v>0</v>
      </c>
      <c r="AC212" t="s">
        <v>1369</v>
      </c>
      <c r="AD212" t="s">
        <v>871</v>
      </c>
      <c r="AE212">
        <v>2025</v>
      </c>
      <c r="AF212">
        <v>1</v>
      </c>
      <c r="AG212" t="s">
        <v>872</v>
      </c>
    </row>
    <row r="213" spans="1:33">
      <c r="A213">
        <v>6</v>
      </c>
      <c r="B213">
        <v>33</v>
      </c>
      <c r="C213" t="s">
        <v>74</v>
      </c>
      <c r="D213" t="s">
        <v>1236</v>
      </c>
      <c r="E213" t="s">
        <v>1237</v>
      </c>
      <c r="F213">
        <v>131652</v>
      </c>
      <c r="G213" s="1">
        <v>45664</v>
      </c>
      <c r="H213" s="2">
        <v>45839.736111111109</v>
      </c>
      <c r="J213">
        <v>0</v>
      </c>
      <c r="K213">
        <v>115257</v>
      </c>
      <c r="L213">
        <v>21899</v>
      </c>
      <c r="O213">
        <v>137156</v>
      </c>
      <c r="T213">
        <v>0</v>
      </c>
      <c r="X213">
        <v>0</v>
      </c>
      <c r="AC213" t="s">
        <v>1369</v>
      </c>
      <c r="AD213" t="s">
        <v>871</v>
      </c>
      <c r="AE213">
        <v>2025</v>
      </c>
      <c r="AF213">
        <v>1</v>
      </c>
      <c r="AG213" t="s">
        <v>872</v>
      </c>
    </row>
    <row r="214" spans="1:33">
      <c r="A214">
        <v>7</v>
      </c>
      <c r="B214">
        <v>33</v>
      </c>
      <c r="C214" t="s">
        <v>74</v>
      </c>
      <c r="D214" t="s">
        <v>917</v>
      </c>
      <c r="E214" t="s">
        <v>1221</v>
      </c>
      <c r="F214">
        <v>181769</v>
      </c>
      <c r="G214" s="1">
        <v>45660</v>
      </c>
      <c r="H214" s="2">
        <v>45870.055324074077</v>
      </c>
      <c r="J214">
        <v>0</v>
      </c>
      <c r="K214">
        <v>992533</v>
      </c>
      <c r="L214">
        <v>188581</v>
      </c>
      <c r="O214">
        <v>1181114</v>
      </c>
      <c r="T214">
        <v>0</v>
      </c>
      <c r="X214">
        <v>0</v>
      </c>
      <c r="AC214" t="s">
        <v>1369</v>
      </c>
      <c r="AD214" t="s">
        <v>871</v>
      </c>
      <c r="AE214">
        <v>2025</v>
      </c>
      <c r="AF214">
        <v>1</v>
      </c>
      <c r="AG214" t="s">
        <v>872</v>
      </c>
    </row>
    <row r="215" spans="1:33">
      <c r="A215">
        <v>8</v>
      </c>
      <c r="B215">
        <v>33</v>
      </c>
      <c r="C215" t="s">
        <v>74</v>
      </c>
      <c r="D215" t="s">
        <v>1279</v>
      </c>
      <c r="E215" t="s">
        <v>1280</v>
      </c>
      <c r="F215">
        <v>493142</v>
      </c>
      <c r="G215" s="1">
        <v>45665</v>
      </c>
      <c r="H215" s="2">
        <v>45870.494317129633</v>
      </c>
      <c r="J215">
        <v>0</v>
      </c>
      <c r="K215">
        <v>612562</v>
      </c>
      <c r="L215">
        <v>116387</v>
      </c>
      <c r="O215">
        <v>728949</v>
      </c>
      <c r="T215">
        <v>0</v>
      </c>
      <c r="X215">
        <v>0</v>
      </c>
      <c r="AC215" t="s">
        <v>1369</v>
      </c>
      <c r="AD215" t="s">
        <v>871</v>
      </c>
      <c r="AE215">
        <v>2025</v>
      </c>
      <c r="AF215">
        <v>1</v>
      </c>
      <c r="AG215" t="s">
        <v>872</v>
      </c>
    </row>
    <row r="216" spans="1:33">
      <c r="A216">
        <v>9</v>
      </c>
      <c r="B216">
        <v>33</v>
      </c>
      <c r="C216" t="s">
        <v>74</v>
      </c>
      <c r="D216" t="s">
        <v>1222</v>
      </c>
      <c r="E216" t="s">
        <v>1223</v>
      </c>
      <c r="F216">
        <v>3386535</v>
      </c>
      <c r="G216" s="1">
        <v>45665</v>
      </c>
      <c r="H216" s="2">
        <v>45870.607905092591</v>
      </c>
      <c r="J216">
        <v>0</v>
      </c>
      <c r="K216">
        <v>18427923</v>
      </c>
      <c r="L216">
        <v>3501305</v>
      </c>
      <c r="O216">
        <v>21929228</v>
      </c>
      <c r="T216">
        <v>0</v>
      </c>
      <c r="X216">
        <v>0</v>
      </c>
      <c r="AC216" t="s">
        <v>1369</v>
      </c>
      <c r="AD216" t="s">
        <v>871</v>
      </c>
      <c r="AE216">
        <v>2025</v>
      </c>
      <c r="AF216">
        <v>1</v>
      </c>
      <c r="AG216" t="s">
        <v>872</v>
      </c>
    </row>
    <row r="217" spans="1:33">
      <c r="A217">
        <v>10</v>
      </c>
      <c r="B217">
        <v>33</v>
      </c>
      <c r="C217" t="s">
        <v>74</v>
      </c>
      <c r="D217" t="s">
        <v>1222</v>
      </c>
      <c r="E217" t="s">
        <v>1223</v>
      </c>
      <c r="F217">
        <v>3386536</v>
      </c>
      <c r="G217" s="1">
        <v>45665</v>
      </c>
      <c r="H217" s="2">
        <v>45870.607916666668</v>
      </c>
      <c r="J217">
        <v>0</v>
      </c>
      <c r="K217">
        <v>2510000</v>
      </c>
      <c r="L217">
        <v>476900</v>
      </c>
      <c r="O217">
        <v>2986900</v>
      </c>
      <c r="T217">
        <v>0</v>
      </c>
      <c r="X217">
        <v>0</v>
      </c>
      <c r="AC217" t="s">
        <v>1369</v>
      </c>
      <c r="AD217" t="s">
        <v>871</v>
      </c>
      <c r="AE217">
        <v>2025</v>
      </c>
      <c r="AF217">
        <v>1</v>
      </c>
      <c r="AG217" t="s">
        <v>872</v>
      </c>
    </row>
    <row r="218" spans="1:33">
      <c r="A218">
        <v>11</v>
      </c>
      <c r="B218">
        <v>33</v>
      </c>
      <c r="C218" t="s">
        <v>74</v>
      </c>
      <c r="D218" t="s">
        <v>1279</v>
      </c>
      <c r="E218" t="s">
        <v>1280</v>
      </c>
      <c r="F218">
        <v>493821</v>
      </c>
      <c r="G218" s="1">
        <v>45667</v>
      </c>
      <c r="H218" s="2">
        <v>45931.533576388887</v>
      </c>
      <c r="J218">
        <v>0</v>
      </c>
      <c r="K218">
        <v>788077</v>
      </c>
      <c r="L218">
        <v>149735</v>
      </c>
      <c r="O218">
        <v>937812</v>
      </c>
      <c r="T218">
        <v>0</v>
      </c>
      <c r="X218">
        <v>0</v>
      </c>
      <c r="AC218" t="s">
        <v>1369</v>
      </c>
      <c r="AD218" t="s">
        <v>871</v>
      </c>
      <c r="AE218">
        <v>2025</v>
      </c>
      <c r="AF218">
        <v>1</v>
      </c>
      <c r="AG218" t="s">
        <v>872</v>
      </c>
    </row>
    <row r="219" spans="1:33">
      <c r="A219">
        <v>12</v>
      </c>
      <c r="B219">
        <v>33</v>
      </c>
      <c r="C219" t="s">
        <v>74</v>
      </c>
      <c r="D219" t="s">
        <v>1353</v>
      </c>
      <c r="E219" t="s">
        <v>1354</v>
      </c>
      <c r="F219">
        <v>24829</v>
      </c>
      <c r="G219" s="1" t="s">
        <v>1370</v>
      </c>
      <c r="H219" t="s">
        <v>1355</v>
      </c>
      <c r="J219">
        <v>0</v>
      </c>
      <c r="K219">
        <v>5000000</v>
      </c>
      <c r="L219">
        <v>950000</v>
      </c>
      <c r="O219">
        <v>5950000</v>
      </c>
      <c r="T219">
        <v>0</v>
      </c>
      <c r="X219">
        <v>0</v>
      </c>
      <c r="AC219" t="s">
        <v>1369</v>
      </c>
      <c r="AD219" t="s">
        <v>871</v>
      </c>
      <c r="AE219">
        <v>2025</v>
      </c>
      <c r="AF219">
        <v>1</v>
      </c>
      <c r="AG219" t="s">
        <v>872</v>
      </c>
    </row>
    <row r="220" spans="1:33">
      <c r="A220">
        <v>13</v>
      </c>
      <c r="B220">
        <v>33</v>
      </c>
      <c r="C220" t="s">
        <v>74</v>
      </c>
      <c r="D220" t="s">
        <v>1279</v>
      </c>
      <c r="E220" t="s">
        <v>1280</v>
      </c>
      <c r="F220">
        <v>494398</v>
      </c>
      <c r="G220" t="s">
        <v>1370</v>
      </c>
      <c r="H220" t="s">
        <v>1356</v>
      </c>
      <c r="J220">
        <v>0</v>
      </c>
      <c r="K220">
        <v>59526</v>
      </c>
      <c r="L220">
        <v>11310</v>
      </c>
      <c r="O220">
        <v>70836</v>
      </c>
      <c r="T220">
        <v>0</v>
      </c>
      <c r="X220">
        <v>0</v>
      </c>
      <c r="AC220" t="s">
        <v>1369</v>
      </c>
      <c r="AD220" t="s">
        <v>871</v>
      </c>
      <c r="AE220">
        <v>2025</v>
      </c>
      <c r="AF220">
        <v>1</v>
      </c>
      <c r="AG220" t="s">
        <v>872</v>
      </c>
    </row>
    <row r="221" spans="1:33">
      <c r="A221">
        <v>14</v>
      </c>
      <c r="B221">
        <v>33</v>
      </c>
      <c r="C221" t="s">
        <v>74</v>
      </c>
      <c r="D221" t="s">
        <v>1279</v>
      </c>
      <c r="E221" t="s">
        <v>1280</v>
      </c>
      <c r="F221">
        <v>494747</v>
      </c>
      <c r="G221" t="s">
        <v>1371</v>
      </c>
      <c r="H221" t="s">
        <v>1357</v>
      </c>
      <c r="J221">
        <v>0</v>
      </c>
      <c r="K221">
        <v>60280</v>
      </c>
      <c r="L221">
        <v>11453</v>
      </c>
      <c r="O221">
        <v>71733</v>
      </c>
      <c r="T221">
        <v>0</v>
      </c>
      <c r="X221">
        <v>0</v>
      </c>
      <c r="AC221" t="s">
        <v>1369</v>
      </c>
      <c r="AD221" t="s">
        <v>871</v>
      </c>
      <c r="AE221">
        <v>2025</v>
      </c>
      <c r="AF221">
        <v>1</v>
      </c>
      <c r="AG221" t="s">
        <v>872</v>
      </c>
    </row>
    <row r="222" spans="1:33">
      <c r="A222">
        <v>15</v>
      </c>
      <c r="B222">
        <v>33</v>
      </c>
      <c r="C222" t="s">
        <v>74</v>
      </c>
      <c r="D222" t="s">
        <v>1279</v>
      </c>
      <c r="E222" t="s">
        <v>1280</v>
      </c>
      <c r="F222">
        <v>494765</v>
      </c>
      <c r="G222" t="s">
        <v>1371</v>
      </c>
      <c r="H222" t="s">
        <v>1358</v>
      </c>
      <c r="J222">
        <v>0</v>
      </c>
      <c r="K222">
        <v>60280</v>
      </c>
      <c r="L222">
        <v>11453</v>
      </c>
      <c r="O222">
        <v>71733</v>
      </c>
      <c r="T222">
        <v>0</v>
      </c>
      <c r="X222">
        <v>0</v>
      </c>
      <c r="AC222" t="s">
        <v>1369</v>
      </c>
      <c r="AD222" t="s">
        <v>871</v>
      </c>
      <c r="AE222">
        <v>2025</v>
      </c>
      <c r="AF222">
        <v>1</v>
      </c>
      <c r="AG222" t="s">
        <v>872</v>
      </c>
    </row>
    <row r="223" spans="1:33">
      <c r="A223">
        <v>16</v>
      </c>
      <c r="B223">
        <v>33</v>
      </c>
      <c r="C223" t="s">
        <v>74</v>
      </c>
      <c r="D223" t="s">
        <v>1306</v>
      </c>
      <c r="E223" t="s">
        <v>1307</v>
      </c>
      <c r="F223">
        <v>82782</v>
      </c>
      <c r="G223" s="1" t="s">
        <v>1371</v>
      </c>
      <c r="H223" t="s">
        <v>1359</v>
      </c>
      <c r="J223">
        <v>0</v>
      </c>
      <c r="K223">
        <v>1132266</v>
      </c>
      <c r="L223">
        <v>215131</v>
      </c>
      <c r="O223">
        <v>1347397</v>
      </c>
      <c r="T223">
        <v>0</v>
      </c>
      <c r="X223">
        <v>0</v>
      </c>
      <c r="AC223" t="s">
        <v>1369</v>
      </c>
      <c r="AD223" t="s">
        <v>871</v>
      </c>
      <c r="AE223">
        <v>2025</v>
      </c>
      <c r="AF223">
        <v>1</v>
      </c>
      <c r="AG223" t="s">
        <v>872</v>
      </c>
    </row>
    <row r="224" spans="1:33">
      <c r="A224">
        <v>17</v>
      </c>
      <c r="B224">
        <v>33</v>
      </c>
      <c r="C224" t="s">
        <v>74</v>
      </c>
      <c r="D224" t="s">
        <v>1222</v>
      </c>
      <c r="E224" t="s">
        <v>1223</v>
      </c>
      <c r="F224">
        <v>3399961</v>
      </c>
      <c r="G224" t="s">
        <v>1371</v>
      </c>
      <c r="H224" t="s">
        <v>1360</v>
      </c>
      <c r="J224">
        <v>0</v>
      </c>
      <c r="K224">
        <v>9911266</v>
      </c>
      <c r="L224">
        <v>1883141</v>
      </c>
      <c r="O224">
        <v>11794407</v>
      </c>
      <c r="T224">
        <v>0</v>
      </c>
      <c r="X224">
        <v>0</v>
      </c>
      <c r="AC224" t="s">
        <v>1369</v>
      </c>
      <c r="AD224" t="s">
        <v>871</v>
      </c>
      <c r="AE224">
        <v>2025</v>
      </c>
      <c r="AF224">
        <v>1</v>
      </c>
      <c r="AG224" t="s">
        <v>872</v>
      </c>
    </row>
    <row r="225" spans="1:33">
      <c r="A225">
        <v>18</v>
      </c>
      <c r="B225">
        <v>33</v>
      </c>
      <c r="C225" t="s">
        <v>74</v>
      </c>
      <c r="D225" t="s">
        <v>1279</v>
      </c>
      <c r="E225" t="s">
        <v>1280</v>
      </c>
      <c r="F225">
        <v>495898</v>
      </c>
      <c r="G225" t="s">
        <v>1372</v>
      </c>
      <c r="H225" t="s">
        <v>1361</v>
      </c>
      <c r="J225">
        <v>0</v>
      </c>
      <c r="K225">
        <v>77952</v>
      </c>
      <c r="L225">
        <v>14811</v>
      </c>
      <c r="O225">
        <v>92763</v>
      </c>
      <c r="T225">
        <v>0</v>
      </c>
      <c r="X225">
        <v>0</v>
      </c>
      <c r="AC225" t="s">
        <v>1369</v>
      </c>
      <c r="AD225" t="s">
        <v>871</v>
      </c>
      <c r="AE225">
        <v>2025</v>
      </c>
      <c r="AF225">
        <v>1</v>
      </c>
      <c r="AG225" t="s">
        <v>872</v>
      </c>
    </row>
    <row r="226" spans="1:33">
      <c r="A226">
        <v>19</v>
      </c>
      <c r="B226">
        <v>33</v>
      </c>
      <c r="C226" t="s">
        <v>74</v>
      </c>
      <c r="D226" t="s">
        <v>1279</v>
      </c>
      <c r="E226" t="s">
        <v>1280</v>
      </c>
      <c r="F226">
        <v>495901</v>
      </c>
      <c r="G226" t="s">
        <v>1372</v>
      </c>
      <c r="H226" t="s">
        <v>1362</v>
      </c>
      <c r="J226">
        <v>0</v>
      </c>
      <c r="K226">
        <v>77952</v>
      </c>
      <c r="L226">
        <v>14811</v>
      </c>
      <c r="O226">
        <v>92763</v>
      </c>
      <c r="T226">
        <v>0</v>
      </c>
      <c r="X226">
        <v>0</v>
      </c>
      <c r="AC226" t="s">
        <v>1369</v>
      </c>
      <c r="AD226" t="s">
        <v>871</v>
      </c>
      <c r="AE226">
        <v>2025</v>
      </c>
      <c r="AF226">
        <v>1</v>
      </c>
      <c r="AG226" t="s">
        <v>872</v>
      </c>
    </row>
    <row r="227" spans="1:33">
      <c r="A227">
        <v>20</v>
      </c>
      <c r="B227">
        <v>33</v>
      </c>
      <c r="C227" t="s">
        <v>74</v>
      </c>
      <c r="D227" t="s">
        <v>1279</v>
      </c>
      <c r="E227" t="s">
        <v>1280</v>
      </c>
      <c r="F227">
        <v>495992</v>
      </c>
      <c r="G227" t="s">
        <v>1372</v>
      </c>
      <c r="H227" t="s">
        <v>1363</v>
      </c>
      <c r="J227">
        <v>0</v>
      </c>
      <c r="K227">
        <v>381660</v>
      </c>
      <c r="L227">
        <v>72515</v>
      </c>
      <c r="O227">
        <v>454175</v>
      </c>
      <c r="T227">
        <v>0</v>
      </c>
      <c r="X227">
        <v>0</v>
      </c>
      <c r="AC227" t="s">
        <v>1369</v>
      </c>
      <c r="AD227" t="s">
        <v>871</v>
      </c>
      <c r="AE227">
        <v>2025</v>
      </c>
      <c r="AF227">
        <v>1</v>
      </c>
      <c r="AG227" t="s">
        <v>872</v>
      </c>
    </row>
    <row r="228" spans="1:33">
      <c r="A228">
        <v>21</v>
      </c>
      <c r="B228">
        <v>33</v>
      </c>
      <c r="C228" t="s">
        <v>74</v>
      </c>
      <c r="D228" t="s">
        <v>1279</v>
      </c>
      <c r="E228" t="s">
        <v>1280</v>
      </c>
      <c r="F228">
        <v>495993</v>
      </c>
      <c r="G228" t="s">
        <v>1372</v>
      </c>
      <c r="H228" t="s">
        <v>1364</v>
      </c>
      <c r="J228">
        <v>0</v>
      </c>
      <c r="K228">
        <v>373561</v>
      </c>
      <c r="L228">
        <v>70977</v>
      </c>
      <c r="O228">
        <v>444538</v>
      </c>
      <c r="T228">
        <v>0</v>
      </c>
      <c r="X228">
        <v>0</v>
      </c>
      <c r="AC228" t="s">
        <v>1369</v>
      </c>
      <c r="AD228" t="s">
        <v>871</v>
      </c>
      <c r="AE228">
        <v>2025</v>
      </c>
      <c r="AF228">
        <v>1</v>
      </c>
      <c r="AG228" t="s">
        <v>872</v>
      </c>
    </row>
    <row r="229" spans="1:33">
      <c r="A229">
        <v>22</v>
      </c>
      <c r="B229">
        <v>33</v>
      </c>
      <c r="C229" t="s">
        <v>74</v>
      </c>
      <c r="D229" t="s">
        <v>1279</v>
      </c>
      <c r="E229" t="s">
        <v>1280</v>
      </c>
      <c r="F229">
        <v>496499</v>
      </c>
      <c r="G229" t="s">
        <v>1373</v>
      </c>
      <c r="H229" t="s">
        <v>1365</v>
      </c>
      <c r="J229">
        <v>0</v>
      </c>
      <c r="K229">
        <v>482029</v>
      </c>
      <c r="L229">
        <v>91586</v>
      </c>
      <c r="O229">
        <v>573615</v>
      </c>
      <c r="T229">
        <v>0</v>
      </c>
      <c r="X229">
        <v>0</v>
      </c>
      <c r="AC229" t="s">
        <v>1369</v>
      </c>
      <c r="AD229" t="s">
        <v>871</v>
      </c>
      <c r="AE229">
        <v>2025</v>
      </c>
      <c r="AF229">
        <v>1</v>
      </c>
      <c r="AG229" t="s">
        <v>872</v>
      </c>
    </row>
    <row r="230" spans="1:33">
      <c r="A230">
        <v>23</v>
      </c>
      <c r="B230">
        <v>33</v>
      </c>
      <c r="C230" t="s">
        <v>74</v>
      </c>
      <c r="D230" t="s">
        <v>1279</v>
      </c>
      <c r="E230" t="s">
        <v>1280</v>
      </c>
      <c r="F230">
        <v>496500</v>
      </c>
      <c r="G230" t="s">
        <v>1373</v>
      </c>
      <c r="H230" t="s">
        <v>1366</v>
      </c>
      <c r="J230">
        <v>0</v>
      </c>
      <c r="K230">
        <v>498064</v>
      </c>
      <c r="L230">
        <v>94632</v>
      </c>
      <c r="O230">
        <v>592696</v>
      </c>
      <c r="T230">
        <v>0</v>
      </c>
      <c r="X230">
        <v>0</v>
      </c>
      <c r="AC230" t="s">
        <v>1369</v>
      </c>
      <c r="AD230" t="s">
        <v>871</v>
      </c>
      <c r="AE230">
        <v>2025</v>
      </c>
      <c r="AF230">
        <v>1</v>
      </c>
      <c r="AG230" t="s">
        <v>872</v>
      </c>
    </row>
    <row r="231" spans="1:33">
      <c r="A231">
        <v>24</v>
      </c>
      <c r="B231">
        <v>33</v>
      </c>
      <c r="C231" t="s">
        <v>74</v>
      </c>
      <c r="D231" t="s">
        <v>1246</v>
      </c>
      <c r="E231" t="s">
        <v>1247</v>
      </c>
      <c r="F231">
        <v>70932</v>
      </c>
      <c r="G231" t="s">
        <v>1374</v>
      </c>
      <c r="H231" t="s">
        <v>1367</v>
      </c>
      <c r="J231">
        <v>0</v>
      </c>
      <c r="K231">
        <v>155108</v>
      </c>
      <c r="L231">
        <v>29471</v>
      </c>
      <c r="O231">
        <v>184579</v>
      </c>
      <c r="T231">
        <v>0</v>
      </c>
      <c r="X231">
        <v>0</v>
      </c>
      <c r="AC231" t="s">
        <v>1369</v>
      </c>
      <c r="AD231" t="s">
        <v>871</v>
      </c>
      <c r="AE231">
        <v>2025</v>
      </c>
      <c r="AF231">
        <v>1</v>
      </c>
      <c r="AG231" t="s">
        <v>872</v>
      </c>
    </row>
    <row r="232" spans="1:33">
      <c r="A232">
        <v>25</v>
      </c>
      <c r="B232">
        <v>33</v>
      </c>
      <c r="C232" t="s">
        <v>74</v>
      </c>
      <c r="D232" t="s">
        <v>1246</v>
      </c>
      <c r="E232" t="s">
        <v>1247</v>
      </c>
      <c r="F232">
        <v>70933</v>
      </c>
      <c r="G232" t="s">
        <v>1374</v>
      </c>
      <c r="H232" t="s">
        <v>1367</v>
      </c>
      <c r="J232">
        <v>0</v>
      </c>
      <c r="K232">
        <v>155108</v>
      </c>
      <c r="L232">
        <v>29471</v>
      </c>
      <c r="O232">
        <v>184579</v>
      </c>
      <c r="T232">
        <v>0</v>
      </c>
      <c r="X232">
        <v>0</v>
      </c>
      <c r="AC232" t="s">
        <v>1369</v>
      </c>
      <c r="AD232" t="s">
        <v>871</v>
      </c>
      <c r="AE232">
        <v>2025</v>
      </c>
      <c r="AF232">
        <v>1</v>
      </c>
      <c r="AG232" t="s">
        <v>872</v>
      </c>
    </row>
    <row r="233" spans="1:33">
      <c r="A233">
        <v>26</v>
      </c>
      <c r="B233">
        <v>33</v>
      </c>
      <c r="C233" t="s">
        <v>74</v>
      </c>
      <c r="D233" t="s">
        <v>1246</v>
      </c>
      <c r="E233" t="s">
        <v>1247</v>
      </c>
      <c r="F233">
        <v>70935</v>
      </c>
      <c r="G233" t="s">
        <v>1374</v>
      </c>
      <c r="H233" t="s">
        <v>1367</v>
      </c>
      <c r="J233">
        <v>0</v>
      </c>
      <c r="K233">
        <v>155108</v>
      </c>
      <c r="L233">
        <v>29471</v>
      </c>
      <c r="O233">
        <v>184579</v>
      </c>
      <c r="T233">
        <v>0</v>
      </c>
      <c r="X233">
        <v>0</v>
      </c>
      <c r="AC233" t="s">
        <v>1369</v>
      </c>
      <c r="AD233" t="s">
        <v>871</v>
      </c>
      <c r="AE233">
        <v>2025</v>
      </c>
      <c r="AF233">
        <v>1</v>
      </c>
      <c r="AG233" t="s">
        <v>872</v>
      </c>
    </row>
    <row r="234" spans="1:33">
      <c r="A234">
        <v>27</v>
      </c>
      <c r="B234">
        <v>33</v>
      </c>
      <c r="C234" t="s">
        <v>74</v>
      </c>
      <c r="D234" t="s">
        <v>873</v>
      </c>
      <c r="E234" t="s">
        <v>874</v>
      </c>
      <c r="F234">
        <v>50366175</v>
      </c>
      <c r="G234" t="s">
        <v>1375</v>
      </c>
      <c r="H234" t="s">
        <v>1368</v>
      </c>
      <c r="J234">
        <v>0</v>
      </c>
      <c r="K234">
        <v>29569</v>
      </c>
      <c r="L234">
        <v>5618</v>
      </c>
      <c r="O234">
        <v>35187</v>
      </c>
      <c r="T234">
        <v>0</v>
      </c>
      <c r="X234">
        <v>0</v>
      </c>
      <c r="AC234" t="s">
        <v>1369</v>
      </c>
      <c r="AD234" t="s">
        <v>871</v>
      </c>
      <c r="AE234">
        <v>2025</v>
      </c>
      <c r="AF234">
        <v>1</v>
      </c>
      <c r="AG234" t="s">
        <v>872</v>
      </c>
    </row>
    <row r="235" spans="1:33">
      <c r="A235">
        <v>28</v>
      </c>
      <c r="B235">
        <v>34</v>
      </c>
      <c r="C235" t="s">
        <v>74</v>
      </c>
      <c r="D235" t="s">
        <v>107</v>
      </c>
      <c r="E235" t="s">
        <v>887</v>
      </c>
      <c r="F235">
        <v>2700</v>
      </c>
      <c r="G235" s="1">
        <v>45660</v>
      </c>
      <c r="H235" s="2">
        <v>45717.91909722222</v>
      </c>
      <c r="J235">
        <v>2497567</v>
      </c>
      <c r="K235">
        <v>0</v>
      </c>
      <c r="L235">
        <v>0</v>
      </c>
      <c r="O235">
        <v>2497567</v>
      </c>
      <c r="T235">
        <v>0</v>
      </c>
      <c r="X235">
        <v>0</v>
      </c>
      <c r="AC235" t="s">
        <v>1369</v>
      </c>
      <c r="AD235" t="s">
        <v>871</v>
      </c>
      <c r="AE235">
        <v>2025</v>
      </c>
      <c r="AF235">
        <v>1</v>
      </c>
      <c r="AG235" t="s">
        <v>880</v>
      </c>
    </row>
    <row r="236" spans="1:33">
      <c r="A236">
        <v>29</v>
      </c>
      <c r="B236">
        <v>34</v>
      </c>
      <c r="C236" t="s">
        <v>74</v>
      </c>
      <c r="D236" t="s">
        <v>1215</v>
      </c>
      <c r="E236" t="s">
        <v>1216</v>
      </c>
      <c r="F236">
        <v>304096</v>
      </c>
      <c r="G236" s="1">
        <v>45664</v>
      </c>
      <c r="H236" s="2">
        <v>45839.71802083333</v>
      </c>
      <c r="J236">
        <v>1536690</v>
      </c>
      <c r="K236">
        <v>0</v>
      </c>
      <c r="L236">
        <v>0</v>
      </c>
      <c r="O236">
        <v>1536690</v>
      </c>
      <c r="T236">
        <v>0</v>
      </c>
      <c r="X236">
        <v>0</v>
      </c>
      <c r="AC236" t="s">
        <v>1369</v>
      </c>
      <c r="AD236" t="s">
        <v>871</v>
      </c>
      <c r="AE236">
        <v>2025</v>
      </c>
      <c r="AF236">
        <v>1</v>
      </c>
      <c r="AG236" t="s">
        <v>880</v>
      </c>
    </row>
    <row r="237" spans="1:33">
      <c r="A237">
        <v>30</v>
      </c>
      <c r="B237">
        <v>914</v>
      </c>
      <c r="C237" t="s">
        <v>74</v>
      </c>
      <c r="D237" t="s">
        <v>844</v>
      </c>
      <c r="E237" t="s">
        <v>845</v>
      </c>
      <c r="F237">
        <v>3670096975</v>
      </c>
      <c r="G237" t="s">
        <v>1372</v>
      </c>
      <c r="H237" s="2">
        <v>45993.452465277776</v>
      </c>
      <c r="J237">
        <v>0</v>
      </c>
      <c r="K237">
        <v>44216605</v>
      </c>
      <c r="L237">
        <v>8401155</v>
      </c>
      <c r="O237">
        <v>52617760</v>
      </c>
      <c r="X237">
        <v>0</v>
      </c>
      <c r="AC237" t="s">
        <v>1369</v>
      </c>
      <c r="AD237" t="s">
        <v>871</v>
      </c>
      <c r="AE237">
        <v>2025</v>
      </c>
      <c r="AF237">
        <v>1</v>
      </c>
      <c r="AG237" t="s">
        <v>1142</v>
      </c>
    </row>
    <row r="238" spans="1:33">
      <c r="A238">
        <v>31</v>
      </c>
      <c r="B238">
        <v>914</v>
      </c>
      <c r="C238" t="s">
        <v>74</v>
      </c>
      <c r="D238" t="s">
        <v>844</v>
      </c>
      <c r="E238" t="s">
        <v>845</v>
      </c>
      <c r="F238">
        <v>3670096894</v>
      </c>
      <c r="G238" t="s">
        <v>1376</v>
      </c>
      <c r="H238" s="2">
        <v>45993.453067129631</v>
      </c>
      <c r="J238">
        <v>0</v>
      </c>
      <c r="K238">
        <v>50822279</v>
      </c>
      <c r="L238">
        <v>9656233</v>
      </c>
      <c r="O238">
        <v>60478512</v>
      </c>
      <c r="X238">
        <v>0</v>
      </c>
      <c r="AC238" t="s">
        <v>1369</v>
      </c>
      <c r="AD238" t="s">
        <v>871</v>
      </c>
      <c r="AE238">
        <v>2025</v>
      </c>
      <c r="AF238">
        <v>1</v>
      </c>
      <c r="AG238" t="s">
        <v>1142</v>
      </c>
    </row>
    <row r="239" spans="1:33">
      <c r="A239">
        <v>32</v>
      </c>
      <c r="B239">
        <v>914</v>
      </c>
      <c r="C239" t="s">
        <v>74</v>
      </c>
      <c r="D239" t="s">
        <v>844</v>
      </c>
      <c r="E239" t="s">
        <v>845</v>
      </c>
      <c r="F239">
        <v>3670096893</v>
      </c>
      <c r="G239" t="s">
        <v>1372</v>
      </c>
      <c r="H239" s="2">
        <v>45993.453668981485</v>
      </c>
      <c r="J239">
        <v>0</v>
      </c>
      <c r="K239">
        <v>36939174</v>
      </c>
      <c r="L239">
        <v>7018443</v>
      </c>
      <c r="O239">
        <v>43957617</v>
      </c>
      <c r="X239">
        <v>0</v>
      </c>
      <c r="AC239" t="s">
        <v>1369</v>
      </c>
      <c r="AD239" t="s">
        <v>871</v>
      </c>
      <c r="AE239">
        <v>2025</v>
      </c>
      <c r="AF239">
        <v>1</v>
      </c>
      <c r="AG239" t="s">
        <v>1142</v>
      </c>
    </row>
    <row r="240" spans="1:33">
      <c r="A240">
        <v>1</v>
      </c>
      <c r="B240">
        <v>33</v>
      </c>
      <c r="C240" t="s">
        <v>74</v>
      </c>
      <c r="D240" t="s">
        <v>1306</v>
      </c>
      <c r="E240" t="s">
        <v>1307</v>
      </c>
      <c r="F240">
        <v>82857</v>
      </c>
      <c r="G240" t="s">
        <v>1424</v>
      </c>
      <c r="H240" t="s">
        <v>1377</v>
      </c>
      <c r="J240">
        <v>0</v>
      </c>
      <c r="K240">
        <v>588686</v>
      </c>
      <c r="L240">
        <v>111850</v>
      </c>
      <c r="O240">
        <v>700536</v>
      </c>
      <c r="T240">
        <v>0</v>
      </c>
      <c r="X240">
        <v>0</v>
      </c>
      <c r="AC240" t="s">
        <v>1423</v>
      </c>
      <c r="AD240" t="s">
        <v>871</v>
      </c>
      <c r="AE240">
        <v>2025</v>
      </c>
      <c r="AF240">
        <v>2</v>
      </c>
      <c r="AG240" t="s">
        <v>872</v>
      </c>
    </row>
    <row r="241" spans="1:33">
      <c r="A241">
        <v>2</v>
      </c>
      <c r="B241">
        <v>33</v>
      </c>
      <c r="C241" t="s">
        <v>74</v>
      </c>
      <c r="D241" t="s">
        <v>1217</v>
      </c>
      <c r="E241" t="s">
        <v>1305</v>
      </c>
      <c r="F241">
        <v>40837</v>
      </c>
      <c r="G241" s="1" t="s">
        <v>1424</v>
      </c>
      <c r="H241" t="s">
        <v>1378</v>
      </c>
      <c r="J241">
        <v>0</v>
      </c>
      <c r="K241">
        <v>1448088</v>
      </c>
      <c r="L241">
        <v>275137</v>
      </c>
      <c r="O241">
        <v>1723225</v>
      </c>
      <c r="T241">
        <v>0</v>
      </c>
      <c r="X241">
        <v>0</v>
      </c>
      <c r="AC241" t="s">
        <v>1423</v>
      </c>
      <c r="AD241" t="s">
        <v>871</v>
      </c>
      <c r="AE241">
        <v>2025</v>
      </c>
      <c r="AF241">
        <v>2</v>
      </c>
      <c r="AG241" t="s">
        <v>872</v>
      </c>
    </row>
    <row r="242" spans="1:33">
      <c r="A242">
        <v>3</v>
      </c>
      <c r="B242">
        <v>33</v>
      </c>
      <c r="C242" t="s">
        <v>74</v>
      </c>
      <c r="D242" t="s">
        <v>109</v>
      </c>
      <c r="E242" t="s">
        <v>1379</v>
      </c>
      <c r="F242">
        <v>4532</v>
      </c>
      <c r="G242" s="1">
        <v>45689</v>
      </c>
      <c r="H242" s="2">
        <v>45690.999560185184</v>
      </c>
      <c r="J242">
        <v>0</v>
      </c>
      <c r="K242">
        <v>575729</v>
      </c>
      <c r="L242">
        <v>109389</v>
      </c>
      <c r="O242">
        <v>685118</v>
      </c>
      <c r="T242">
        <v>0</v>
      </c>
      <c r="X242">
        <v>0</v>
      </c>
      <c r="AC242" t="s">
        <v>1423</v>
      </c>
      <c r="AD242" t="s">
        <v>871</v>
      </c>
      <c r="AE242">
        <v>2025</v>
      </c>
      <c r="AF242">
        <v>2</v>
      </c>
      <c r="AG242" t="s">
        <v>872</v>
      </c>
    </row>
    <row r="243" spans="1:33">
      <c r="A243">
        <v>4</v>
      </c>
      <c r="B243">
        <v>33</v>
      </c>
      <c r="C243" t="s">
        <v>74</v>
      </c>
      <c r="D243" t="s">
        <v>1212</v>
      </c>
      <c r="E243" t="s">
        <v>1213</v>
      </c>
      <c r="F243">
        <v>2354015</v>
      </c>
      <c r="G243" t="s">
        <v>1424</v>
      </c>
      <c r="H243" s="2">
        <v>45749.080289351848</v>
      </c>
      <c r="J243">
        <v>0</v>
      </c>
      <c r="K243">
        <v>3223871</v>
      </c>
      <c r="L243">
        <v>612535</v>
      </c>
      <c r="O243">
        <v>3836406</v>
      </c>
      <c r="T243">
        <v>0</v>
      </c>
      <c r="X243">
        <v>0</v>
      </c>
      <c r="AC243" t="s">
        <v>1423</v>
      </c>
      <c r="AD243" t="s">
        <v>871</v>
      </c>
      <c r="AE243">
        <v>2025</v>
      </c>
      <c r="AF243">
        <v>2</v>
      </c>
      <c r="AG243" t="s">
        <v>872</v>
      </c>
    </row>
    <row r="244" spans="1:33">
      <c r="A244">
        <v>5</v>
      </c>
      <c r="B244">
        <v>33</v>
      </c>
      <c r="C244" t="s">
        <v>74</v>
      </c>
      <c r="D244" t="s">
        <v>1258</v>
      </c>
      <c r="E244" t="s">
        <v>1259</v>
      </c>
      <c r="F244">
        <v>13215</v>
      </c>
      <c r="G244" t="s">
        <v>1424</v>
      </c>
      <c r="H244" s="2">
        <v>45749.437407407408</v>
      </c>
      <c r="J244">
        <v>0</v>
      </c>
      <c r="K244">
        <v>706668</v>
      </c>
      <c r="L244">
        <v>134267</v>
      </c>
      <c r="O244">
        <v>840935</v>
      </c>
      <c r="T244">
        <v>0</v>
      </c>
      <c r="X244">
        <v>0</v>
      </c>
      <c r="AC244" t="s">
        <v>1423</v>
      </c>
      <c r="AD244" t="s">
        <v>871</v>
      </c>
      <c r="AE244">
        <v>2025</v>
      </c>
      <c r="AF244">
        <v>2</v>
      </c>
      <c r="AG244" t="s">
        <v>872</v>
      </c>
    </row>
    <row r="245" spans="1:33">
      <c r="A245">
        <v>6</v>
      </c>
      <c r="B245">
        <v>33</v>
      </c>
      <c r="C245" t="s">
        <v>74</v>
      </c>
      <c r="D245" t="s">
        <v>1219</v>
      </c>
      <c r="E245" t="s">
        <v>1220</v>
      </c>
      <c r="F245">
        <v>545573</v>
      </c>
      <c r="G245" s="1">
        <v>45693</v>
      </c>
      <c r="H245" s="2">
        <v>45779.722407407404</v>
      </c>
      <c r="J245">
        <v>0</v>
      </c>
      <c r="K245">
        <v>219272</v>
      </c>
      <c r="L245">
        <v>41662</v>
      </c>
      <c r="O245">
        <v>260934</v>
      </c>
      <c r="T245">
        <v>0</v>
      </c>
      <c r="X245">
        <v>0</v>
      </c>
      <c r="AC245" t="s">
        <v>1423</v>
      </c>
      <c r="AD245" t="s">
        <v>871</v>
      </c>
      <c r="AE245">
        <v>2025</v>
      </c>
      <c r="AF245">
        <v>2</v>
      </c>
      <c r="AG245" t="s">
        <v>872</v>
      </c>
    </row>
    <row r="246" spans="1:33">
      <c r="A246">
        <v>7</v>
      </c>
      <c r="B246">
        <v>33</v>
      </c>
      <c r="C246" t="s">
        <v>74</v>
      </c>
      <c r="D246" t="s">
        <v>1219</v>
      </c>
      <c r="E246" t="s">
        <v>1220</v>
      </c>
      <c r="F246">
        <v>545575</v>
      </c>
      <c r="G246" s="1">
        <v>45693</v>
      </c>
      <c r="H246" s="2">
        <v>45779.722418981481</v>
      </c>
      <c r="J246">
        <v>0</v>
      </c>
      <c r="K246">
        <v>219272</v>
      </c>
      <c r="L246">
        <v>41662</v>
      </c>
      <c r="O246">
        <v>260934</v>
      </c>
      <c r="T246">
        <v>0</v>
      </c>
      <c r="X246">
        <v>0</v>
      </c>
      <c r="AC246" t="s">
        <v>1423</v>
      </c>
      <c r="AD246" t="s">
        <v>871</v>
      </c>
      <c r="AE246">
        <v>2025</v>
      </c>
      <c r="AF246">
        <v>2</v>
      </c>
      <c r="AG246" t="s">
        <v>872</v>
      </c>
    </row>
    <row r="247" spans="1:33">
      <c r="A247">
        <v>8</v>
      </c>
      <c r="B247">
        <v>33</v>
      </c>
      <c r="C247" t="s">
        <v>74</v>
      </c>
      <c r="D247" t="s">
        <v>1219</v>
      </c>
      <c r="E247" t="s">
        <v>1220</v>
      </c>
      <c r="F247">
        <v>545577</v>
      </c>
      <c r="G247" s="1">
        <v>45693</v>
      </c>
      <c r="H247" s="2">
        <v>45779.723854166667</v>
      </c>
      <c r="J247">
        <v>0</v>
      </c>
      <c r="K247">
        <v>219272</v>
      </c>
      <c r="L247">
        <v>41662</v>
      </c>
      <c r="O247">
        <v>260934</v>
      </c>
      <c r="T247">
        <v>0</v>
      </c>
      <c r="X247">
        <v>0</v>
      </c>
      <c r="AC247" t="s">
        <v>1423</v>
      </c>
      <c r="AD247" t="s">
        <v>871</v>
      </c>
      <c r="AE247">
        <v>2025</v>
      </c>
      <c r="AF247">
        <v>2</v>
      </c>
      <c r="AG247" t="s">
        <v>872</v>
      </c>
    </row>
    <row r="248" spans="1:33">
      <c r="A248">
        <v>9</v>
      </c>
      <c r="B248">
        <v>33</v>
      </c>
      <c r="C248" t="s">
        <v>74</v>
      </c>
      <c r="D248" t="s">
        <v>1219</v>
      </c>
      <c r="E248" t="s">
        <v>1220</v>
      </c>
      <c r="F248">
        <v>545576</v>
      </c>
      <c r="G248" s="1">
        <v>45693</v>
      </c>
      <c r="H248" s="2">
        <v>45779.72383101852</v>
      </c>
      <c r="J248">
        <v>0</v>
      </c>
      <c r="K248">
        <v>219272</v>
      </c>
      <c r="L248">
        <v>41662</v>
      </c>
      <c r="O248">
        <v>260934</v>
      </c>
      <c r="T248">
        <v>0</v>
      </c>
      <c r="X248">
        <v>0</v>
      </c>
      <c r="AC248" t="s">
        <v>1423</v>
      </c>
      <c r="AD248" t="s">
        <v>871</v>
      </c>
      <c r="AE248">
        <v>2025</v>
      </c>
      <c r="AF248">
        <v>2</v>
      </c>
      <c r="AG248" t="s">
        <v>872</v>
      </c>
    </row>
    <row r="249" spans="1:33">
      <c r="A249">
        <v>10</v>
      </c>
      <c r="B249">
        <v>33</v>
      </c>
      <c r="C249" t="s">
        <v>74</v>
      </c>
      <c r="D249" t="s">
        <v>1219</v>
      </c>
      <c r="E249" t="s">
        <v>1220</v>
      </c>
      <c r="F249">
        <v>545579</v>
      </c>
      <c r="G249" s="1">
        <v>45693</v>
      </c>
      <c r="H249" s="2">
        <v>45779.723865740743</v>
      </c>
      <c r="J249">
        <v>0</v>
      </c>
      <c r="K249">
        <v>219272</v>
      </c>
      <c r="L249">
        <v>41662</v>
      </c>
      <c r="O249">
        <v>260934</v>
      </c>
      <c r="T249">
        <v>0</v>
      </c>
      <c r="X249">
        <v>0</v>
      </c>
      <c r="AC249" t="s">
        <v>1423</v>
      </c>
      <c r="AD249" t="s">
        <v>871</v>
      </c>
      <c r="AE249">
        <v>2025</v>
      </c>
      <c r="AF249">
        <v>2</v>
      </c>
      <c r="AG249" t="s">
        <v>872</v>
      </c>
    </row>
    <row r="250" spans="1:33">
      <c r="A250">
        <v>11</v>
      </c>
      <c r="B250">
        <v>33</v>
      </c>
      <c r="C250" t="s">
        <v>74</v>
      </c>
      <c r="D250" t="s">
        <v>1222</v>
      </c>
      <c r="E250" t="s">
        <v>1223</v>
      </c>
      <c r="F250">
        <v>3434714</v>
      </c>
      <c r="G250" s="1">
        <v>45694</v>
      </c>
      <c r="H250" s="2">
        <v>45810.773518518516</v>
      </c>
      <c r="J250">
        <v>0</v>
      </c>
      <c r="K250">
        <v>19830002</v>
      </c>
      <c r="L250">
        <v>3767700</v>
      </c>
      <c r="O250">
        <v>23597702</v>
      </c>
      <c r="T250">
        <v>0</v>
      </c>
      <c r="X250">
        <v>0</v>
      </c>
      <c r="AC250" t="s">
        <v>1423</v>
      </c>
      <c r="AD250" t="s">
        <v>871</v>
      </c>
      <c r="AE250">
        <v>2025</v>
      </c>
      <c r="AF250">
        <v>2</v>
      </c>
      <c r="AG250" t="s">
        <v>872</v>
      </c>
    </row>
    <row r="251" spans="1:33">
      <c r="A251">
        <v>12</v>
      </c>
      <c r="B251">
        <v>33</v>
      </c>
      <c r="C251" t="s">
        <v>74</v>
      </c>
      <c r="D251" t="s">
        <v>1222</v>
      </c>
      <c r="E251" t="s">
        <v>1223</v>
      </c>
      <c r="F251">
        <v>3434715</v>
      </c>
      <c r="G251" s="1">
        <v>45694</v>
      </c>
      <c r="H251" s="2">
        <v>45810.774201388886</v>
      </c>
      <c r="J251">
        <v>0</v>
      </c>
      <c r="K251">
        <v>2076000</v>
      </c>
      <c r="L251">
        <v>394440</v>
      </c>
      <c r="O251">
        <v>2470440</v>
      </c>
      <c r="T251">
        <v>0</v>
      </c>
      <c r="X251">
        <v>0</v>
      </c>
      <c r="AC251" t="s">
        <v>1423</v>
      </c>
      <c r="AD251" t="s">
        <v>871</v>
      </c>
      <c r="AE251">
        <v>2025</v>
      </c>
      <c r="AF251">
        <v>2</v>
      </c>
      <c r="AG251" t="s">
        <v>872</v>
      </c>
    </row>
    <row r="252" spans="1:33">
      <c r="A252">
        <v>13</v>
      </c>
      <c r="B252">
        <v>33</v>
      </c>
      <c r="C252" t="s">
        <v>74</v>
      </c>
      <c r="D252" t="s">
        <v>917</v>
      </c>
      <c r="E252" t="s">
        <v>1221</v>
      </c>
      <c r="F252">
        <v>182545</v>
      </c>
      <c r="G252" s="1">
        <v>45693</v>
      </c>
      <c r="H252" s="2">
        <v>45810.937696759262</v>
      </c>
      <c r="J252">
        <v>0</v>
      </c>
      <c r="K252">
        <v>1006946</v>
      </c>
      <c r="L252">
        <v>191320</v>
      </c>
      <c r="O252">
        <v>1198266</v>
      </c>
      <c r="T252">
        <v>0</v>
      </c>
      <c r="X252">
        <v>0</v>
      </c>
      <c r="AC252" t="s">
        <v>1423</v>
      </c>
      <c r="AD252" t="s">
        <v>871</v>
      </c>
      <c r="AE252">
        <v>2025</v>
      </c>
      <c r="AF252">
        <v>2</v>
      </c>
      <c r="AG252" t="s">
        <v>872</v>
      </c>
    </row>
    <row r="253" spans="1:33">
      <c r="A253">
        <v>14</v>
      </c>
      <c r="B253">
        <v>33</v>
      </c>
      <c r="C253" t="s">
        <v>74</v>
      </c>
      <c r="D253" t="s">
        <v>1219</v>
      </c>
      <c r="E253" t="s">
        <v>1220</v>
      </c>
      <c r="F253">
        <v>547671</v>
      </c>
      <c r="G253" s="1">
        <v>45699</v>
      </c>
      <c r="H253" s="2">
        <v>45963.827777777777</v>
      </c>
      <c r="J253">
        <v>0</v>
      </c>
      <c r="K253">
        <v>215509</v>
      </c>
      <c r="L253">
        <v>40947</v>
      </c>
      <c r="O253">
        <v>256456</v>
      </c>
      <c r="T253">
        <v>0</v>
      </c>
      <c r="X253">
        <v>0</v>
      </c>
      <c r="AC253" t="s">
        <v>1423</v>
      </c>
      <c r="AD253" t="s">
        <v>871</v>
      </c>
      <c r="AE253">
        <v>2025</v>
      </c>
      <c r="AF253">
        <v>2</v>
      </c>
      <c r="AG253" t="s">
        <v>872</v>
      </c>
    </row>
    <row r="254" spans="1:33">
      <c r="A254">
        <v>15</v>
      </c>
      <c r="B254">
        <v>33</v>
      </c>
      <c r="C254" t="s">
        <v>74</v>
      </c>
      <c r="D254" t="s">
        <v>1219</v>
      </c>
      <c r="E254" t="s">
        <v>1220</v>
      </c>
      <c r="F254">
        <v>547670</v>
      </c>
      <c r="G254" s="1">
        <v>45699</v>
      </c>
      <c r="H254" s="2">
        <v>45963.827777777777</v>
      </c>
      <c r="J254">
        <v>0</v>
      </c>
      <c r="K254">
        <v>215509</v>
      </c>
      <c r="L254">
        <v>40947</v>
      </c>
      <c r="O254">
        <v>256456</v>
      </c>
      <c r="T254">
        <v>0</v>
      </c>
      <c r="X254">
        <v>0</v>
      </c>
      <c r="AC254" t="s">
        <v>1423</v>
      </c>
      <c r="AD254" t="s">
        <v>871</v>
      </c>
      <c r="AE254">
        <v>2025</v>
      </c>
      <c r="AF254">
        <v>2</v>
      </c>
      <c r="AG254" t="s">
        <v>872</v>
      </c>
    </row>
    <row r="255" spans="1:33">
      <c r="A255">
        <v>16</v>
      </c>
      <c r="B255">
        <v>33</v>
      </c>
      <c r="C255" t="s">
        <v>74</v>
      </c>
      <c r="D255" t="s">
        <v>1219</v>
      </c>
      <c r="E255" t="s">
        <v>1220</v>
      </c>
      <c r="F255">
        <v>547995</v>
      </c>
      <c r="G255" s="1">
        <v>45700</v>
      </c>
      <c r="H255" s="2">
        <v>45993.6637962963</v>
      </c>
      <c r="J255">
        <v>0</v>
      </c>
      <c r="K255">
        <v>227583</v>
      </c>
      <c r="L255">
        <v>43241</v>
      </c>
      <c r="O255">
        <v>270824</v>
      </c>
      <c r="T255">
        <v>0</v>
      </c>
      <c r="X255">
        <v>0</v>
      </c>
      <c r="AC255" t="s">
        <v>1423</v>
      </c>
      <c r="AD255" t="s">
        <v>871</v>
      </c>
      <c r="AE255">
        <v>2025</v>
      </c>
      <c r="AF255">
        <v>2</v>
      </c>
      <c r="AG255" t="s">
        <v>872</v>
      </c>
    </row>
    <row r="256" spans="1:33">
      <c r="A256">
        <v>17</v>
      </c>
      <c r="B256">
        <v>33</v>
      </c>
      <c r="C256" t="s">
        <v>74</v>
      </c>
      <c r="D256" t="s">
        <v>1222</v>
      </c>
      <c r="E256" t="s">
        <v>1223</v>
      </c>
      <c r="F256">
        <v>3449285</v>
      </c>
      <c r="G256" t="s">
        <v>1425</v>
      </c>
      <c r="H256" t="s">
        <v>1380</v>
      </c>
      <c r="J256">
        <v>0</v>
      </c>
      <c r="K256">
        <v>10893925</v>
      </c>
      <c r="L256">
        <v>2069846</v>
      </c>
      <c r="O256">
        <v>12963770</v>
      </c>
      <c r="T256">
        <v>0</v>
      </c>
      <c r="X256">
        <v>0</v>
      </c>
      <c r="AC256" t="s">
        <v>1423</v>
      </c>
      <c r="AD256" t="s">
        <v>871</v>
      </c>
      <c r="AE256">
        <v>2025</v>
      </c>
      <c r="AF256">
        <v>2</v>
      </c>
      <c r="AG256" t="s">
        <v>872</v>
      </c>
    </row>
    <row r="257" spans="1:33">
      <c r="A257">
        <v>18</v>
      </c>
      <c r="B257">
        <v>33</v>
      </c>
      <c r="C257" t="s">
        <v>74</v>
      </c>
      <c r="D257" t="s">
        <v>1231</v>
      </c>
      <c r="E257" t="s">
        <v>1232</v>
      </c>
      <c r="F257">
        <v>1057050</v>
      </c>
      <c r="G257" t="s">
        <v>1426</v>
      </c>
      <c r="H257" t="s">
        <v>1381</v>
      </c>
      <c r="J257">
        <v>0</v>
      </c>
      <c r="K257">
        <v>94724</v>
      </c>
      <c r="L257">
        <v>17998</v>
      </c>
      <c r="O257">
        <v>112722</v>
      </c>
      <c r="T257">
        <v>0</v>
      </c>
      <c r="X257">
        <v>0</v>
      </c>
      <c r="AC257" t="s">
        <v>1423</v>
      </c>
      <c r="AD257" t="s">
        <v>871</v>
      </c>
      <c r="AE257">
        <v>2025</v>
      </c>
      <c r="AF257">
        <v>2</v>
      </c>
      <c r="AG257" t="s">
        <v>872</v>
      </c>
    </row>
    <row r="258" spans="1:33">
      <c r="A258">
        <v>19</v>
      </c>
      <c r="B258">
        <v>33</v>
      </c>
      <c r="C258" t="s">
        <v>74</v>
      </c>
      <c r="D258" t="s">
        <v>1240</v>
      </c>
      <c r="E258" t="s">
        <v>1241</v>
      </c>
      <c r="F258">
        <v>7097</v>
      </c>
      <c r="G258" s="1" t="s">
        <v>1426</v>
      </c>
      <c r="H258" t="s">
        <v>1382</v>
      </c>
      <c r="J258">
        <v>0</v>
      </c>
      <c r="K258">
        <v>50000</v>
      </c>
      <c r="L258">
        <v>9500</v>
      </c>
      <c r="O258">
        <v>59500</v>
      </c>
      <c r="T258">
        <v>0</v>
      </c>
      <c r="X258">
        <v>0</v>
      </c>
      <c r="AC258" t="s">
        <v>1423</v>
      </c>
      <c r="AD258" t="s">
        <v>871</v>
      </c>
      <c r="AE258">
        <v>2025</v>
      </c>
      <c r="AF258">
        <v>2</v>
      </c>
      <c r="AG258" t="s">
        <v>872</v>
      </c>
    </row>
    <row r="259" spans="1:33">
      <c r="A259">
        <v>20</v>
      </c>
      <c r="B259">
        <v>33</v>
      </c>
      <c r="C259" t="s">
        <v>74</v>
      </c>
      <c r="D259" t="s">
        <v>1236</v>
      </c>
      <c r="E259" t="s">
        <v>1237</v>
      </c>
      <c r="F259">
        <v>132472</v>
      </c>
      <c r="G259" t="s">
        <v>1427</v>
      </c>
      <c r="H259" t="s">
        <v>1383</v>
      </c>
      <c r="J259">
        <v>0</v>
      </c>
      <c r="K259">
        <v>115145</v>
      </c>
      <c r="L259">
        <v>21878</v>
      </c>
      <c r="O259">
        <v>137023</v>
      </c>
      <c r="T259">
        <v>0</v>
      </c>
      <c r="X259">
        <v>0</v>
      </c>
      <c r="AC259" t="s">
        <v>1423</v>
      </c>
      <c r="AD259" t="s">
        <v>871</v>
      </c>
      <c r="AE259">
        <v>2025</v>
      </c>
      <c r="AF259">
        <v>2</v>
      </c>
      <c r="AG259" t="s">
        <v>872</v>
      </c>
    </row>
    <row r="260" spans="1:33">
      <c r="A260">
        <v>21</v>
      </c>
      <c r="B260">
        <v>33</v>
      </c>
      <c r="C260" t="s">
        <v>74</v>
      </c>
      <c r="D260" t="s">
        <v>1246</v>
      </c>
      <c r="E260" t="s">
        <v>1247</v>
      </c>
      <c r="F260">
        <v>71360</v>
      </c>
      <c r="G260" t="s">
        <v>1428</v>
      </c>
      <c r="H260" t="s">
        <v>1384</v>
      </c>
      <c r="J260">
        <v>0</v>
      </c>
      <c r="K260">
        <v>155061</v>
      </c>
      <c r="L260">
        <v>29462</v>
      </c>
      <c r="O260">
        <v>184523</v>
      </c>
      <c r="T260">
        <v>0</v>
      </c>
      <c r="X260">
        <v>0</v>
      </c>
      <c r="AC260" t="s">
        <v>1423</v>
      </c>
      <c r="AD260" t="s">
        <v>871</v>
      </c>
      <c r="AE260">
        <v>2025</v>
      </c>
      <c r="AF260">
        <v>2</v>
      </c>
      <c r="AG260" t="s">
        <v>872</v>
      </c>
    </row>
    <row r="261" spans="1:33">
      <c r="A261">
        <v>22</v>
      </c>
      <c r="B261">
        <v>33</v>
      </c>
      <c r="C261" t="s">
        <v>74</v>
      </c>
      <c r="D261" t="s">
        <v>1246</v>
      </c>
      <c r="E261" t="s">
        <v>1247</v>
      </c>
      <c r="F261">
        <v>71409</v>
      </c>
      <c r="G261" t="s">
        <v>1429</v>
      </c>
      <c r="H261" t="s">
        <v>1385</v>
      </c>
      <c r="J261">
        <v>0</v>
      </c>
      <c r="K261">
        <v>155108</v>
      </c>
      <c r="L261">
        <v>29471</v>
      </c>
      <c r="O261">
        <v>184579</v>
      </c>
      <c r="T261">
        <v>0</v>
      </c>
      <c r="X261">
        <v>0</v>
      </c>
      <c r="AC261" t="s">
        <v>1423</v>
      </c>
      <c r="AD261" t="s">
        <v>871</v>
      </c>
      <c r="AE261">
        <v>2025</v>
      </c>
      <c r="AF261">
        <v>2</v>
      </c>
      <c r="AG261" t="s">
        <v>872</v>
      </c>
    </row>
    <row r="262" spans="1:33">
      <c r="A262">
        <v>23</v>
      </c>
      <c r="B262">
        <v>33</v>
      </c>
      <c r="C262" t="s">
        <v>74</v>
      </c>
      <c r="D262" t="s">
        <v>1246</v>
      </c>
      <c r="E262" t="s">
        <v>1247</v>
      </c>
      <c r="F262">
        <v>71410</v>
      </c>
      <c r="G262" t="s">
        <v>1429</v>
      </c>
      <c r="H262" t="s">
        <v>1385</v>
      </c>
      <c r="J262">
        <v>0</v>
      </c>
      <c r="K262">
        <v>155061</v>
      </c>
      <c r="L262">
        <v>29462</v>
      </c>
      <c r="O262">
        <v>184523</v>
      </c>
      <c r="T262">
        <v>0</v>
      </c>
      <c r="X262">
        <v>0</v>
      </c>
      <c r="AC262" t="s">
        <v>1423</v>
      </c>
      <c r="AD262" t="s">
        <v>871</v>
      </c>
      <c r="AE262">
        <v>2025</v>
      </c>
      <c r="AF262">
        <v>2</v>
      </c>
      <c r="AG262" t="s">
        <v>872</v>
      </c>
    </row>
    <row r="263" spans="1:33">
      <c r="A263">
        <v>24</v>
      </c>
      <c r="B263">
        <v>33</v>
      </c>
      <c r="C263" t="s">
        <v>74</v>
      </c>
      <c r="D263" t="s">
        <v>1246</v>
      </c>
      <c r="E263" t="s">
        <v>1247</v>
      </c>
      <c r="F263">
        <v>71411</v>
      </c>
      <c r="G263" t="s">
        <v>1429</v>
      </c>
      <c r="H263" t="s">
        <v>1385</v>
      </c>
      <c r="J263">
        <v>0</v>
      </c>
      <c r="K263">
        <v>155108</v>
      </c>
      <c r="L263">
        <v>29471</v>
      </c>
      <c r="O263">
        <v>184579</v>
      </c>
      <c r="T263">
        <v>0</v>
      </c>
      <c r="X263">
        <v>0</v>
      </c>
      <c r="AC263" t="s">
        <v>1423</v>
      </c>
      <c r="AD263" t="s">
        <v>871</v>
      </c>
      <c r="AE263">
        <v>2025</v>
      </c>
      <c r="AF263">
        <v>2</v>
      </c>
      <c r="AG263" t="s">
        <v>872</v>
      </c>
    </row>
    <row r="264" spans="1:33">
      <c r="A264">
        <v>25</v>
      </c>
      <c r="B264">
        <v>33</v>
      </c>
      <c r="C264" t="s">
        <v>74</v>
      </c>
      <c r="D264" t="s">
        <v>1246</v>
      </c>
      <c r="E264" t="s">
        <v>1247</v>
      </c>
      <c r="F264">
        <v>71412</v>
      </c>
      <c r="G264" s="1" t="s">
        <v>1429</v>
      </c>
      <c r="H264" t="s">
        <v>1385</v>
      </c>
      <c r="J264">
        <v>0</v>
      </c>
      <c r="K264">
        <v>223042</v>
      </c>
      <c r="L264">
        <v>42378</v>
      </c>
      <c r="O264">
        <v>265420</v>
      </c>
      <c r="T264">
        <v>0</v>
      </c>
      <c r="X264">
        <v>0</v>
      </c>
      <c r="AC264" t="s">
        <v>1423</v>
      </c>
      <c r="AD264" t="s">
        <v>871</v>
      </c>
      <c r="AE264">
        <v>2025</v>
      </c>
      <c r="AF264">
        <v>2</v>
      </c>
      <c r="AG264" t="s">
        <v>872</v>
      </c>
    </row>
    <row r="265" spans="1:33">
      <c r="A265">
        <v>26</v>
      </c>
      <c r="B265">
        <v>33</v>
      </c>
      <c r="C265" t="s">
        <v>74</v>
      </c>
      <c r="D265" t="s">
        <v>873</v>
      </c>
      <c r="E265" t="s">
        <v>874</v>
      </c>
      <c r="F265">
        <v>50702334</v>
      </c>
      <c r="G265" s="1" t="s">
        <v>1429</v>
      </c>
      <c r="H265" s="2" t="s">
        <v>1386</v>
      </c>
      <c r="J265">
        <v>0</v>
      </c>
      <c r="K265">
        <v>29546</v>
      </c>
      <c r="L265">
        <v>5614</v>
      </c>
      <c r="O265">
        <v>35160</v>
      </c>
      <c r="T265">
        <v>0</v>
      </c>
      <c r="X265">
        <v>0</v>
      </c>
      <c r="AC265" t="s">
        <v>1423</v>
      </c>
      <c r="AD265" t="s">
        <v>871</v>
      </c>
      <c r="AE265">
        <v>2025</v>
      </c>
      <c r="AF265">
        <v>2</v>
      </c>
      <c r="AG265" t="s">
        <v>872</v>
      </c>
    </row>
    <row r="266" spans="1:33">
      <c r="A266">
        <v>27</v>
      </c>
      <c r="B266">
        <v>34</v>
      </c>
      <c r="C266" t="s">
        <v>74</v>
      </c>
      <c r="D266" t="s">
        <v>107</v>
      </c>
      <c r="E266" t="s">
        <v>887</v>
      </c>
      <c r="F266">
        <v>2948</v>
      </c>
      <c r="G266" s="1">
        <v>45689</v>
      </c>
      <c r="H266" s="2">
        <v>45779.962245370371</v>
      </c>
      <c r="J266">
        <v>2648353</v>
      </c>
      <c r="K266">
        <v>0</v>
      </c>
      <c r="L266">
        <v>0</v>
      </c>
      <c r="O266">
        <v>2648353</v>
      </c>
      <c r="T266">
        <v>0</v>
      </c>
      <c r="X266">
        <v>0</v>
      </c>
      <c r="AC266" t="s">
        <v>1423</v>
      </c>
      <c r="AD266" t="s">
        <v>871</v>
      </c>
      <c r="AE266">
        <v>2025</v>
      </c>
      <c r="AF266">
        <v>2</v>
      </c>
      <c r="AG266" t="s">
        <v>880</v>
      </c>
    </row>
    <row r="267" spans="1:33">
      <c r="A267">
        <v>28</v>
      </c>
      <c r="B267">
        <v>34</v>
      </c>
      <c r="C267" t="s">
        <v>74</v>
      </c>
      <c r="D267" t="s">
        <v>873</v>
      </c>
      <c r="E267" t="s">
        <v>874</v>
      </c>
      <c r="F267">
        <v>13222882</v>
      </c>
      <c r="G267" s="1">
        <v>45695</v>
      </c>
      <c r="H267" s="2">
        <v>45840.888877314814</v>
      </c>
      <c r="J267">
        <v>0</v>
      </c>
      <c r="K267">
        <v>0</v>
      </c>
      <c r="L267">
        <v>0</v>
      </c>
      <c r="O267">
        <v>0</v>
      </c>
      <c r="T267">
        <v>0</v>
      </c>
      <c r="X267">
        <v>0</v>
      </c>
      <c r="AC267" t="s">
        <v>1423</v>
      </c>
      <c r="AD267" t="s">
        <v>871</v>
      </c>
      <c r="AE267">
        <v>2025</v>
      </c>
      <c r="AF267">
        <v>2</v>
      </c>
      <c r="AG267" t="s">
        <v>880</v>
      </c>
    </row>
    <row r="268" spans="1:33">
      <c r="A268">
        <v>29</v>
      </c>
      <c r="B268">
        <v>34</v>
      </c>
      <c r="C268" t="s">
        <v>74</v>
      </c>
      <c r="D268" t="s">
        <v>873</v>
      </c>
      <c r="E268" t="s">
        <v>874</v>
      </c>
      <c r="F268">
        <v>13222930</v>
      </c>
      <c r="G268" s="1">
        <v>45695</v>
      </c>
      <c r="H268" s="2">
        <v>45840.889027777775</v>
      </c>
      <c r="J268">
        <v>0</v>
      </c>
      <c r="K268">
        <v>0</v>
      </c>
      <c r="L268">
        <v>0</v>
      </c>
      <c r="O268">
        <v>0</v>
      </c>
      <c r="T268">
        <v>0</v>
      </c>
      <c r="X268">
        <v>0</v>
      </c>
      <c r="AC268" t="s">
        <v>1423</v>
      </c>
      <c r="AD268" t="s">
        <v>871</v>
      </c>
      <c r="AE268">
        <v>2025</v>
      </c>
      <c r="AF268">
        <v>2</v>
      </c>
      <c r="AG268" t="s">
        <v>880</v>
      </c>
    </row>
    <row r="269" spans="1:33">
      <c r="A269">
        <v>30</v>
      </c>
      <c r="B269">
        <v>34</v>
      </c>
      <c r="C269" t="s">
        <v>74</v>
      </c>
      <c r="D269" t="s">
        <v>873</v>
      </c>
      <c r="E269" t="s">
        <v>874</v>
      </c>
      <c r="F269">
        <v>13222978</v>
      </c>
      <c r="G269" s="1">
        <v>45695</v>
      </c>
      <c r="H269" s="2">
        <v>45840.889097222222</v>
      </c>
      <c r="J269">
        <v>0</v>
      </c>
      <c r="K269">
        <v>0</v>
      </c>
      <c r="L269">
        <v>0</v>
      </c>
      <c r="O269">
        <v>0</v>
      </c>
      <c r="T269">
        <v>0</v>
      </c>
      <c r="X269">
        <v>0</v>
      </c>
      <c r="AC269" t="s">
        <v>1423</v>
      </c>
      <c r="AD269" t="s">
        <v>871</v>
      </c>
      <c r="AE269">
        <v>2025</v>
      </c>
      <c r="AF269">
        <v>2</v>
      </c>
      <c r="AG269" t="s">
        <v>880</v>
      </c>
    </row>
    <row r="270" spans="1:33">
      <c r="A270">
        <v>31</v>
      </c>
      <c r="B270">
        <v>34</v>
      </c>
      <c r="C270" t="s">
        <v>74</v>
      </c>
      <c r="D270" t="s">
        <v>1215</v>
      </c>
      <c r="E270" t="s">
        <v>1216</v>
      </c>
      <c r="F270">
        <v>306461</v>
      </c>
      <c r="G270" s="1" t="s">
        <v>1425</v>
      </c>
      <c r="H270" s="2" t="s">
        <v>1387</v>
      </c>
      <c r="J270">
        <v>360818</v>
      </c>
      <c r="K270">
        <v>0</v>
      </c>
      <c r="L270">
        <v>0</v>
      </c>
      <c r="O270">
        <v>360818</v>
      </c>
      <c r="T270">
        <v>0</v>
      </c>
      <c r="X270">
        <v>0</v>
      </c>
      <c r="AC270" t="s">
        <v>1423</v>
      </c>
      <c r="AD270" t="s">
        <v>871</v>
      </c>
      <c r="AE270">
        <v>2025</v>
      </c>
      <c r="AF270">
        <v>2</v>
      </c>
      <c r="AG270" t="s">
        <v>880</v>
      </c>
    </row>
    <row r="271" spans="1:33">
      <c r="A271">
        <v>32</v>
      </c>
      <c r="B271">
        <v>34</v>
      </c>
      <c r="C271" t="s">
        <v>74</v>
      </c>
      <c r="D271" t="s">
        <v>873</v>
      </c>
      <c r="E271" t="s">
        <v>874</v>
      </c>
      <c r="F271">
        <v>13241498</v>
      </c>
      <c r="G271" s="1" t="s">
        <v>1430</v>
      </c>
      <c r="H271" s="2" t="s">
        <v>1388</v>
      </c>
      <c r="J271">
        <v>0</v>
      </c>
      <c r="K271">
        <v>0</v>
      </c>
      <c r="L271">
        <v>0</v>
      </c>
      <c r="O271">
        <v>0</v>
      </c>
      <c r="T271">
        <v>0</v>
      </c>
      <c r="X271">
        <v>0</v>
      </c>
      <c r="AC271" t="s">
        <v>1423</v>
      </c>
      <c r="AD271" t="s">
        <v>871</v>
      </c>
      <c r="AE271">
        <v>2025</v>
      </c>
      <c r="AF271">
        <v>2</v>
      </c>
      <c r="AG271" t="s">
        <v>880</v>
      </c>
    </row>
    <row r="272" spans="1:33">
      <c r="A272">
        <v>33</v>
      </c>
      <c r="B272">
        <v>34</v>
      </c>
      <c r="C272" t="s">
        <v>74</v>
      </c>
      <c r="D272" t="s">
        <v>873</v>
      </c>
      <c r="E272" t="s">
        <v>874</v>
      </c>
      <c r="F272">
        <v>13245347</v>
      </c>
      <c r="G272" s="1" t="s">
        <v>1428</v>
      </c>
      <c r="H272" s="2" t="s">
        <v>1389</v>
      </c>
      <c r="J272">
        <v>0</v>
      </c>
      <c r="K272">
        <v>0</v>
      </c>
      <c r="L272">
        <v>0</v>
      </c>
      <c r="O272">
        <v>0</v>
      </c>
      <c r="T272">
        <v>0</v>
      </c>
      <c r="X272">
        <v>0</v>
      </c>
      <c r="AC272" t="s">
        <v>1423</v>
      </c>
      <c r="AD272" t="s">
        <v>871</v>
      </c>
      <c r="AE272">
        <v>2025</v>
      </c>
      <c r="AF272">
        <v>2</v>
      </c>
      <c r="AG272" t="s">
        <v>880</v>
      </c>
    </row>
    <row r="273" spans="1:33">
      <c r="A273">
        <v>34</v>
      </c>
      <c r="B273">
        <v>34</v>
      </c>
      <c r="C273" t="s">
        <v>74</v>
      </c>
      <c r="D273" t="s">
        <v>873</v>
      </c>
      <c r="E273" t="s">
        <v>874</v>
      </c>
      <c r="F273">
        <v>13245346</v>
      </c>
      <c r="G273" t="s">
        <v>1428</v>
      </c>
      <c r="H273" s="2" t="s">
        <v>1390</v>
      </c>
      <c r="J273">
        <v>0</v>
      </c>
      <c r="K273">
        <v>0</v>
      </c>
      <c r="L273">
        <v>0</v>
      </c>
      <c r="O273">
        <v>0</v>
      </c>
      <c r="T273">
        <v>0</v>
      </c>
      <c r="X273">
        <v>0</v>
      </c>
      <c r="AC273" t="s">
        <v>1423</v>
      </c>
      <c r="AD273" t="s">
        <v>871</v>
      </c>
      <c r="AE273">
        <v>2025</v>
      </c>
      <c r="AF273">
        <v>2</v>
      </c>
      <c r="AG273" t="s">
        <v>880</v>
      </c>
    </row>
    <row r="274" spans="1:33">
      <c r="A274">
        <v>35</v>
      </c>
      <c r="B274">
        <v>61</v>
      </c>
      <c r="C274" t="s">
        <v>74</v>
      </c>
      <c r="D274" t="s">
        <v>1215</v>
      </c>
      <c r="E274" t="s">
        <v>1216</v>
      </c>
      <c r="F274">
        <v>108849</v>
      </c>
      <c r="G274" t="s">
        <v>1425</v>
      </c>
      <c r="H274" t="s">
        <v>1391</v>
      </c>
      <c r="J274">
        <v>-1536690</v>
      </c>
      <c r="K274">
        <v>0</v>
      </c>
      <c r="L274">
        <v>0</v>
      </c>
      <c r="M274">
        <v>0</v>
      </c>
      <c r="O274">
        <v>-1536690</v>
      </c>
      <c r="T274">
        <v>0</v>
      </c>
      <c r="X274">
        <v>0</v>
      </c>
      <c r="AC274" t="s">
        <v>1423</v>
      </c>
      <c r="AD274" t="s">
        <v>871</v>
      </c>
      <c r="AE274">
        <v>2025</v>
      </c>
      <c r="AF274">
        <v>2</v>
      </c>
      <c r="AG274" t="s">
        <v>881</v>
      </c>
    </row>
    <row r="275" spans="1:33">
      <c r="A275">
        <v>36</v>
      </c>
      <c r="B275">
        <v>61</v>
      </c>
      <c r="C275" t="s">
        <v>74</v>
      </c>
      <c r="D275" t="s">
        <v>1215</v>
      </c>
      <c r="E275" t="s">
        <v>1216</v>
      </c>
      <c r="F275">
        <v>109046</v>
      </c>
      <c r="G275" t="s">
        <v>1431</v>
      </c>
      <c r="H275" t="s">
        <v>1392</v>
      </c>
      <c r="J275">
        <v>0</v>
      </c>
      <c r="K275">
        <v>-137383</v>
      </c>
      <c r="L275">
        <v>-26103</v>
      </c>
      <c r="M275">
        <v>0</v>
      </c>
      <c r="O275">
        <v>-163486</v>
      </c>
      <c r="T275">
        <v>0</v>
      </c>
      <c r="X275">
        <v>0</v>
      </c>
      <c r="AC275" t="s">
        <v>1423</v>
      </c>
      <c r="AD275" t="s">
        <v>871</v>
      </c>
      <c r="AE275">
        <v>2025</v>
      </c>
      <c r="AF275">
        <v>2</v>
      </c>
      <c r="AG275" t="s">
        <v>881</v>
      </c>
    </row>
    <row r="276" spans="1:33">
      <c r="A276">
        <v>37</v>
      </c>
      <c r="B276">
        <v>61</v>
      </c>
      <c r="C276" t="s">
        <v>74</v>
      </c>
      <c r="D276" t="s">
        <v>1215</v>
      </c>
      <c r="E276" t="s">
        <v>1216</v>
      </c>
      <c r="F276">
        <v>109081</v>
      </c>
      <c r="G276" t="s">
        <v>1432</v>
      </c>
      <c r="H276" t="s">
        <v>1393</v>
      </c>
      <c r="J276">
        <v>0</v>
      </c>
      <c r="K276">
        <v>-137080</v>
      </c>
      <c r="L276">
        <v>-26045</v>
      </c>
      <c r="M276">
        <v>0</v>
      </c>
      <c r="O276">
        <v>-163125</v>
      </c>
      <c r="T276">
        <v>0</v>
      </c>
      <c r="X276">
        <v>0</v>
      </c>
      <c r="AC276" t="s">
        <v>1423</v>
      </c>
      <c r="AD276" t="s">
        <v>871</v>
      </c>
      <c r="AE276">
        <v>2025</v>
      </c>
      <c r="AF276">
        <v>2</v>
      </c>
      <c r="AG276" t="s">
        <v>881</v>
      </c>
    </row>
    <row r="277" spans="1:33">
      <c r="A277">
        <v>38</v>
      </c>
      <c r="B277">
        <v>61</v>
      </c>
      <c r="C277" t="s">
        <v>74</v>
      </c>
      <c r="D277" t="s">
        <v>1215</v>
      </c>
      <c r="E277" t="s">
        <v>1216</v>
      </c>
      <c r="F277">
        <v>109082</v>
      </c>
      <c r="G277" t="s">
        <v>1432</v>
      </c>
      <c r="H277" t="s">
        <v>1394</v>
      </c>
      <c r="J277">
        <v>0</v>
      </c>
      <c r="K277">
        <v>-142386</v>
      </c>
      <c r="L277">
        <v>-27053</v>
      </c>
      <c r="M277">
        <v>0</v>
      </c>
      <c r="O277">
        <v>-169439</v>
      </c>
      <c r="T277">
        <v>0</v>
      </c>
      <c r="X277">
        <v>0</v>
      </c>
      <c r="AC277" t="s">
        <v>1423</v>
      </c>
      <c r="AD277" t="s">
        <v>871</v>
      </c>
      <c r="AE277">
        <v>2025</v>
      </c>
      <c r="AF277">
        <v>2</v>
      </c>
      <c r="AG277" t="s">
        <v>881</v>
      </c>
    </row>
    <row r="278" spans="1:33">
      <c r="A278">
        <v>39</v>
      </c>
      <c r="B278">
        <v>61</v>
      </c>
      <c r="C278" t="s">
        <v>74</v>
      </c>
      <c r="D278" t="s">
        <v>1215</v>
      </c>
      <c r="E278" t="s">
        <v>1216</v>
      </c>
      <c r="F278">
        <v>109083</v>
      </c>
      <c r="G278" t="s">
        <v>1432</v>
      </c>
      <c r="H278" t="s">
        <v>1395</v>
      </c>
      <c r="J278">
        <v>0</v>
      </c>
      <c r="K278">
        <v>-145082</v>
      </c>
      <c r="L278">
        <v>-27565</v>
      </c>
      <c r="M278">
        <v>0</v>
      </c>
      <c r="O278">
        <v>-172647</v>
      </c>
      <c r="T278">
        <v>0</v>
      </c>
      <c r="X278">
        <v>0</v>
      </c>
      <c r="AC278" t="s">
        <v>1423</v>
      </c>
      <c r="AD278" t="s">
        <v>871</v>
      </c>
      <c r="AE278">
        <v>2025</v>
      </c>
      <c r="AF278">
        <v>2</v>
      </c>
      <c r="AG278" t="s">
        <v>881</v>
      </c>
    </row>
    <row r="279" spans="1:33">
      <c r="A279">
        <v>40</v>
      </c>
      <c r="B279">
        <v>61</v>
      </c>
      <c r="C279" t="s">
        <v>74</v>
      </c>
      <c r="D279" t="s">
        <v>1215</v>
      </c>
      <c r="E279" t="s">
        <v>1216</v>
      </c>
      <c r="F279">
        <v>109084</v>
      </c>
      <c r="G279" t="s">
        <v>1432</v>
      </c>
      <c r="H279" t="s">
        <v>1396</v>
      </c>
      <c r="J279">
        <v>0</v>
      </c>
      <c r="K279">
        <v>-151929</v>
      </c>
      <c r="L279">
        <v>-28867</v>
      </c>
      <c r="M279">
        <v>0</v>
      </c>
      <c r="O279">
        <v>-180796</v>
      </c>
      <c r="T279">
        <v>0</v>
      </c>
      <c r="X279">
        <v>0</v>
      </c>
      <c r="AC279" t="s">
        <v>1423</v>
      </c>
      <c r="AD279" t="s">
        <v>871</v>
      </c>
      <c r="AE279">
        <v>2025</v>
      </c>
      <c r="AF279">
        <v>2</v>
      </c>
      <c r="AG279" t="s">
        <v>881</v>
      </c>
    </row>
    <row r="280" spans="1:33">
      <c r="A280">
        <v>41</v>
      </c>
      <c r="B280">
        <v>61</v>
      </c>
      <c r="C280" t="s">
        <v>74</v>
      </c>
      <c r="D280" t="s">
        <v>1215</v>
      </c>
      <c r="E280" t="s">
        <v>1216</v>
      </c>
      <c r="F280">
        <v>109085</v>
      </c>
      <c r="G280" s="1" t="s">
        <v>1432</v>
      </c>
      <c r="H280" s="2" t="s">
        <v>1397</v>
      </c>
      <c r="J280">
        <v>0</v>
      </c>
      <c r="K280">
        <v>-151929</v>
      </c>
      <c r="L280">
        <v>-28867</v>
      </c>
      <c r="M280">
        <v>0</v>
      </c>
      <c r="O280">
        <v>-180796</v>
      </c>
      <c r="T280">
        <v>0</v>
      </c>
      <c r="X280">
        <v>0</v>
      </c>
      <c r="AC280" t="s">
        <v>1423</v>
      </c>
      <c r="AD280" t="s">
        <v>871</v>
      </c>
      <c r="AE280">
        <v>2025</v>
      </c>
      <c r="AF280">
        <v>2</v>
      </c>
      <c r="AG280" t="s">
        <v>881</v>
      </c>
    </row>
    <row r="281" spans="1:33">
      <c r="A281">
        <v>42</v>
      </c>
      <c r="B281">
        <v>61</v>
      </c>
      <c r="C281" t="s">
        <v>74</v>
      </c>
      <c r="D281" t="s">
        <v>1215</v>
      </c>
      <c r="E281" t="s">
        <v>1216</v>
      </c>
      <c r="F281">
        <v>109086</v>
      </c>
      <c r="G281" s="1" t="s">
        <v>1432</v>
      </c>
      <c r="H281" s="2" t="s">
        <v>1398</v>
      </c>
      <c r="J281">
        <v>0</v>
      </c>
      <c r="K281">
        <v>-294153</v>
      </c>
      <c r="L281">
        <v>-55889</v>
      </c>
      <c r="M281">
        <v>0</v>
      </c>
      <c r="O281">
        <v>-350042</v>
      </c>
      <c r="T281">
        <v>0</v>
      </c>
      <c r="X281">
        <v>0</v>
      </c>
      <c r="AC281" t="s">
        <v>1423</v>
      </c>
      <c r="AD281" t="s">
        <v>871</v>
      </c>
      <c r="AE281">
        <v>2025</v>
      </c>
      <c r="AF281">
        <v>2</v>
      </c>
      <c r="AG281" t="s">
        <v>881</v>
      </c>
    </row>
    <row r="282" spans="1:33">
      <c r="A282">
        <v>43</v>
      </c>
      <c r="B282">
        <v>61</v>
      </c>
      <c r="C282" t="s">
        <v>74</v>
      </c>
      <c r="D282" t="s">
        <v>1215</v>
      </c>
      <c r="E282" t="s">
        <v>1216</v>
      </c>
      <c r="F282">
        <v>109087</v>
      </c>
      <c r="G282" s="1" t="s">
        <v>1432</v>
      </c>
      <c r="H282" s="2" t="s">
        <v>1399</v>
      </c>
      <c r="J282">
        <v>0</v>
      </c>
      <c r="K282">
        <v>-304330</v>
      </c>
      <c r="L282">
        <v>-57823</v>
      </c>
      <c r="M282">
        <v>0</v>
      </c>
      <c r="O282">
        <v>-362153</v>
      </c>
      <c r="T282">
        <v>0</v>
      </c>
      <c r="X282">
        <v>0</v>
      </c>
      <c r="AC282" t="s">
        <v>1423</v>
      </c>
      <c r="AD282" t="s">
        <v>871</v>
      </c>
      <c r="AE282">
        <v>2025</v>
      </c>
      <c r="AF282">
        <v>2</v>
      </c>
      <c r="AG282" t="s">
        <v>881</v>
      </c>
    </row>
    <row r="283" spans="1:33">
      <c r="A283">
        <v>44</v>
      </c>
      <c r="B283">
        <v>61</v>
      </c>
      <c r="C283" t="s">
        <v>74</v>
      </c>
      <c r="D283" t="s">
        <v>1215</v>
      </c>
      <c r="E283" t="s">
        <v>1216</v>
      </c>
      <c r="F283">
        <v>109088</v>
      </c>
      <c r="G283" t="s">
        <v>1432</v>
      </c>
      <c r="H283" t="s">
        <v>1400</v>
      </c>
      <c r="J283">
        <v>0</v>
      </c>
      <c r="K283">
        <v>-152165</v>
      </c>
      <c r="L283">
        <v>-28911</v>
      </c>
      <c r="M283">
        <v>0</v>
      </c>
      <c r="O283">
        <v>-181076</v>
      </c>
      <c r="T283">
        <v>0</v>
      </c>
      <c r="X283">
        <v>0</v>
      </c>
      <c r="AC283" t="s">
        <v>1423</v>
      </c>
      <c r="AD283" t="s">
        <v>871</v>
      </c>
      <c r="AE283">
        <v>2025</v>
      </c>
      <c r="AF283">
        <v>2</v>
      </c>
      <c r="AG283" t="s">
        <v>881</v>
      </c>
    </row>
    <row r="284" spans="1:33">
      <c r="A284">
        <v>45</v>
      </c>
      <c r="B284">
        <v>61</v>
      </c>
      <c r="C284" t="s">
        <v>74</v>
      </c>
      <c r="D284" t="s">
        <v>1215</v>
      </c>
      <c r="E284" t="s">
        <v>1216</v>
      </c>
      <c r="F284">
        <v>109089</v>
      </c>
      <c r="G284" t="s">
        <v>1432</v>
      </c>
      <c r="H284" s="2" t="s">
        <v>1401</v>
      </c>
      <c r="J284">
        <v>0</v>
      </c>
      <c r="K284">
        <v>-151894</v>
      </c>
      <c r="L284">
        <v>-28860</v>
      </c>
      <c r="M284">
        <v>0</v>
      </c>
      <c r="O284">
        <v>-180754</v>
      </c>
      <c r="T284">
        <v>0</v>
      </c>
      <c r="X284">
        <v>0</v>
      </c>
      <c r="AC284" t="s">
        <v>1423</v>
      </c>
      <c r="AD284" t="s">
        <v>871</v>
      </c>
      <c r="AE284">
        <v>2025</v>
      </c>
      <c r="AF284">
        <v>2</v>
      </c>
      <c r="AG284" t="s">
        <v>881</v>
      </c>
    </row>
    <row r="285" spans="1:33">
      <c r="A285">
        <v>46</v>
      </c>
      <c r="B285">
        <v>61</v>
      </c>
      <c r="C285" t="s">
        <v>74</v>
      </c>
      <c r="D285" t="s">
        <v>1215</v>
      </c>
      <c r="E285" t="s">
        <v>1216</v>
      </c>
      <c r="F285">
        <v>109090</v>
      </c>
      <c r="G285" s="1" t="s">
        <v>1432</v>
      </c>
      <c r="H285" s="2" t="s">
        <v>1402</v>
      </c>
      <c r="J285">
        <v>0</v>
      </c>
      <c r="K285">
        <v>-455681</v>
      </c>
      <c r="L285">
        <v>-86579</v>
      </c>
      <c r="M285">
        <v>0</v>
      </c>
      <c r="O285">
        <v>-542260</v>
      </c>
      <c r="T285">
        <v>0</v>
      </c>
      <c r="X285">
        <v>0</v>
      </c>
      <c r="AC285" t="s">
        <v>1423</v>
      </c>
      <c r="AD285" t="s">
        <v>871</v>
      </c>
      <c r="AE285">
        <v>2025</v>
      </c>
      <c r="AF285">
        <v>2</v>
      </c>
      <c r="AG285" t="s">
        <v>881</v>
      </c>
    </row>
    <row r="286" spans="1:33">
      <c r="A286">
        <v>47</v>
      </c>
      <c r="B286">
        <v>61</v>
      </c>
      <c r="C286" t="s">
        <v>74</v>
      </c>
      <c r="D286" t="s">
        <v>1215</v>
      </c>
      <c r="E286" t="s">
        <v>1216</v>
      </c>
      <c r="F286">
        <v>109091</v>
      </c>
      <c r="G286" s="1" t="s">
        <v>1432</v>
      </c>
      <c r="H286" s="2" t="s">
        <v>1403</v>
      </c>
      <c r="J286">
        <v>0</v>
      </c>
      <c r="K286">
        <v>-148340</v>
      </c>
      <c r="L286">
        <v>-28185</v>
      </c>
      <c r="M286">
        <v>0</v>
      </c>
      <c r="O286">
        <v>-176525</v>
      </c>
      <c r="T286">
        <v>0</v>
      </c>
      <c r="X286">
        <v>0</v>
      </c>
      <c r="AC286" t="s">
        <v>1423</v>
      </c>
      <c r="AD286" t="s">
        <v>871</v>
      </c>
      <c r="AE286">
        <v>2025</v>
      </c>
      <c r="AF286">
        <v>2</v>
      </c>
      <c r="AG286" t="s">
        <v>881</v>
      </c>
    </row>
    <row r="287" spans="1:33">
      <c r="A287">
        <v>48</v>
      </c>
      <c r="B287">
        <v>61</v>
      </c>
      <c r="C287" t="s">
        <v>74</v>
      </c>
      <c r="D287" t="s">
        <v>1215</v>
      </c>
      <c r="E287" t="s">
        <v>1216</v>
      </c>
      <c r="F287">
        <v>109092</v>
      </c>
      <c r="G287" t="s">
        <v>1432</v>
      </c>
      <c r="H287" s="2" t="s">
        <v>1404</v>
      </c>
      <c r="J287">
        <v>0</v>
      </c>
      <c r="K287">
        <v>-148230</v>
      </c>
      <c r="L287">
        <v>-28164</v>
      </c>
      <c r="M287">
        <v>0</v>
      </c>
      <c r="O287">
        <v>-176394</v>
      </c>
      <c r="T287">
        <v>0</v>
      </c>
      <c r="X287">
        <v>0</v>
      </c>
      <c r="AC287" t="s">
        <v>1423</v>
      </c>
      <c r="AD287" t="s">
        <v>871</v>
      </c>
      <c r="AE287">
        <v>2025</v>
      </c>
      <c r="AF287">
        <v>2</v>
      </c>
      <c r="AG287" t="s">
        <v>881</v>
      </c>
    </row>
    <row r="288" spans="1:33">
      <c r="A288">
        <v>49</v>
      </c>
      <c r="B288">
        <v>61</v>
      </c>
      <c r="C288" t="s">
        <v>74</v>
      </c>
      <c r="D288" t="s">
        <v>1215</v>
      </c>
      <c r="E288" t="s">
        <v>1216</v>
      </c>
      <c r="F288">
        <v>109093</v>
      </c>
      <c r="G288" s="1" t="s">
        <v>1432</v>
      </c>
      <c r="H288" s="2" t="s">
        <v>1405</v>
      </c>
      <c r="J288">
        <v>0</v>
      </c>
      <c r="K288">
        <v>-147035</v>
      </c>
      <c r="L288">
        <v>-27937</v>
      </c>
      <c r="M288">
        <v>0</v>
      </c>
      <c r="O288">
        <v>-174972</v>
      </c>
      <c r="T288">
        <v>0</v>
      </c>
      <c r="X288">
        <v>0</v>
      </c>
      <c r="AC288" t="s">
        <v>1423</v>
      </c>
      <c r="AD288" t="s">
        <v>871</v>
      </c>
      <c r="AE288">
        <v>2025</v>
      </c>
      <c r="AF288">
        <v>2</v>
      </c>
      <c r="AG288" t="s">
        <v>881</v>
      </c>
    </row>
    <row r="289" spans="1:33">
      <c r="A289">
        <v>50</v>
      </c>
      <c r="B289">
        <v>61</v>
      </c>
      <c r="C289" t="s">
        <v>74</v>
      </c>
      <c r="D289" t="s">
        <v>1215</v>
      </c>
      <c r="E289" t="s">
        <v>1216</v>
      </c>
      <c r="F289">
        <v>109094</v>
      </c>
      <c r="G289" s="1" t="s">
        <v>1432</v>
      </c>
      <c r="H289" s="2" t="s">
        <v>1406</v>
      </c>
      <c r="J289">
        <v>0</v>
      </c>
      <c r="K289">
        <v>-294069</v>
      </c>
      <c r="L289">
        <v>-55873</v>
      </c>
      <c r="M289">
        <v>0</v>
      </c>
      <c r="O289">
        <v>-349942</v>
      </c>
      <c r="T289">
        <v>0</v>
      </c>
      <c r="X289">
        <v>0</v>
      </c>
      <c r="AC289" t="s">
        <v>1423</v>
      </c>
      <c r="AD289" t="s">
        <v>871</v>
      </c>
      <c r="AE289">
        <v>2025</v>
      </c>
      <c r="AF289">
        <v>2</v>
      </c>
      <c r="AG289" t="s">
        <v>881</v>
      </c>
    </row>
    <row r="290" spans="1:33">
      <c r="A290">
        <v>51</v>
      </c>
      <c r="B290">
        <v>61</v>
      </c>
      <c r="C290" t="s">
        <v>74</v>
      </c>
      <c r="D290" t="s">
        <v>1215</v>
      </c>
      <c r="E290" t="s">
        <v>1216</v>
      </c>
      <c r="F290">
        <v>109095</v>
      </c>
      <c r="G290" t="s">
        <v>1432</v>
      </c>
      <c r="H290" s="2" t="s">
        <v>1407</v>
      </c>
      <c r="J290">
        <v>0</v>
      </c>
      <c r="K290">
        <v>-147926</v>
      </c>
      <c r="L290">
        <v>-28106</v>
      </c>
      <c r="M290">
        <v>0</v>
      </c>
      <c r="O290">
        <v>-176032</v>
      </c>
      <c r="T290">
        <v>0</v>
      </c>
      <c r="X290">
        <v>0</v>
      </c>
      <c r="AC290" t="s">
        <v>1423</v>
      </c>
      <c r="AD290" t="s">
        <v>871</v>
      </c>
      <c r="AE290">
        <v>2025</v>
      </c>
      <c r="AF290">
        <v>2</v>
      </c>
      <c r="AG290" t="s">
        <v>881</v>
      </c>
    </row>
    <row r="291" spans="1:33">
      <c r="A291">
        <v>52</v>
      </c>
      <c r="B291">
        <v>61</v>
      </c>
      <c r="C291" t="s">
        <v>74</v>
      </c>
      <c r="D291" t="s">
        <v>1215</v>
      </c>
      <c r="E291" t="s">
        <v>1216</v>
      </c>
      <c r="F291">
        <v>109096</v>
      </c>
      <c r="G291" s="1" t="s">
        <v>1432</v>
      </c>
      <c r="H291" s="2" t="s">
        <v>1408</v>
      </c>
      <c r="J291">
        <v>0</v>
      </c>
      <c r="K291">
        <v>-281809</v>
      </c>
      <c r="L291">
        <v>-53544</v>
      </c>
      <c r="M291">
        <v>0</v>
      </c>
      <c r="O291">
        <v>-335353</v>
      </c>
      <c r="T291">
        <v>0</v>
      </c>
      <c r="X291">
        <v>0</v>
      </c>
      <c r="AC291" t="s">
        <v>1423</v>
      </c>
      <c r="AD291" t="s">
        <v>871</v>
      </c>
      <c r="AE291">
        <v>2025</v>
      </c>
      <c r="AF291">
        <v>2</v>
      </c>
      <c r="AG291" t="s">
        <v>881</v>
      </c>
    </row>
    <row r="292" spans="1:33">
      <c r="A292">
        <v>53</v>
      </c>
      <c r="B292">
        <v>61</v>
      </c>
      <c r="C292" t="s">
        <v>74</v>
      </c>
      <c r="D292" t="s">
        <v>1215</v>
      </c>
      <c r="E292" t="s">
        <v>1216</v>
      </c>
      <c r="F292">
        <v>109097</v>
      </c>
      <c r="G292" s="1" t="s">
        <v>1432</v>
      </c>
      <c r="H292" s="2" t="s">
        <v>1409</v>
      </c>
      <c r="J292">
        <v>0</v>
      </c>
      <c r="K292">
        <v>-140887</v>
      </c>
      <c r="L292">
        <v>-26769</v>
      </c>
      <c r="M292">
        <v>0</v>
      </c>
      <c r="O292">
        <v>-167656</v>
      </c>
      <c r="T292">
        <v>0</v>
      </c>
      <c r="X292">
        <v>0</v>
      </c>
      <c r="AC292" t="s">
        <v>1423</v>
      </c>
      <c r="AD292" t="s">
        <v>871</v>
      </c>
      <c r="AE292">
        <v>2025</v>
      </c>
      <c r="AF292">
        <v>2</v>
      </c>
      <c r="AG292" t="s">
        <v>881</v>
      </c>
    </row>
    <row r="293" spans="1:33">
      <c r="A293">
        <v>54</v>
      </c>
      <c r="B293">
        <v>61</v>
      </c>
      <c r="C293" t="s">
        <v>74</v>
      </c>
      <c r="D293" t="s">
        <v>1215</v>
      </c>
      <c r="E293" t="s">
        <v>1216</v>
      </c>
      <c r="F293">
        <v>109098</v>
      </c>
      <c r="G293" t="s">
        <v>1432</v>
      </c>
      <c r="H293" s="2" t="s">
        <v>1410</v>
      </c>
      <c r="J293">
        <v>0</v>
      </c>
      <c r="K293">
        <v>-281775</v>
      </c>
      <c r="L293">
        <v>-53537</v>
      </c>
      <c r="M293">
        <v>0</v>
      </c>
      <c r="O293">
        <v>-335312</v>
      </c>
      <c r="T293">
        <v>0</v>
      </c>
      <c r="X293">
        <v>0</v>
      </c>
      <c r="AC293" t="s">
        <v>1423</v>
      </c>
      <c r="AD293" t="s">
        <v>871</v>
      </c>
      <c r="AE293">
        <v>2025</v>
      </c>
      <c r="AF293">
        <v>2</v>
      </c>
      <c r="AG293" t="s">
        <v>881</v>
      </c>
    </row>
    <row r="294" spans="1:33">
      <c r="A294">
        <v>55</v>
      </c>
      <c r="B294">
        <v>61</v>
      </c>
      <c r="C294" t="s">
        <v>74</v>
      </c>
      <c r="D294" t="s">
        <v>1215</v>
      </c>
      <c r="E294" t="s">
        <v>1216</v>
      </c>
      <c r="F294">
        <v>109099</v>
      </c>
      <c r="G294" s="1" t="s">
        <v>1432</v>
      </c>
      <c r="H294" s="2" t="s">
        <v>1411</v>
      </c>
      <c r="J294">
        <v>0</v>
      </c>
      <c r="K294">
        <v>-142099</v>
      </c>
      <c r="L294">
        <v>-26999</v>
      </c>
      <c r="M294">
        <v>0</v>
      </c>
      <c r="O294">
        <v>-169098</v>
      </c>
      <c r="T294">
        <v>0</v>
      </c>
      <c r="X294">
        <v>0</v>
      </c>
      <c r="AC294" t="s">
        <v>1423</v>
      </c>
      <c r="AD294" t="s">
        <v>871</v>
      </c>
      <c r="AE294">
        <v>2025</v>
      </c>
      <c r="AF294">
        <v>2</v>
      </c>
      <c r="AG294" t="s">
        <v>881</v>
      </c>
    </row>
    <row r="295" spans="1:33">
      <c r="A295">
        <v>56</v>
      </c>
      <c r="B295">
        <v>61</v>
      </c>
      <c r="C295" t="s">
        <v>74</v>
      </c>
      <c r="D295" t="s">
        <v>1215</v>
      </c>
      <c r="E295" t="s">
        <v>1216</v>
      </c>
      <c r="F295">
        <v>109100</v>
      </c>
      <c r="G295" t="s">
        <v>1432</v>
      </c>
      <c r="H295" s="2" t="s">
        <v>1412</v>
      </c>
      <c r="J295">
        <v>0</v>
      </c>
      <c r="K295">
        <v>-141120</v>
      </c>
      <c r="L295">
        <v>-26813</v>
      </c>
      <c r="M295">
        <v>0</v>
      </c>
      <c r="O295">
        <v>-167933</v>
      </c>
      <c r="T295">
        <v>0</v>
      </c>
      <c r="X295">
        <v>0</v>
      </c>
      <c r="AC295" t="s">
        <v>1423</v>
      </c>
      <c r="AD295" t="s">
        <v>871</v>
      </c>
      <c r="AE295">
        <v>2025</v>
      </c>
      <c r="AF295">
        <v>2</v>
      </c>
      <c r="AG295" t="s">
        <v>881</v>
      </c>
    </row>
    <row r="296" spans="1:33">
      <c r="A296">
        <v>57</v>
      </c>
      <c r="B296">
        <v>61</v>
      </c>
      <c r="C296" t="s">
        <v>74</v>
      </c>
      <c r="D296" t="s">
        <v>1215</v>
      </c>
      <c r="E296" t="s">
        <v>1216</v>
      </c>
      <c r="F296">
        <v>109101</v>
      </c>
      <c r="G296" s="1" t="s">
        <v>1432</v>
      </c>
      <c r="H296" s="2" t="s">
        <v>1413</v>
      </c>
      <c r="J296">
        <v>0</v>
      </c>
      <c r="K296">
        <v>-282240</v>
      </c>
      <c r="L296">
        <v>-53626</v>
      </c>
      <c r="M296">
        <v>0</v>
      </c>
      <c r="O296">
        <v>-335866</v>
      </c>
      <c r="T296">
        <v>0</v>
      </c>
      <c r="X296">
        <v>0</v>
      </c>
      <c r="AC296" t="s">
        <v>1423</v>
      </c>
      <c r="AD296" t="s">
        <v>871</v>
      </c>
      <c r="AE296">
        <v>2025</v>
      </c>
      <c r="AF296">
        <v>2</v>
      </c>
      <c r="AG296" t="s">
        <v>881</v>
      </c>
    </row>
    <row r="297" spans="1:33">
      <c r="A297">
        <v>58</v>
      </c>
      <c r="B297">
        <v>61</v>
      </c>
      <c r="C297" t="s">
        <v>74</v>
      </c>
      <c r="D297" t="s">
        <v>1215</v>
      </c>
      <c r="E297" t="s">
        <v>1216</v>
      </c>
      <c r="F297">
        <v>109102</v>
      </c>
      <c r="G297" s="1" t="s">
        <v>1432</v>
      </c>
      <c r="H297" s="2" t="s">
        <v>1414</v>
      </c>
      <c r="J297">
        <v>0</v>
      </c>
      <c r="K297">
        <v>-147408</v>
      </c>
      <c r="L297">
        <v>-28008</v>
      </c>
      <c r="M297">
        <v>0</v>
      </c>
      <c r="O297">
        <v>-175416</v>
      </c>
      <c r="T297">
        <v>0</v>
      </c>
      <c r="X297">
        <v>0</v>
      </c>
      <c r="AC297" t="s">
        <v>1423</v>
      </c>
      <c r="AD297" t="s">
        <v>871</v>
      </c>
      <c r="AE297">
        <v>2025</v>
      </c>
      <c r="AF297">
        <v>2</v>
      </c>
      <c r="AG297" t="s">
        <v>881</v>
      </c>
    </row>
    <row r="298" spans="1:33">
      <c r="A298">
        <v>59</v>
      </c>
      <c r="B298">
        <v>61</v>
      </c>
      <c r="C298" t="s">
        <v>74</v>
      </c>
      <c r="D298" t="s">
        <v>1215</v>
      </c>
      <c r="E298" t="s">
        <v>1216</v>
      </c>
      <c r="F298">
        <v>109103</v>
      </c>
      <c r="G298" s="1" t="s">
        <v>1432</v>
      </c>
      <c r="H298" s="2" t="s">
        <v>1415</v>
      </c>
      <c r="J298">
        <v>0</v>
      </c>
      <c r="K298">
        <v>-147408</v>
      </c>
      <c r="L298">
        <v>-28008</v>
      </c>
      <c r="M298">
        <v>0</v>
      </c>
      <c r="O298">
        <v>-175416</v>
      </c>
      <c r="T298">
        <v>0</v>
      </c>
      <c r="X298">
        <v>0</v>
      </c>
      <c r="AC298" t="s">
        <v>1423</v>
      </c>
      <c r="AD298" t="s">
        <v>871</v>
      </c>
      <c r="AE298">
        <v>2025</v>
      </c>
      <c r="AF298">
        <v>2</v>
      </c>
      <c r="AG298" t="s">
        <v>881</v>
      </c>
    </row>
    <row r="299" spans="1:33">
      <c r="A299">
        <v>60</v>
      </c>
      <c r="B299">
        <v>61</v>
      </c>
      <c r="C299" t="s">
        <v>74</v>
      </c>
      <c r="D299" t="s">
        <v>1215</v>
      </c>
      <c r="E299" t="s">
        <v>1216</v>
      </c>
      <c r="F299">
        <v>109104</v>
      </c>
      <c r="G299" s="1" t="s">
        <v>1432</v>
      </c>
      <c r="H299" s="2" t="s">
        <v>1416</v>
      </c>
      <c r="J299">
        <v>0</v>
      </c>
      <c r="K299">
        <v>-147408</v>
      </c>
      <c r="L299">
        <v>-28008</v>
      </c>
      <c r="M299">
        <v>0</v>
      </c>
      <c r="O299">
        <v>-175416</v>
      </c>
      <c r="T299">
        <v>0</v>
      </c>
      <c r="X299">
        <v>0</v>
      </c>
      <c r="AC299" t="s">
        <v>1423</v>
      </c>
      <c r="AD299" t="s">
        <v>871</v>
      </c>
      <c r="AE299">
        <v>2025</v>
      </c>
      <c r="AF299">
        <v>2</v>
      </c>
      <c r="AG299" t="s">
        <v>881</v>
      </c>
    </row>
    <row r="300" spans="1:33">
      <c r="A300">
        <v>61</v>
      </c>
      <c r="B300">
        <v>61</v>
      </c>
      <c r="C300" t="s">
        <v>74</v>
      </c>
      <c r="D300" t="s">
        <v>1215</v>
      </c>
      <c r="E300" t="s">
        <v>1216</v>
      </c>
      <c r="F300">
        <v>109105</v>
      </c>
      <c r="G300" s="1" t="s">
        <v>1432</v>
      </c>
      <c r="H300" s="2" t="s">
        <v>1417</v>
      </c>
      <c r="J300">
        <v>0</v>
      </c>
      <c r="K300">
        <v>-440536</v>
      </c>
      <c r="L300">
        <v>-83702</v>
      </c>
      <c r="M300">
        <v>0</v>
      </c>
      <c r="O300">
        <v>-524238</v>
      </c>
      <c r="T300">
        <v>0</v>
      </c>
      <c r="X300">
        <v>0</v>
      </c>
      <c r="AC300" t="s">
        <v>1423</v>
      </c>
      <c r="AD300" t="s">
        <v>871</v>
      </c>
      <c r="AE300">
        <v>2025</v>
      </c>
      <c r="AF300">
        <v>2</v>
      </c>
      <c r="AG300" t="s">
        <v>881</v>
      </c>
    </row>
    <row r="301" spans="1:33">
      <c r="A301">
        <v>62</v>
      </c>
      <c r="B301">
        <v>61</v>
      </c>
      <c r="C301" t="s">
        <v>74</v>
      </c>
      <c r="D301" t="s">
        <v>1215</v>
      </c>
      <c r="E301" t="s">
        <v>1216</v>
      </c>
      <c r="F301">
        <v>109106</v>
      </c>
      <c r="G301" s="1" t="s">
        <v>1432</v>
      </c>
      <c r="H301" s="2" t="s">
        <v>1418</v>
      </c>
      <c r="J301">
        <v>0</v>
      </c>
      <c r="K301">
        <v>-146845</v>
      </c>
      <c r="L301">
        <v>-27901</v>
      </c>
      <c r="M301">
        <v>0</v>
      </c>
      <c r="O301">
        <v>-174746</v>
      </c>
      <c r="T301">
        <v>0</v>
      </c>
      <c r="X301">
        <v>0</v>
      </c>
      <c r="AC301" t="s">
        <v>1423</v>
      </c>
      <c r="AD301" t="s">
        <v>871</v>
      </c>
      <c r="AE301">
        <v>2025</v>
      </c>
      <c r="AF301">
        <v>2</v>
      </c>
      <c r="AG301" t="s">
        <v>881</v>
      </c>
    </row>
    <row r="302" spans="1:33">
      <c r="A302">
        <v>63</v>
      </c>
      <c r="B302">
        <v>61</v>
      </c>
      <c r="C302" t="s">
        <v>74</v>
      </c>
      <c r="D302" t="s">
        <v>1215</v>
      </c>
      <c r="E302" t="s">
        <v>1216</v>
      </c>
      <c r="F302">
        <v>109107</v>
      </c>
      <c r="G302" s="1" t="s">
        <v>1432</v>
      </c>
      <c r="H302" s="2" t="s">
        <v>1419</v>
      </c>
      <c r="J302">
        <v>0</v>
      </c>
      <c r="K302">
        <v>-146845</v>
      </c>
      <c r="L302">
        <v>-27901</v>
      </c>
      <c r="M302">
        <v>0</v>
      </c>
      <c r="O302">
        <v>-174746</v>
      </c>
      <c r="T302">
        <v>0</v>
      </c>
      <c r="X302">
        <v>0</v>
      </c>
      <c r="AC302" t="s">
        <v>1423</v>
      </c>
      <c r="AD302" t="s">
        <v>871</v>
      </c>
      <c r="AE302">
        <v>2025</v>
      </c>
      <c r="AF302">
        <v>2</v>
      </c>
      <c r="AG302" t="s">
        <v>881</v>
      </c>
    </row>
    <row r="303" spans="1:33">
      <c r="A303">
        <v>64</v>
      </c>
      <c r="B303">
        <v>61</v>
      </c>
      <c r="C303" t="s">
        <v>74</v>
      </c>
      <c r="D303" t="s">
        <v>1215</v>
      </c>
      <c r="E303" t="s">
        <v>1216</v>
      </c>
      <c r="F303">
        <v>109108</v>
      </c>
      <c r="G303" s="1" t="s">
        <v>1432</v>
      </c>
      <c r="H303" s="2" t="s">
        <v>1420</v>
      </c>
      <c r="J303">
        <v>0</v>
      </c>
      <c r="K303">
        <v>-144745</v>
      </c>
      <c r="L303">
        <v>-27502</v>
      </c>
      <c r="M303">
        <v>0</v>
      </c>
      <c r="O303">
        <v>-172247</v>
      </c>
      <c r="T303">
        <v>0</v>
      </c>
      <c r="X303">
        <v>0</v>
      </c>
      <c r="AC303" t="s">
        <v>1423</v>
      </c>
      <c r="AD303" t="s">
        <v>871</v>
      </c>
      <c r="AE303">
        <v>2025</v>
      </c>
      <c r="AF303">
        <v>2</v>
      </c>
      <c r="AG303" t="s">
        <v>881</v>
      </c>
    </row>
    <row r="304" spans="1:33">
      <c r="A304">
        <v>65</v>
      </c>
      <c r="B304">
        <v>61</v>
      </c>
      <c r="C304" t="s">
        <v>74</v>
      </c>
      <c r="D304" t="s">
        <v>1215</v>
      </c>
      <c r="E304" t="s">
        <v>1216</v>
      </c>
      <c r="F304">
        <v>109109</v>
      </c>
      <c r="G304" s="1" t="s">
        <v>1432</v>
      </c>
      <c r="H304" s="2" t="s">
        <v>1421</v>
      </c>
      <c r="J304">
        <v>0</v>
      </c>
      <c r="K304">
        <v>-142591</v>
      </c>
      <c r="L304">
        <v>-27092</v>
      </c>
      <c r="M304">
        <v>0</v>
      </c>
      <c r="O304">
        <v>-169683</v>
      </c>
      <c r="T304">
        <v>0</v>
      </c>
      <c r="X304">
        <v>0</v>
      </c>
      <c r="AC304" t="s">
        <v>1423</v>
      </c>
      <c r="AD304" t="s">
        <v>871</v>
      </c>
      <c r="AE304">
        <v>2025</v>
      </c>
      <c r="AF304">
        <v>2</v>
      </c>
      <c r="AG304" t="s">
        <v>881</v>
      </c>
    </row>
    <row r="305" spans="1:33">
      <c r="A305">
        <v>66</v>
      </c>
      <c r="B305">
        <v>61</v>
      </c>
      <c r="C305" t="s">
        <v>74</v>
      </c>
      <c r="D305" t="s">
        <v>1215</v>
      </c>
      <c r="E305" t="s">
        <v>1216</v>
      </c>
      <c r="F305">
        <v>109110</v>
      </c>
      <c r="G305" s="1" t="s">
        <v>1432</v>
      </c>
      <c r="H305" s="2" t="s">
        <v>1422</v>
      </c>
      <c r="J305">
        <v>0</v>
      </c>
      <c r="K305">
        <v>-285181</v>
      </c>
      <c r="L305">
        <v>-54184</v>
      </c>
      <c r="M305">
        <v>0</v>
      </c>
      <c r="O305">
        <v>-339365</v>
      </c>
      <c r="T305">
        <v>0</v>
      </c>
      <c r="X305">
        <v>0</v>
      </c>
      <c r="AC305" t="s">
        <v>1423</v>
      </c>
      <c r="AD305" t="s">
        <v>871</v>
      </c>
      <c r="AE305">
        <v>2025</v>
      </c>
      <c r="AF305">
        <v>2</v>
      </c>
      <c r="AG305" t="s">
        <v>881</v>
      </c>
    </row>
    <row r="306" spans="1:33">
      <c r="A306">
        <v>67</v>
      </c>
      <c r="B306">
        <v>914</v>
      </c>
      <c r="C306" t="s">
        <v>74</v>
      </c>
      <c r="D306" t="s">
        <v>844</v>
      </c>
      <c r="E306" t="s">
        <v>845</v>
      </c>
      <c r="F306">
        <v>3670097665</v>
      </c>
      <c r="G306" s="1" t="s">
        <v>1426</v>
      </c>
      <c r="H306" s="2">
        <v>45994.759826388887</v>
      </c>
      <c r="J306">
        <v>0</v>
      </c>
      <c r="K306">
        <v>2932242</v>
      </c>
      <c r="L306">
        <v>557126</v>
      </c>
      <c r="O306">
        <v>3489368</v>
      </c>
      <c r="X306">
        <v>0</v>
      </c>
      <c r="AC306" t="s">
        <v>1423</v>
      </c>
      <c r="AD306" t="s">
        <v>871</v>
      </c>
      <c r="AE306">
        <v>2025</v>
      </c>
      <c r="AF306">
        <v>2</v>
      </c>
      <c r="AG306" t="s">
        <v>1142</v>
      </c>
    </row>
    <row r="307" spans="1:33">
      <c r="A307">
        <v>68</v>
      </c>
      <c r="B307">
        <v>914</v>
      </c>
      <c r="C307" t="s">
        <v>74</v>
      </c>
      <c r="D307" t="s">
        <v>844</v>
      </c>
      <c r="E307" t="s">
        <v>845</v>
      </c>
      <c r="F307">
        <v>3670097201</v>
      </c>
      <c r="G307" s="1" t="s">
        <v>1433</v>
      </c>
      <c r="H307" s="2">
        <v>45994.760497685187</v>
      </c>
      <c r="J307">
        <v>0</v>
      </c>
      <c r="K307">
        <v>28575474</v>
      </c>
      <c r="L307">
        <v>5429340</v>
      </c>
      <c r="O307">
        <v>34004814</v>
      </c>
      <c r="X307">
        <v>0</v>
      </c>
      <c r="AC307" t="s">
        <v>1423</v>
      </c>
      <c r="AD307" t="s">
        <v>871</v>
      </c>
      <c r="AE307">
        <v>2025</v>
      </c>
      <c r="AF307">
        <v>2</v>
      </c>
      <c r="AG307" t="s">
        <v>1142</v>
      </c>
    </row>
    <row r="308" spans="1:33">
      <c r="A308">
        <v>69</v>
      </c>
      <c r="B308">
        <v>914</v>
      </c>
      <c r="C308" t="s">
        <v>74</v>
      </c>
      <c r="D308" t="s">
        <v>844</v>
      </c>
      <c r="E308" t="s">
        <v>845</v>
      </c>
      <c r="F308">
        <v>3670097279</v>
      </c>
      <c r="G308" s="1">
        <v>45699</v>
      </c>
      <c r="H308" s="2">
        <v>45994.761192129627</v>
      </c>
      <c r="J308">
        <v>0</v>
      </c>
      <c r="K308">
        <v>35566974</v>
      </c>
      <c r="L308">
        <v>6757725</v>
      </c>
      <c r="O308">
        <v>42324699</v>
      </c>
      <c r="X308">
        <v>0</v>
      </c>
      <c r="AC308" t="s">
        <v>1423</v>
      </c>
      <c r="AD308" t="s">
        <v>871</v>
      </c>
      <c r="AE308">
        <v>2025</v>
      </c>
      <c r="AF308">
        <v>2</v>
      </c>
      <c r="AG308" t="s">
        <v>1142</v>
      </c>
    </row>
    <row r="309" spans="1:33">
      <c r="A309">
        <v>70</v>
      </c>
      <c r="B309">
        <v>914</v>
      </c>
      <c r="C309" t="s">
        <v>74</v>
      </c>
      <c r="D309" t="s">
        <v>844</v>
      </c>
      <c r="E309" t="s">
        <v>845</v>
      </c>
      <c r="F309">
        <v>3670096968</v>
      </c>
      <c r="G309" s="1">
        <v>45694</v>
      </c>
      <c r="H309" s="2">
        <v>45994.761817129627</v>
      </c>
      <c r="J309">
        <v>0</v>
      </c>
      <c r="K309">
        <v>35537300</v>
      </c>
      <c r="L309">
        <v>6752087</v>
      </c>
      <c r="O309">
        <v>42289387</v>
      </c>
      <c r="X309">
        <v>0</v>
      </c>
      <c r="AC309" t="s">
        <v>1423</v>
      </c>
      <c r="AD309" t="s">
        <v>871</v>
      </c>
      <c r="AE309">
        <v>2025</v>
      </c>
      <c r="AF309">
        <v>2</v>
      </c>
      <c r="AG309" t="s">
        <v>1142</v>
      </c>
    </row>
    <row r="310" spans="1:33">
      <c r="A310">
        <v>71</v>
      </c>
      <c r="B310">
        <v>914</v>
      </c>
      <c r="C310" t="s">
        <v>74</v>
      </c>
      <c r="D310" t="s">
        <v>844</v>
      </c>
      <c r="E310" t="s">
        <v>845</v>
      </c>
      <c r="F310">
        <v>3670097168</v>
      </c>
      <c r="G310" s="1">
        <v>45693</v>
      </c>
      <c r="H310" s="2">
        <v>45994.762372685182</v>
      </c>
      <c r="J310">
        <v>0</v>
      </c>
      <c r="K310">
        <v>88492932</v>
      </c>
      <c r="L310">
        <v>16813657</v>
      </c>
      <c r="O310">
        <v>105306589</v>
      </c>
      <c r="X310">
        <v>0</v>
      </c>
      <c r="AC310" t="s">
        <v>1423</v>
      </c>
      <c r="AD310" t="s">
        <v>871</v>
      </c>
      <c r="AE310">
        <v>2025</v>
      </c>
      <c r="AF310">
        <v>2</v>
      </c>
      <c r="AG310" t="s">
        <v>1142</v>
      </c>
    </row>
    <row r="311" spans="1:33">
      <c r="A311">
        <v>1</v>
      </c>
      <c r="B311">
        <v>33</v>
      </c>
      <c r="C311" t="s">
        <v>74</v>
      </c>
      <c r="D311" t="s">
        <v>1333</v>
      </c>
      <c r="E311" t="s">
        <v>1334</v>
      </c>
      <c r="F311">
        <v>32620</v>
      </c>
      <c r="G311" t="s">
        <v>1454</v>
      </c>
      <c r="H311" s="2" t="s">
        <v>1434</v>
      </c>
      <c r="J311">
        <v>0</v>
      </c>
      <c r="K311">
        <v>760700</v>
      </c>
      <c r="L311">
        <v>144533</v>
      </c>
      <c r="O311">
        <v>905233</v>
      </c>
      <c r="T311">
        <v>0</v>
      </c>
      <c r="X311">
        <v>0</v>
      </c>
      <c r="AC311" t="s">
        <v>1453</v>
      </c>
      <c r="AD311" t="s">
        <v>871</v>
      </c>
      <c r="AE311">
        <v>2025</v>
      </c>
      <c r="AF311">
        <v>3</v>
      </c>
      <c r="AG311" t="s">
        <v>872</v>
      </c>
    </row>
    <row r="312" spans="1:33">
      <c r="A312">
        <v>2</v>
      </c>
      <c r="B312">
        <v>33</v>
      </c>
      <c r="C312" t="s">
        <v>74</v>
      </c>
      <c r="D312" t="s">
        <v>109</v>
      </c>
      <c r="E312" t="s">
        <v>1379</v>
      </c>
      <c r="F312">
        <v>4558</v>
      </c>
      <c r="G312" s="1">
        <v>45717</v>
      </c>
      <c r="H312" s="2">
        <v>45660.963009259256</v>
      </c>
      <c r="J312">
        <v>0</v>
      </c>
      <c r="K312">
        <v>579946</v>
      </c>
      <c r="L312">
        <v>110190</v>
      </c>
      <c r="O312">
        <v>690136</v>
      </c>
      <c r="T312">
        <v>0</v>
      </c>
      <c r="X312">
        <v>0</v>
      </c>
      <c r="AC312" t="s">
        <v>1453</v>
      </c>
      <c r="AD312" t="s">
        <v>871</v>
      </c>
      <c r="AE312">
        <v>2025</v>
      </c>
      <c r="AF312">
        <v>3</v>
      </c>
      <c r="AG312" t="s">
        <v>872</v>
      </c>
    </row>
    <row r="313" spans="1:33">
      <c r="A313">
        <v>3</v>
      </c>
      <c r="B313">
        <v>33</v>
      </c>
      <c r="C313" t="s">
        <v>74</v>
      </c>
      <c r="D313" t="s">
        <v>1258</v>
      </c>
      <c r="E313" t="s">
        <v>1259</v>
      </c>
      <c r="F313">
        <v>13321</v>
      </c>
      <c r="G313" s="1" t="s">
        <v>1432</v>
      </c>
      <c r="H313" s="2">
        <v>45719.54420138889</v>
      </c>
      <c r="J313">
        <v>0</v>
      </c>
      <c r="K313">
        <v>527460</v>
      </c>
      <c r="L313">
        <v>100217</v>
      </c>
      <c r="O313">
        <v>627677</v>
      </c>
      <c r="T313">
        <v>0</v>
      </c>
      <c r="X313">
        <v>0</v>
      </c>
      <c r="AC313" t="s">
        <v>1453</v>
      </c>
      <c r="AD313" t="s">
        <v>871</v>
      </c>
      <c r="AE313">
        <v>2025</v>
      </c>
      <c r="AF313">
        <v>3</v>
      </c>
      <c r="AG313" t="s">
        <v>872</v>
      </c>
    </row>
    <row r="314" spans="1:33">
      <c r="A314">
        <v>4</v>
      </c>
      <c r="B314">
        <v>33</v>
      </c>
      <c r="C314" t="s">
        <v>74</v>
      </c>
      <c r="D314" t="s">
        <v>1212</v>
      </c>
      <c r="E314" t="s">
        <v>1213</v>
      </c>
      <c r="F314">
        <v>2381029</v>
      </c>
      <c r="G314" s="1" t="s">
        <v>1432</v>
      </c>
      <c r="H314" s="2">
        <v>45750.758368055554</v>
      </c>
      <c r="J314">
        <v>0</v>
      </c>
      <c r="K314">
        <v>3223871</v>
      </c>
      <c r="L314">
        <v>612535</v>
      </c>
      <c r="O314">
        <v>3836406</v>
      </c>
      <c r="T314">
        <v>0</v>
      </c>
      <c r="X314">
        <v>0</v>
      </c>
      <c r="AC314" t="s">
        <v>1453</v>
      </c>
      <c r="AD314" t="s">
        <v>871</v>
      </c>
      <c r="AE314">
        <v>2025</v>
      </c>
      <c r="AF314">
        <v>3</v>
      </c>
      <c r="AG314" t="s">
        <v>872</v>
      </c>
    </row>
    <row r="315" spans="1:33">
      <c r="A315">
        <v>5</v>
      </c>
      <c r="B315">
        <v>33</v>
      </c>
      <c r="C315" t="s">
        <v>74</v>
      </c>
      <c r="D315" t="s">
        <v>1219</v>
      </c>
      <c r="E315" t="s">
        <v>1220</v>
      </c>
      <c r="F315">
        <v>553557</v>
      </c>
      <c r="G315" s="1">
        <v>45721</v>
      </c>
      <c r="H315" s="2">
        <v>45780.696597222224</v>
      </c>
      <c r="J315">
        <v>0</v>
      </c>
      <c r="K315">
        <v>212830</v>
      </c>
      <c r="L315">
        <v>40438</v>
      </c>
      <c r="O315">
        <v>253268</v>
      </c>
      <c r="T315">
        <v>0</v>
      </c>
      <c r="X315">
        <v>0</v>
      </c>
      <c r="AC315" t="s">
        <v>1453</v>
      </c>
      <c r="AD315" t="s">
        <v>871</v>
      </c>
      <c r="AE315">
        <v>2025</v>
      </c>
      <c r="AF315">
        <v>3</v>
      </c>
      <c r="AG315" t="s">
        <v>872</v>
      </c>
    </row>
    <row r="316" spans="1:33">
      <c r="A316">
        <v>6</v>
      </c>
      <c r="B316">
        <v>33</v>
      </c>
      <c r="C316" t="s">
        <v>74</v>
      </c>
      <c r="D316" t="s">
        <v>1219</v>
      </c>
      <c r="E316" t="s">
        <v>1220</v>
      </c>
      <c r="F316">
        <v>553556</v>
      </c>
      <c r="G316" s="1">
        <v>45721</v>
      </c>
      <c r="H316" s="2">
        <v>45780.696608796294</v>
      </c>
      <c r="J316">
        <v>0</v>
      </c>
      <c r="K316">
        <v>212830</v>
      </c>
      <c r="L316">
        <v>40438</v>
      </c>
      <c r="O316">
        <v>253268</v>
      </c>
      <c r="T316">
        <v>0</v>
      </c>
      <c r="X316">
        <v>0</v>
      </c>
      <c r="AC316" t="s">
        <v>1453</v>
      </c>
      <c r="AD316" t="s">
        <v>871</v>
      </c>
      <c r="AE316">
        <v>2025</v>
      </c>
      <c r="AF316">
        <v>3</v>
      </c>
      <c r="AG316" t="s">
        <v>872</v>
      </c>
    </row>
    <row r="317" spans="1:33">
      <c r="A317">
        <v>7</v>
      </c>
      <c r="B317">
        <v>33</v>
      </c>
      <c r="C317" t="s">
        <v>74</v>
      </c>
      <c r="D317" t="s">
        <v>1219</v>
      </c>
      <c r="E317" t="s">
        <v>1220</v>
      </c>
      <c r="F317">
        <v>553558</v>
      </c>
      <c r="G317" s="1">
        <v>45721</v>
      </c>
      <c r="H317" s="2">
        <v>45780.698506944442</v>
      </c>
      <c r="J317">
        <v>0</v>
      </c>
      <c r="K317">
        <v>212830</v>
      </c>
      <c r="L317">
        <v>40438</v>
      </c>
      <c r="O317">
        <v>253268</v>
      </c>
      <c r="T317">
        <v>0</v>
      </c>
      <c r="X317">
        <v>0</v>
      </c>
      <c r="AC317" t="s">
        <v>1453</v>
      </c>
      <c r="AD317" t="s">
        <v>871</v>
      </c>
      <c r="AE317">
        <v>2025</v>
      </c>
      <c r="AF317">
        <v>3</v>
      </c>
      <c r="AG317" t="s">
        <v>872</v>
      </c>
    </row>
    <row r="318" spans="1:33">
      <c r="A318">
        <v>8</v>
      </c>
      <c r="B318">
        <v>33</v>
      </c>
      <c r="C318" t="s">
        <v>74</v>
      </c>
      <c r="D318" t="s">
        <v>873</v>
      </c>
      <c r="E318" t="s">
        <v>874</v>
      </c>
      <c r="F318">
        <v>50867155</v>
      </c>
      <c r="G318" s="1">
        <v>45721</v>
      </c>
      <c r="H318" s="2">
        <v>45780.856446759259</v>
      </c>
      <c r="J318">
        <v>0</v>
      </c>
      <c r="K318">
        <v>155998</v>
      </c>
      <c r="L318">
        <v>29640</v>
      </c>
      <c r="O318">
        <v>185638</v>
      </c>
      <c r="T318">
        <v>0</v>
      </c>
      <c r="X318">
        <v>0</v>
      </c>
      <c r="AC318" t="s">
        <v>1453</v>
      </c>
      <c r="AD318" t="s">
        <v>871</v>
      </c>
      <c r="AE318">
        <v>2025</v>
      </c>
      <c r="AF318">
        <v>3</v>
      </c>
      <c r="AG318" t="s">
        <v>872</v>
      </c>
    </row>
    <row r="319" spans="1:33">
      <c r="A319">
        <v>9</v>
      </c>
      <c r="B319">
        <v>33</v>
      </c>
      <c r="C319" t="s">
        <v>74</v>
      </c>
      <c r="D319" t="s">
        <v>917</v>
      </c>
      <c r="E319" t="s">
        <v>1221</v>
      </c>
      <c r="F319">
        <v>183230</v>
      </c>
      <c r="G319" s="1">
        <v>45721</v>
      </c>
      <c r="H319" s="2">
        <v>45811.821493055555</v>
      </c>
      <c r="J319">
        <v>0</v>
      </c>
      <c r="K319">
        <v>1168669</v>
      </c>
      <c r="L319">
        <v>222047</v>
      </c>
      <c r="O319">
        <v>1390716</v>
      </c>
      <c r="T319">
        <v>0</v>
      </c>
      <c r="X319">
        <v>0</v>
      </c>
      <c r="AC319" t="s">
        <v>1453</v>
      </c>
      <c r="AD319" t="s">
        <v>871</v>
      </c>
      <c r="AE319">
        <v>2025</v>
      </c>
      <c r="AF319">
        <v>3</v>
      </c>
      <c r="AG319" t="s">
        <v>872</v>
      </c>
    </row>
    <row r="320" spans="1:33">
      <c r="A320">
        <v>10</v>
      </c>
      <c r="B320">
        <v>33</v>
      </c>
      <c r="C320" t="s">
        <v>74</v>
      </c>
      <c r="D320" t="s">
        <v>1222</v>
      </c>
      <c r="E320" t="s">
        <v>1223</v>
      </c>
      <c r="F320">
        <v>3485305</v>
      </c>
      <c r="G320" s="1">
        <v>45726</v>
      </c>
      <c r="H320" s="2">
        <v>45933.651724537034</v>
      </c>
      <c r="J320">
        <v>0</v>
      </c>
      <c r="K320">
        <v>1510000</v>
      </c>
      <c r="L320">
        <v>286900</v>
      </c>
      <c r="O320">
        <v>1796900</v>
      </c>
      <c r="T320">
        <v>0</v>
      </c>
      <c r="X320">
        <v>0</v>
      </c>
      <c r="AC320" t="s">
        <v>1453</v>
      </c>
      <c r="AD320" t="s">
        <v>871</v>
      </c>
      <c r="AE320">
        <v>2025</v>
      </c>
      <c r="AF320">
        <v>3</v>
      </c>
      <c r="AG320" t="s">
        <v>872</v>
      </c>
    </row>
    <row r="321" spans="1:33">
      <c r="A321">
        <v>11</v>
      </c>
      <c r="B321">
        <v>33</v>
      </c>
      <c r="C321" t="s">
        <v>74</v>
      </c>
      <c r="D321" t="s">
        <v>1222</v>
      </c>
      <c r="E321" t="s">
        <v>1223</v>
      </c>
      <c r="F321">
        <v>3485308</v>
      </c>
      <c r="G321" s="1">
        <v>45726</v>
      </c>
      <c r="H321" s="2">
        <v>45933.651817129627</v>
      </c>
      <c r="J321">
        <v>0</v>
      </c>
      <c r="K321">
        <v>19524245</v>
      </c>
      <c r="L321">
        <v>3709607</v>
      </c>
      <c r="O321">
        <v>23233852</v>
      </c>
      <c r="T321">
        <v>0</v>
      </c>
      <c r="X321">
        <v>0</v>
      </c>
      <c r="AC321" t="s">
        <v>1453</v>
      </c>
      <c r="AD321" t="s">
        <v>871</v>
      </c>
      <c r="AE321">
        <v>2025</v>
      </c>
      <c r="AF321">
        <v>3</v>
      </c>
      <c r="AG321" t="s">
        <v>872</v>
      </c>
    </row>
    <row r="322" spans="1:33">
      <c r="A322">
        <v>12</v>
      </c>
      <c r="B322">
        <v>33</v>
      </c>
      <c r="C322" t="s">
        <v>74</v>
      </c>
      <c r="D322" t="s">
        <v>1306</v>
      </c>
      <c r="E322" t="s">
        <v>1307</v>
      </c>
      <c r="F322">
        <v>83065</v>
      </c>
      <c r="G322" s="1">
        <v>45727</v>
      </c>
      <c r="H322" s="2">
        <v>45964.524837962963</v>
      </c>
      <c r="J322">
        <v>0</v>
      </c>
      <c r="K322">
        <v>127635</v>
      </c>
      <c r="L322">
        <v>24251</v>
      </c>
      <c r="O322">
        <v>151886</v>
      </c>
      <c r="T322">
        <v>0</v>
      </c>
      <c r="X322">
        <v>0</v>
      </c>
      <c r="AC322" t="s">
        <v>1453</v>
      </c>
      <c r="AD322" t="s">
        <v>871</v>
      </c>
      <c r="AE322">
        <v>2025</v>
      </c>
      <c r="AF322">
        <v>3</v>
      </c>
      <c r="AG322" t="s">
        <v>872</v>
      </c>
    </row>
    <row r="323" spans="1:33">
      <c r="A323">
        <v>13</v>
      </c>
      <c r="B323">
        <v>33</v>
      </c>
      <c r="C323" t="s">
        <v>74</v>
      </c>
      <c r="D323" t="s">
        <v>1217</v>
      </c>
      <c r="E323" t="s">
        <v>1305</v>
      </c>
      <c r="F323">
        <v>41031</v>
      </c>
      <c r="G323" s="1">
        <v>45727</v>
      </c>
      <c r="H323" s="2">
        <v>45964.525625000002</v>
      </c>
      <c r="J323">
        <v>0</v>
      </c>
      <c r="K323">
        <v>2056882</v>
      </c>
      <c r="L323">
        <v>390808</v>
      </c>
      <c r="O323">
        <v>2447690</v>
      </c>
      <c r="T323">
        <v>0</v>
      </c>
      <c r="X323">
        <v>0</v>
      </c>
      <c r="AC323" t="s">
        <v>1453</v>
      </c>
      <c r="AD323" t="s">
        <v>871</v>
      </c>
      <c r="AE323">
        <v>2025</v>
      </c>
      <c r="AF323">
        <v>3</v>
      </c>
      <c r="AG323" t="s">
        <v>872</v>
      </c>
    </row>
    <row r="324" spans="1:33">
      <c r="A324">
        <v>14</v>
      </c>
      <c r="B324">
        <v>33</v>
      </c>
      <c r="C324" t="s">
        <v>74</v>
      </c>
      <c r="D324" t="s">
        <v>1219</v>
      </c>
      <c r="E324" t="s">
        <v>1220</v>
      </c>
      <c r="F324">
        <v>554780</v>
      </c>
      <c r="G324" s="1">
        <v>45727</v>
      </c>
      <c r="H324" s="2">
        <v>45964.720763888887</v>
      </c>
      <c r="J324">
        <v>0</v>
      </c>
      <c r="K324">
        <v>208854</v>
      </c>
      <c r="L324">
        <v>39682</v>
      </c>
      <c r="O324">
        <v>248536</v>
      </c>
      <c r="T324">
        <v>0</v>
      </c>
      <c r="X324">
        <v>0</v>
      </c>
      <c r="AC324" t="s">
        <v>1453</v>
      </c>
      <c r="AD324" t="s">
        <v>871</v>
      </c>
      <c r="AE324">
        <v>2025</v>
      </c>
      <c r="AF324">
        <v>3</v>
      </c>
      <c r="AG324" t="s">
        <v>872</v>
      </c>
    </row>
    <row r="325" spans="1:33">
      <c r="A325">
        <v>15</v>
      </c>
      <c r="B325">
        <v>33</v>
      </c>
      <c r="C325" t="s">
        <v>74</v>
      </c>
      <c r="D325" t="s">
        <v>1219</v>
      </c>
      <c r="E325" t="s">
        <v>1220</v>
      </c>
      <c r="F325">
        <v>554781</v>
      </c>
      <c r="G325" s="1">
        <v>45727</v>
      </c>
      <c r="H325" s="2">
        <v>45964.722118055557</v>
      </c>
      <c r="J325">
        <v>0</v>
      </c>
      <c r="K325">
        <v>208854</v>
      </c>
      <c r="L325">
        <v>39682</v>
      </c>
      <c r="O325">
        <v>248536</v>
      </c>
      <c r="T325">
        <v>0</v>
      </c>
      <c r="X325">
        <v>0</v>
      </c>
      <c r="AC325" t="s">
        <v>1453</v>
      </c>
      <c r="AD325" t="s">
        <v>871</v>
      </c>
      <c r="AE325">
        <v>2025</v>
      </c>
      <c r="AF325">
        <v>3</v>
      </c>
      <c r="AG325" t="s">
        <v>872</v>
      </c>
    </row>
    <row r="326" spans="1:33">
      <c r="A326">
        <v>16</v>
      </c>
      <c r="B326">
        <v>33</v>
      </c>
      <c r="C326" t="s">
        <v>74</v>
      </c>
      <c r="D326" t="s">
        <v>1236</v>
      </c>
      <c r="E326" t="s">
        <v>1237</v>
      </c>
      <c r="F326">
        <v>133075</v>
      </c>
      <c r="G326" s="1" t="s">
        <v>1455</v>
      </c>
      <c r="H326" s="2" t="s">
        <v>1435</v>
      </c>
      <c r="J326">
        <v>0</v>
      </c>
      <c r="K326">
        <v>115989</v>
      </c>
      <c r="L326">
        <v>22038</v>
      </c>
      <c r="O326">
        <v>138027</v>
      </c>
      <c r="T326">
        <v>0</v>
      </c>
      <c r="X326">
        <v>0</v>
      </c>
      <c r="AC326" t="s">
        <v>1453</v>
      </c>
      <c r="AD326" t="s">
        <v>871</v>
      </c>
      <c r="AE326">
        <v>2025</v>
      </c>
      <c r="AF326">
        <v>3</v>
      </c>
      <c r="AG326" t="s">
        <v>872</v>
      </c>
    </row>
    <row r="327" spans="1:33">
      <c r="A327">
        <v>17</v>
      </c>
      <c r="B327">
        <v>33</v>
      </c>
      <c r="C327" t="s">
        <v>74</v>
      </c>
      <c r="D327" t="s">
        <v>1246</v>
      </c>
      <c r="E327" t="s">
        <v>1247</v>
      </c>
      <c r="F327">
        <v>72186</v>
      </c>
      <c r="G327" s="1" t="s">
        <v>1456</v>
      </c>
      <c r="H327" s="2" t="s">
        <v>1436</v>
      </c>
      <c r="J327">
        <v>0</v>
      </c>
      <c r="K327">
        <v>192171</v>
      </c>
      <c r="L327">
        <v>36512</v>
      </c>
      <c r="O327">
        <v>228683</v>
      </c>
      <c r="T327">
        <v>0</v>
      </c>
      <c r="X327">
        <v>0</v>
      </c>
      <c r="AC327" t="s">
        <v>1453</v>
      </c>
      <c r="AD327" t="s">
        <v>871</v>
      </c>
      <c r="AE327">
        <v>2025</v>
      </c>
      <c r="AF327">
        <v>3</v>
      </c>
      <c r="AG327" t="s">
        <v>872</v>
      </c>
    </row>
    <row r="328" spans="1:33">
      <c r="A328">
        <v>18</v>
      </c>
      <c r="B328">
        <v>33</v>
      </c>
      <c r="C328" t="s">
        <v>74</v>
      </c>
      <c r="D328" t="s">
        <v>1246</v>
      </c>
      <c r="E328" t="s">
        <v>1247</v>
      </c>
      <c r="F328">
        <v>72189</v>
      </c>
      <c r="G328" s="1" t="s">
        <v>1456</v>
      </c>
      <c r="H328" s="2" t="s">
        <v>1436</v>
      </c>
      <c r="J328">
        <v>0</v>
      </c>
      <c r="K328">
        <v>236031</v>
      </c>
      <c r="L328">
        <v>44846</v>
      </c>
      <c r="O328">
        <v>280877</v>
      </c>
      <c r="T328">
        <v>0</v>
      </c>
      <c r="X328">
        <v>0</v>
      </c>
      <c r="AC328" t="s">
        <v>1453</v>
      </c>
      <c r="AD328" t="s">
        <v>871</v>
      </c>
      <c r="AE328">
        <v>2025</v>
      </c>
      <c r="AF328">
        <v>3</v>
      </c>
      <c r="AG328" t="s">
        <v>872</v>
      </c>
    </row>
    <row r="329" spans="1:33">
      <c r="A329">
        <v>19</v>
      </c>
      <c r="B329">
        <v>33</v>
      </c>
      <c r="C329" t="s">
        <v>74</v>
      </c>
      <c r="D329" t="s">
        <v>1222</v>
      </c>
      <c r="E329" t="s">
        <v>1223</v>
      </c>
      <c r="F329">
        <v>3498820</v>
      </c>
      <c r="G329" s="1" t="s">
        <v>1456</v>
      </c>
      <c r="H329" s="2" t="s">
        <v>1437</v>
      </c>
      <c r="J329">
        <v>0</v>
      </c>
      <c r="K329">
        <v>9938744</v>
      </c>
      <c r="L329">
        <v>1888361</v>
      </c>
      <c r="O329">
        <v>11827105</v>
      </c>
      <c r="T329">
        <v>0</v>
      </c>
      <c r="X329">
        <v>0</v>
      </c>
      <c r="AC329" t="s">
        <v>1453</v>
      </c>
      <c r="AD329" t="s">
        <v>871</v>
      </c>
      <c r="AE329">
        <v>2025</v>
      </c>
      <c r="AF329">
        <v>3</v>
      </c>
      <c r="AG329" t="s">
        <v>872</v>
      </c>
    </row>
    <row r="330" spans="1:33">
      <c r="A330">
        <v>20</v>
      </c>
      <c r="B330">
        <v>33</v>
      </c>
      <c r="C330" t="s">
        <v>74</v>
      </c>
      <c r="D330" t="s">
        <v>1240</v>
      </c>
      <c r="E330" t="s">
        <v>1241</v>
      </c>
      <c r="F330">
        <v>7165</v>
      </c>
      <c r="G330" s="1" t="s">
        <v>1457</v>
      </c>
      <c r="H330" s="2" t="s">
        <v>1438</v>
      </c>
      <c r="J330">
        <v>0</v>
      </c>
      <c r="K330">
        <v>50000</v>
      </c>
      <c r="L330">
        <v>9500</v>
      </c>
      <c r="O330">
        <v>59500</v>
      </c>
      <c r="T330">
        <v>0</v>
      </c>
      <c r="X330">
        <v>0</v>
      </c>
      <c r="AC330" t="s">
        <v>1453</v>
      </c>
      <c r="AD330" t="s">
        <v>871</v>
      </c>
      <c r="AE330">
        <v>2025</v>
      </c>
      <c r="AF330">
        <v>3</v>
      </c>
      <c r="AG330" t="s">
        <v>872</v>
      </c>
    </row>
    <row r="331" spans="1:33">
      <c r="A331">
        <v>21</v>
      </c>
      <c r="B331">
        <v>33</v>
      </c>
      <c r="C331" t="s">
        <v>74</v>
      </c>
      <c r="D331" t="s">
        <v>1219</v>
      </c>
      <c r="E331" t="s">
        <v>1220</v>
      </c>
      <c r="F331">
        <v>559724</v>
      </c>
      <c r="G331" s="1" t="s">
        <v>1458</v>
      </c>
      <c r="H331" s="2" t="s">
        <v>1439</v>
      </c>
      <c r="J331">
        <v>0</v>
      </c>
      <c r="K331">
        <v>209098</v>
      </c>
      <c r="L331">
        <v>39729</v>
      </c>
      <c r="O331">
        <v>248827</v>
      </c>
      <c r="T331">
        <v>0</v>
      </c>
      <c r="X331">
        <v>0</v>
      </c>
      <c r="AC331" t="s">
        <v>1453</v>
      </c>
      <c r="AD331" t="s">
        <v>871</v>
      </c>
      <c r="AE331">
        <v>2025</v>
      </c>
      <c r="AF331">
        <v>3</v>
      </c>
      <c r="AG331" t="s">
        <v>872</v>
      </c>
    </row>
    <row r="332" spans="1:33">
      <c r="A332">
        <v>22</v>
      </c>
      <c r="B332">
        <v>33</v>
      </c>
      <c r="C332" t="s">
        <v>74</v>
      </c>
      <c r="D332" t="s">
        <v>1219</v>
      </c>
      <c r="E332" t="s">
        <v>1220</v>
      </c>
      <c r="F332">
        <v>559739</v>
      </c>
      <c r="G332" s="1" t="s">
        <v>1458</v>
      </c>
      <c r="H332" s="2" t="s">
        <v>1440</v>
      </c>
      <c r="J332">
        <v>0</v>
      </c>
      <c r="K332">
        <v>209098</v>
      </c>
      <c r="L332">
        <v>39729</v>
      </c>
      <c r="O332">
        <v>248827</v>
      </c>
      <c r="T332">
        <v>0</v>
      </c>
      <c r="X332">
        <v>0</v>
      </c>
      <c r="AC332" t="s">
        <v>1453</v>
      </c>
      <c r="AD332" t="s">
        <v>871</v>
      </c>
      <c r="AE332">
        <v>2025</v>
      </c>
      <c r="AF332">
        <v>3</v>
      </c>
      <c r="AG332" t="s">
        <v>872</v>
      </c>
    </row>
    <row r="333" spans="1:33">
      <c r="A333">
        <v>23</v>
      </c>
      <c r="B333">
        <v>33</v>
      </c>
      <c r="C333" t="s">
        <v>74</v>
      </c>
      <c r="D333" t="s">
        <v>1246</v>
      </c>
      <c r="E333" t="s">
        <v>1247</v>
      </c>
      <c r="F333">
        <v>72364</v>
      </c>
      <c r="G333" s="1" t="s">
        <v>1459</v>
      </c>
      <c r="H333" s="2" t="s">
        <v>1441</v>
      </c>
      <c r="J333">
        <v>0</v>
      </c>
      <c r="K333">
        <v>149990</v>
      </c>
      <c r="L333">
        <v>28498</v>
      </c>
      <c r="O333">
        <v>178488</v>
      </c>
      <c r="T333">
        <v>0</v>
      </c>
      <c r="X333">
        <v>0</v>
      </c>
      <c r="AC333" t="s">
        <v>1453</v>
      </c>
      <c r="AD333" t="s">
        <v>871</v>
      </c>
      <c r="AE333">
        <v>2025</v>
      </c>
      <c r="AF333">
        <v>3</v>
      </c>
      <c r="AG333" t="s">
        <v>872</v>
      </c>
    </row>
    <row r="334" spans="1:33">
      <c r="A334">
        <v>24</v>
      </c>
      <c r="B334">
        <v>33</v>
      </c>
      <c r="C334" t="s">
        <v>74</v>
      </c>
      <c r="D334" t="s">
        <v>1279</v>
      </c>
      <c r="E334" t="s">
        <v>1280</v>
      </c>
      <c r="F334">
        <v>507191</v>
      </c>
      <c r="G334" s="1" t="s">
        <v>1459</v>
      </c>
      <c r="H334" s="2" t="s">
        <v>1442</v>
      </c>
      <c r="J334">
        <v>0</v>
      </c>
      <c r="K334">
        <v>27630</v>
      </c>
      <c r="L334">
        <v>5250</v>
      </c>
      <c r="O334">
        <v>32880</v>
      </c>
      <c r="T334">
        <v>0</v>
      </c>
      <c r="X334">
        <v>0</v>
      </c>
      <c r="AC334" t="s">
        <v>1453</v>
      </c>
      <c r="AD334" t="s">
        <v>871</v>
      </c>
      <c r="AE334">
        <v>2025</v>
      </c>
      <c r="AF334">
        <v>3</v>
      </c>
      <c r="AG334" t="s">
        <v>872</v>
      </c>
    </row>
    <row r="335" spans="1:33">
      <c r="A335">
        <v>25</v>
      </c>
      <c r="B335">
        <v>33</v>
      </c>
      <c r="C335" t="s">
        <v>74</v>
      </c>
      <c r="D335" t="s">
        <v>873</v>
      </c>
      <c r="E335" t="s">
        <v>874</v>
      </c>
      <c r="F335">
        <v>51017776</v>
      </c>
      <c r="G335" s="1" t="s">
        <v>1459</v>
      </c>
      <c r="H335" s="2" t="s">
        <v>1443</v>
      </c>
      <c r="J335">
        <v>0</v>
      </c>
      <c r="K335">
        <v>29750</v>
      </c>
      <c r="L335">
        <v>5652</v>
      </c>
      <c r="O335">
        <v>35402</v>
      </c>
      <c r="T335">
        <v>0</v>
      </c>
      <c r="X335">
        <v>0</v>
      </c>
      <c r="AC335" t="s">
        <v>1453</v>
      </c>
      <c r="AD335" t="s">
        <v>871</v>
      </c>
      <c r="AE335">
        <v>2025</v>
      </c>
      <c r="AF335">
        <v>3</v>
      </c>
      <c r="AG335" t="s">
        <v>872</v>
      </c>
    </row>
    <row r="336" spans="1:33">
      <c r="A336">
        <v>26</v>
      </c>
      <c r="B336">
        <v>33</v>
      </c>
      <c r="C336" t="s">
        <v>74</v>
      </c>
      <c r="D336" t="s">
        <v>1246</v>
      </c>
      <c r="E336" t="s">
        <v>1247</v>
      </c>
      <c r="F336">
        <v>72569</v>
      </c>
      <c r="G336" s="1" t="s">
        <v>1460</v>
      </c>
      <c r="H336" s="2" t="s">
        <v>1444</v>
      </c>
      <c r="J336">
        <v>0</v>
      </c>
      <c r="K336">
        <v>149990</v>
      </c>
      <c r="L336">
        <v>28498</v>
      </c>
      <c r="O336">
        <v>178488</v>
      </c>
      <c r="T336">
        <v>0</v>
      </c>
      <c r="X336">
        <v>0</v>
      </c>
      <c r="AC336" t="s">
        <v>1453</v>
      </c>
      <c r="AD336" t="s">
        <v>871</v>
      </c>
      <c r="AE336">
        <v>2025</v>
      </c>
      <c r="AF336">
        <v>3</v>
      </c>
      <c r="AG336" t="s">
        <v>872</v>
      </c>
    </row>
    <row r="337" spans="1:33">
      <c r="A337">
        <v>27</v>
      </c>
      <c r="B337">
        <v>33</v>
      </c>
      <c r="C337" t="s">
        <v>74</v>
      </c>
      <c r="D337" t="s">
        <v>1246</v>
      </c>
      <c r="E337" t="s">
        <v>1247</v>
      </c>
      <c r="F337">
        <v>72570</v>
      </c>
      <c r="G337" s="1" t="s">
        <v>1460</v>
      </c>
      <c r="H337" s="2" t="s">
        <v>1444</v>
      </c>
      <c r="J337">
        <v>0</v>
      </c>
      <c r="K337">
        <v>149990</v>
      </c>
      <c r="L337">
        <v>28498</v>
      </c>
      <c r="O337">
        <v>178488</v>
      </c>
      <c r="T337">
        <v>0</v>
      </c>
      <c r="X337">
        <v>0</v>
      </c>
      <c r="AC337" t="s">
        <v>1453</v>
      </c>
      <c r="AD337" t="s">
        <v>871</v>
      </c>
      <c r="AE337">
        <v>2025</v>
      </c>
      <c r="AF337">
        <v>3</v>
      </c>
      <c r="AG337" t="s">
        <v>872</v>
      </c>
    </row>
    <row r="338" spans="1:33">
      <c r="A338">
        <v>28</v>
      </c>
      <c r="B338">
        <v>33</v>
      </c>
      <c r="C338" t="s">
        <v>74</v>
      </c>
      <c r="D338" t="s">
        <v>1246</v>
      </c>
      <c r="E338" t="s">
        <v>1247</v>
      </c>
      <c r="F338">
        <v>72571</v>
      </c>
      <c r="G338" s="1" t="s">
        <v>1460</v>
      </c>
      <c r="H338" s="2" t="s">
        <v>1444</v>
      </c>
      <c r="J338">
        <v>0</v>
      </c>
      <c r="K338">
        <v>149990</v>
      </c>
      <c r="L338">
        <v>28498</v>
      </c>
      <c r="O338">
        <v>178488</v>
      </c>
      <c r="T338">
        <v>0</v>
      </c>
      <c r="X338">
        <v>0</v>
      </c>
      <c r="AC338" t="s">
        <v>1453</v>
      </c>
      <c r="AD338" t="s">
        <v>871</v>
      </c>
      <c r="AE338">
        <v>2025</v>
      </c>
      <c r="AF338">
        <v>3</v>
      </c>
      <c r="AG338" t="s">
        <v>872</v>
      </c>
    </row>
    <row r="339" spans="1:33">
      <c r="A339">
        <v>29</v>
      </c>
      <c r="B339">
        <v>34</v>
      </c>
      <c r="C339" t="s">
        <v>74</v>
      </c>
      <c r="D339" t="s">
        <v>107</v>
      </c>
      <c r="E339" t="s">
        <v>887</v>
      </c>
      <c r="F339">
        <v>3109</v>
      </c>
      <c r="G339" s="1">
        <v>45719</v>
      </c>
      <c r="H339" s="2">
        <v>45719.671053240738</v>
      </c>
      <c r="J339">
        <v>2515064</v>
      </c>
      <c r="K339">
        <v>0</v>
      </c>
      <c r="L339">
        <v>0</v>
      </c>
      <c r="O339">
        <v>2515064</v>
      </c>
      <c r="T339">
        <v>0</v>
      </c>
      <c r="X339">
        <v>0</v>
      </c>
      <c r="AC339" t="s">
        <v>1453</v>
      </c>
      <c r="AD339" t="s">
        <v>871</v>
      </c>
      <c r="AE339">
        <v>2025</v>
      </c>
      <c r="AF339">
        <v>3</v>
      </c>
      <c r="AG339" t="s">
        <v>880</v>
      </c>
    </row>
    <row r="340" spans="1:33">
      <c r="A340">
        <v>30</v>
      </c>
      <c r="B340">
        <v>34</v>
      </c>
      <c r="C340" t="s">
        <v>74</v>
      </c>
      <c r="D340" t="s">
        <v>873</v>
      </c>
      <c r="E340" t="s">
        <v>874</v>
      </c>
      <c r="F340">
        <v>13413935</v>
      </c>
      <c r="G340" t="s">
        <v>1461</v>
      </c>
      <c r="H340" t="s">
        <v>1445</v>
      </c>
      <c r="J340">
        <v>0</v>
      </c>
      <c r="K340">
        <v>0</v>
      </c>
      <c r="L340">
        <v>0</v>
      </c>
      <c r="O340">
        <v>0</v>
      </c>
      <c r="T340">
        <v>0</v>
      </c>
      <c r="X340">
        <v>0</v>
      </c>
      <c r="AC340" t="s">
        <v>1453</v>
      </c>
      <c r="AD340" t="s">
        <v>871</v>
      </c>
      <c r="AE340">
        <v>2025</v>
      </c>
      <c r="AF340">
        <v>3</v>
      </c>
      <c r="AG340" t="s">
        <v>880</v>
      </c>
    </row>
    <row r="341" spans="1:33">
      <c r="A341">
        <v>31</v>
      </c>
      <c r="B341">
        <v>34</v>
      </c>
      <c r="C341" t="s">
        <v>74</v>
      </c>
      <c r="D341" t="s">
        <v>873</v>
      </c>
      <c r="E341" t="s">
        <v>874</v>
      </c>
      <c r="F341">
        <v>13414612</v>
      </c>
      <c r="G341" t="s">
        <v>1461</v>
      </c>
      <c r="H341" t="s">
        <v>1446</v>
      </c>
      <c r="J341">
        <v>0</v>
      </c>
      <c r="K341">
        <v>0</v>
      </c>
      <c r="L341">
        <v>0</v>
      </c>
      <c r="O341">
        <v>0</v>
      </c>
      <c r="T341">
        <v>0</v>
      </c>
      <c r="X341">
        <v>0</v>
      </c>
      <c r="AC341" t="s">
        <v>1453</v>
      </c>
      <c r="AD341" t="s">
        <v>871</v>
      </c>
      <c r="AE341">
        <v>2025</v>
      </c>
      <c r="AF341">
        <v>3</v>
      </c>
      <c r="AG341" t="s">
        <v>880</v>
      </c>
    </row>
    <row r="342" spans="1:33">
      <c r="A342">
        <v>32</v>
      </c>
      <c r="B342">
        <v>34</v>
      </c>
      <c r="C342" t="s">
        <v>74</v>
      </c>
      <c r="D342" t="s">
        <v>873</v>
      </c>
      <c r="E342" t="s">
        <v>874</v>
      </c>
      <c r="F342">
        <v>13416850</v>
      </c>
      <c r="G342" t="s">
        <v>1460</v>
      </c>
      <c r="H342" t="s">
        <v>1447</v>
      </c>
      <c r="J342">
        <v>0</v>
      </c>
      <c r="K342">
        <v>0</v>
      </c>
      <c r="L342">
        <v>0</v>
      </c>
      <c r="O342">
        <v>0</v>
      </c>
      <c r="T342">
        <v>0</v>
      </c>
      <c r="X342">
        <v>0</v>
      </c>
      <c r="AC342" t="s">
        <v>1453</v>
      </c>
      <c r="AD342" t="s">
        <v>871</v>
      </c>
      <c r="AE342">
        <v>2025</v>
      </c>
      <c r="AF342">
        <v>3</v>
      </c>
      <c r="AG342" t="s">
        <v>880</v>
      </c>
    </row>
    <row r="343" spans="1:33">
      <c r="A343">
        <v>33</v>
      </c>
      <c r="B343">
        <v>34</v>
      </c>
      <c r="C343" t="s">
        <v>74</v>
      </c>
      <c r="D343" t="s">
        <v>873</v>
      </c>
      <c r="E343" t="s">
        <v>874</v>
      </c>
      <c r="F343">
        <v>13416849</v>
      </c>
      <c r="G343" t="s">
        <v>1460</v>
      </c>
      <c r="H343" t="s">
        <v>1448</v>
      </c>
      <c r="J343">
        <v>0</v>
      </c>
      <c r="K343">
        <v>0</v>
      </c>
      <c r="L343">
        <v>0</v>
      </c>
      <c r="O343">
        <v>0</v>
      </c>
      <c r="T343">
        <v>0</v>
      </c>
      <c r="X343">
        <v>0</v>
      </c>
      <c r="AC343" t="s">
        <v>1453</v>
      </c>
      <c r="AD343" t="s">
        <v>871</v>
      </c>
      <c r="AE343">
        <v>2025</v>
      </c>
      <c r="AF343">
        <v>3</v>
      </c>
      <c r="AG343" t="s">
        <v>880</v>
      </c>
    </row>
    <row r="344" spans="1:33">
      <c r="A344">
        <v>34</v>
      </c>
      <c r="B344">
        <v>34</v>
      </c>
      <c r="C344" t="s">
        <v>74</v>
      </c>
      <c r="D344" t="s">
        <v>873</v>
      </c>
      <c r="E344" t="s">
        <v>874</v>
      </c>
      <c r="F344">
        <v>13416899</v>
      </c>
      <c r="G344" t="s">
        <v>1460</v>
      </c>
      <c r="H344" t="s">
        <v>1449</v>
      </c>
      <c r="J344">
        <v>0</v>
      </c>
      <c r="K344">
        <v>0</v>
      </c>
      <c r="L344">
        <v>0</v>
      </c>
      <c r="O344">
        <v>0</v>
      </c>
      <c r="T344">
        <v>0</v>
      </c>
      <c r="X344">
        <v>0</v>
      </c>
      <c r="AC344" t="s">
        <v>1453</v>
      </c>
      <c r="AD344" t="s">
        <v>871</v>
      </c>
      <c r="AE344">
        <v>2025</v>
      </c>
      <c r="AF344">
        <v>3</v>
      </c>
      <c r="AG344" t="s">
        <v>880</v>
      </c>
    </row>
    <row r="345" spans="1:33">
      <c r="A345">
        <v>35</v>
      </c>
      <c r="B345">
        <v>34</v>
      </c>
      <c r="C345" t="s">
        <v>74</v>
      </c>
      <c r="D345" t="s">
        <v>873</v>
      </c>
      <c r="E345" t="s">
        <v>874</v>
      </c>
      <c r="F345">
        <v>13416900</v>
      </c>
      <c r="G345" t="s">
        <v>1460</v>
      </c>
      <c r="H345" t="s">
        <v>1450</v>
      </c>
      <c r="J345">
        <v>0</v>
      </c>
      <c r="K345">
        <v>0</v>
      </c>
      <c r="L345">
        <v>0</v>
      </c>
      <c r="O345">
        <v>0</v>
      </c>
      <c r="T345">
        <v>0</v>
      </c>
      <c r="X345">
        <v>0</v>
      </c>
      <c r="AC345" t="s">
        <v>1453</v>
      </c>
      <c r="AD345" t="s">
        <v>871</v>
      </c>
      <c r="AE345">
        <v>2025</v>
      </c>
      <c r="AF345">
        <v>3</v>
      </c>
      <c r="AG345" t="s">
        <v>880</v>
      </c>
    </row>
    <row r="346" spans="1:33">
      <c r="A346">
        <v>36</v>
      </c>
      <c r="B346">
        <v>61</v>
      </c>
      <c r="C346" t="s">
        <v>74</v>
      </c>
      <c r="D346" t="s">
        <v>1215</v>
      </c>
      <c r="E346" t="s">
        <v>1216</v>
      </c>
      <c r="F346">
        <v>133392</v>
      </c>
      <c r="G346" t="s">
        <v>1462</v>
      </c>
      <c r="H346" t="s">
        <v>1451</v>
      </c>
      <c r="J346">
        <v>-360818</v>
      </c>
      <c r="K346">
        <v>0</v>
      </c>
      <c r="L346">
        <v>0</v>
      </c>
      <c r="M346">
        <v>0</v>
      </c>
      <c r="O346">
        <v>-360818</v>
      </c>
      <c r="T346">
        <v>0</v>
      </c>
      <c r="X346">
        <v>0</v>
      </c>
      <c r="AC346" t="s">
        <v>1453</v>
      </c>
      <c r="AD346" t="s">
        <v>871</v>
      </c>
      <c r="AE346">
        <v>2025</v>
      </c>
      <c r="AF346">
        <v>3</v>
      </c>
      <c r="AG346" t="s">
        <v>881</v>
      </c>
    </row>
    <row r="347" spans="1:33">
      <c r="A347">
        <v>37</v>
      </c>
      <c r="B347">
        <v>914</v>
      </c>
      <c r="C347" t="s">
        <v>74</v>
      </c>
      <c r="D347" t="s">
        <v>844</v>
      </c>
      <c r="E347" t="s">
        <v>1452</v>
      </c>
      <c r="F347">
        <v>3670097617</v>
      </c>
      <c r="G347" t="s">
        <v>1463</v>
      </c>
      <c r="H347" s="2">
        <v>45873.68577546296</v>
      </c>
      <c r="J347">
        <v>0</v>
      </c>
      <c r="K347">
        <v>72887216</v>
      </c>
      <c r="L347">
        <v>13848571</v>
      </c>
      <c r="O347">
        <v>86735787</v>
      </c>
      <c r="X347">
        <v>0</v>
      </c>
      <c r="AC347" t="s">
        <v>1453</v>
      </c>
      <c r="AD347" t="s">
        <v>871</v>
      </c>
      <c r="AE347">
        <v>2025</v>
      </c>
      <c r="AF347">
        <v>3</v>
      </c>
      <c r="AG347" t="s">
        <v>1142</v>
      </c>
    </row>
    <row r="348" spans="1:33">
      <c r="A348">
        <v>38</v>
      </c>
      <c r="B348">
        <v>914</v>
      </c>
      <c r="C348" t="s">
        <v>74</v>
      </c>
      <c r="D348" t="s">
        <v>844</v>
      </c>
      <c r="E348" t="s">
        <v>1452</v>
      </c>
      <c r="F348">
        <v>3670097449</v>
      </c>
      <c r="G348" s="1">
        <v>45722</v>
      </c>
      <c r="H348" s="2">
        <v>45873.687013888892</v>
      </c>
      <c r="J348">
        <v>0</v>
      </c>
      <c r="K348">
        <v>94817337</v>
      </c>
      <c r="L348">
        <v>18015294</v>
      </c>
      <c r="O348">
        <v>112832631</v>
      </c>
      <c r="X348">
        <v>0</v>
      </c>
      <c r="AC348" t="s">
        <v>1453</v>
      </c>
      <c r="AD348" t="s">
        <v>871</v>
      </c>
      <c r="AE348">
        <v>2025</v>
      </c>
      <c r="AF348">
        <v>3</v>
      </c>
      <c r="AG348" t="s">
        <v>1142</v>
      </c>
    </row>
    <row r="349" spans="1:33">
      <c r="A349">
        <v>39</v>
      </c>
      <c r="B349">
        <v>914</v>
      </c>
      <c r="C349" t="s">
        <v>74</v>
      </c>
      <c r="D349" t="s">
        <v>844</v>
      </c>
      <c r="E349" t="s">
        <v>1452</v>
      </c>
      <c r="F349">
        <v>3670097741</v>
      </c>
      <c r="G349" t="s">
        <v>1461</v>
      </c>
      <c r="H349" s="2">
        <v>45873.688576388886</v>
      </c>
      <c r="J349">
        <v>0</v>
      </c>
      <c r="K349">
        <v>16270937</v>
      </c>
      <c r="L349">
        <v>3091478</v>
      </c>
      <c r="O349">
        <v>19362415</v>
      </c>
      <c r="X349">
        <v>0</v>
      </c>
      <c r="AC349" t="s">
        <v>1453</v>
      </c>
      <c r="AD349" t="s">
        <v>871</v>
      </c>
      <c r="AE349">
        <v>2025</v>
      </c>
      <c r="AF349">
        <v>3</v>
      </c>
      <c r="AG349" t="s">
        <v>1142</v>
      </c>
    </row>
    <row r="350" spans="1:33">
      <c r="A350">
        <v>40</v>
      </c>
      <c r="B350">
        <v>914</v>
      </c>
      <c r="C350" t="s">
        <v>74</v>
      </c>
      <c r="D350" t="s">
        <v>844</v>
      </c>
      <c r="E350" t="s">
        <v>1452</v>
      </c>
      <c r="F350">
        <v>3670097648</v>
      </c>
      <c r="G350" t="s">
        <v>1458</v>
      </c>
      <c r="H350" s="2">
        <v>45873.690023148149</v>
      </c>
      <c r="J350">
        <v>0</v>
      </c>
      <c r="K350">
        <v>16290316</v>
      </c>
      <c r="L350">
        <v>3095160</v>
      </c>
      <c r="O350">
        <v>19385476</v>
      </c>
      <c r="X350">
        <v>0</v>
      </c>
      <c r="AC350" t="s">
        <v>1453</v>
      </c>
      <c r="AD350" t="s">
        <v>871</v>
      </c>
      <c r="AE350">
        <v>2025</v>
      </c>
      <c r="AF350">
        <v>3</v>
      </c>
      <c r="AG350" t="s">
        <v>1142</v>
      </c>
    </row>
    <row r="351" spans="1:33">
      <c r="A351">
        <v>41</v>
      </c>
      <c r="B351">
        <v>914</v>
      </c>
      <c r="C351" t="s">
        <v>74</v>
      </c>
      <c r="D351" t="s">
        <v>844</v>
      </c>
      <c r="E351" t="s">
        <v>1452</v>
      </c>
      <c r="F351">
        <v>3670097848</v>
      </c>
      <c r="G351" t="s">
        <v>1458</v>
      </c>
      <c r="H351" s="2">
        <v>45873.691435185188</v>
      </c>
      <c r="J351">
        <v>0</v>
      </c>
      <c r="K351">
        <v>30791884</v>
      </c>
      <c r="L351">
        <v>5850458</v>
      </c>
      <c r="O351">
        <v>36642342</v>
      </c>
      <c r="X351">
        <v>0</v>
      </c>
      <c r="AC351" t="s">
        <v>1453</v>
      </c>
      <c r="AD351" t="s">
        <v>871</v>
      </c>
      <c r="AE351">
        <v>2025</v>
      </c>
      <c r="AF351">
        <v>3</v>
      </c>
      <c r="AG351" t="s">
        <v>1142</v>
      </c>
    </row>
    <row r="352" spans="1:33">
      <c r="A352">
        <v>42</v>
      </c>
      <c r="B352">
        <v>914</v>
      </c>
      <c r="C352" t="s">
        <v>74</v>
      </c>
      <c r="D352" t="s">
        <v>844</v>
      </c>
      <c r="E352" t="s">
        <v>1452</v>
      </c>
      <c r="F352">
        <v>3670098047</v>
      </c>
      <c r="G352" t="s">
        <v>1464</v>
      </c>
      <c r="H352" s="2">
        <v>45873.692708333336</v>
      </c>
      <c r="J352">
        <v>0</v>
      </c>
      <c r="K352">
        <v>1556679</v>
      </c>
      <c r="L352">
        <v>295769</v>
      </c>
      <c r="O352">
        <v>1852448</v>
      </c>
      <c r="X352">
        <v>0</v>
      </c>
      <c r="AC352" t="s">
        <v>1453</v>
      </c>
      <c r="AD352" t="s">
        <v>871</v>
      </c>
      <c r="AE352">
        <v>2025</v>
      </c>
      <c r="AF352">
        <v>3</v>
      </c>
      <c r="AG352" t="s">
        <v>1142</v>
      </c>
    </row>
    <row r="353" spans="1:33">
      <c r="A353">
        <v>1</v>
      </c>
      <c r="B353">
        <v>33</v>
      </c>
      <c r="C353" t="s">
        <v>74</v>
      </c>
      <c r="D353" t="s">
        <v>1231</v>
      </c>
      <c r="E353" t="s">
        <v>1232</v>
      </c>
      <c r="F353">
        <v>1095306</v>
      </c>
      <c r="G353" t="s">
        <v>1457</v>
      </c>
      <c r="H353" t="s">
        <v>1465</v>
      </c>
      <c r="J353">
        <v>0</v>
      </c>
      <c r="K353">
        <v>99742</v>
      </c>
      <c r="L353">
        <v>18951</v>
      </c>
      <c r="O353">
        <v>118693</v>
      </c>
      <c r="T353">
        <v>0</v>
      </c>
      <c r="X353">
        <v>0</v>
      </c>
      <c r="AC353" t="s">
        <v>1484</v>
      </c>
      <c r="AD353" t="s">
        <v>871</v>
      </c>
      <c r="AE353">
        <v>2025</v>
      </c>
      <c r="AF353">
        <v>4</v>
      </c>
      <c r="AG353" t="s">
        <v>872</v>
      </c>
    </row>
    <row r="354" spans="1:33">
      <c r="A354">
        <v>2</v>
      </c>
      <c r="B354">
        <v>33</v>
      </c>
      <c r="C354" t="s">
        <v>74</v>
      </c>
      <c r="D354" t="s">
        <v>1306</v>
      </c>
      <c r="E354" t="s">
        <v>1307</v>
      </c>
      <c r="F354">
        <v>83186</v>
      </c>
      <c r="G354" t="s">
        <v>1485</v>
      </c>
      <c r="H354" t="s">
        <v>1466</v>
      </c>
      <c r="J354">
        <v>0</v>
      </c>
      <c r="K354">
        <v>127635</v>
      </c>
      <c r="L354">
        <v>24251</v>
      </c>
      <c r="O354">
        <v>151886</v>
      </c>
      <c r="T354">
        <v>0</v>
      </c>
      <c r="X354">
        <v>0</v>
      </c>
      <c r="AC354" t="s">
        <v>1484</v>
      </c>
      <c r="AD354" t="s">
        <v>871</v>
      </c>
      <c r="AE354">
        <v>2025</v>
      </c>
      <c r="AF354">
        <v>4</v>
      </c>
      <c r="AG354" t="s">
        <v>872</v>
      </c>
    </row>
    <row r="355" spans="1:33">
      <c r="A355">
        <v>3</v>
      </c>
      <c r="B355">
        <v>33</v>
      </c>
      <c r="C355" t="s">
        <v>74</v>
      </c>
      <c r="D355" t="s">
        <v>1279</v>
      </c>
      <c r="E355" t="s">
        <v>1280</v>
      </c>
      <c r="F355">
        <v>508074</v>
      </c>
      <c r="G355" s="1">
        <v>45748</v>
      </c>
      <c r="H355" s="2">
        <v>45661.465543981481</v>
      </c>
      <c r="J355">
        <v>0</v>
      </c>
      <c r="K355">
        <v>405055</v>
      </c>
      <c r="L355">
        <v>76960</v>
      </c>
      <c r="O355">
        <v>482015</v>
      </c>
      <c r="T355">
        <v>0</v>
      </c>
      <c r="X355">
        <v>0</v>
      </c>
      <c r="AC355" t="s">
        <v>1484</v>
      </c>
      <c r="AD355" t="s">
        <v>871</v>
      </c>
      <c r="AE355">
        <v>2025</v>
      </c>
      <c r="AF355">
        <v>4</v>
      </c>
      <c r="AG355" t="s">
        <v>872</v>
      </c>
    </row>
    <row r="356" spans="1:33">
      <c r="A356">
        <v>4</v>
      </c>
      <c r="B356">
        <v>33</v>
      </c>
      <c r="C356" t="s">
        <v>74</v>
      </c>
      <c r="D356" t="s">
        <v>109</v>
      </c>
      <c r="E356" t="s">
        <v>1379</v>
      </c>
      <c r="F356">
        <v>4565</v>
      </c>
      <c r="G356" s="1">
        <v>45748</v>
      </c>
      <c r="H356" s="2">
        <v>45661.857349537036</v>
      </c>
      <c r="J356">
        <v>0</v>
      </c>
      <c r="K356">
        <v>583487</v>
      </c>
      <c r="L356">
        <v>110863</v>
      </c>
      <c r="O356">
        <v>694350</v>
      </c>
      <c r="T356">
        <v>0</v>
      </c>
      <c r="X356">
        <v>0</v>
      </c>
      <c r="AC356" t="s">
        <v>1484</v>
      </c>
      <c r="AD356" t="s">
        <v>871</v>
      </c>
      <c r="AE356">
        <v>2025</v>
      </c>
      <c r="AF356">
        <v>4</v>
      </c>
      <c r="AG356" t="s">
        <v>872</v>
      </c>
    </row>
    <row r="357" spans="1:33">
      <c r="A357">
        <v>5</v>
      </c>
      <c r="B357">
        <v>33</v>
      </c>
      <c r="C357" t="s">
        <v>74</v>
      </c>
      <c r="D357" t="s">
        <v>1212</v>
      </c>
      <c r="E357" t="s">
        <v>1213</v>
      </c>
      <c r="F357">
        <v>2388259</v>
      </c>
      <c r="G357" t="s">
        <v>1460</v>
      </c>
      <c r="H357" s="2">
        <v>45692.074942129628</v>
      </c>
      <c r="J357">
        <v>0</v>
      </c>
      <c r="K357">
        <v>3787729</v>
      </c>
      <c r="L357">
        <v>719669</v>
      </c>
      <c r="O357">
        <v>4507398</v>
      </c>
      <c r="T357">
        <v>0</v>
      </c>
      <c r="X357">
        <v>0</v>
      </c>
      <c r="AC357" t="s">
        <v>1484</v>
      </c>
      <c r="AD357" t="s">
        <v>871</v>
      </c>
      <c r="AE357">
        <v>2025</v>
      </c>
      <c r="AF357">
        <v>4</v>
      </c>
      <c r="AG357" t="s">
        <v>872</v>
      </c>
    </row>
    <row r="358" spans="1:33">
      <c r="A358">
        <v>6</v>
      </c>
      <c r="B358">
        <v>33</v>
      </c>
      <c r="C358" t="s">
        <v>74</v>
      </c>
      <c r="D358" t="s">
        <v>1258</v>
      </c>
      <c r="E358" t="s">
        <v>1467</v>
      </c>
      <c r="F358">
        <v>13414</v>
      </c>
      <c r="G358" t="s">
        <v>1460</v>
      </c>
      <c r="H358" s="2">
        <v>45692.554548611108</v>
      </c>
      <c r="J358">
        <v>0</v>
      </c>
      <c r="K358">
        <v>395920</v>
      </c>
      <c r="L358">
        <v>75225</v>
      </c>
      <c r="O358">
        <v>471145</v>
      </c>
      <c r="T358">
        <v>0</v>
      </c>
      <c r="X358">
        <v>0</v>
      </c>
      <c r="AC358" t="s">
        <v>1484</v>
      </c>
      <c r="AD358" t="s">
        <v>871</v>
      </c>
      <c r="AE358">
        <v>2025</v>
      </c>
      <c r="AF358">
        <v>4</v>
      </c>
      <c r="AG358" t="s">
        <v>872</v>
      </c>
    </row>
    <row r="359" spans="1:33">
      <c r="A359">
        <v>7</v>
      </c>
      <c r="B359">
        <v>33</v>
      </c>
      <c r="C359" t="s">
        <v>74</v>
      </c>
      <c r="D359" t="s">
        <v>1219</v>
      </c>
      <c r="E359" t="s">
        <v>1220</v>
      </c>
      <c r="F359">
        <v>562268</v>
      </c>
      <c r="G359" s="1">
        <v>45750</v>
      </c>
      <c r="H359" s="2">
        <v>45720.735381944447</v>
      </c>
      <c r="J359">
        <v>0</v>
      </c>
      <c r="K359">
        <v>431793</v>
      </c>
      <c r="L359">
        <v>82041</v>
      </c>
      <c r="O359">
        <v>513834</v>
      </c>
      <c r="T359">
        <v>0</v>
      </c>
      <c r="X359">
        <v>0</v>
      </c>
      <c r="AC359" t="s">
        <v>1484</v>
      </c>
      <c r="AD359" t="s">
        <v>871</v>
      </c>
      <c r="AE359">
        <v>2025</v>
      </c>
      <c r="AF359">
        <v>4</v>
      </c>
      <c r="AG359" t="s">
        <v>872</v>
      </c>
    </row>
    <row r="360" spans="1:33">
      <c r="A360">
        <v>8</v>
      </c>
      <c r="B360">
        <v>33</v>
      </c>
      <c r="C360" t="s">
        <v>74</v>
      </c>
      <c r="D360" t="s">
        <v>917</v>
      </c>
      <c r="E360" t="s">
        <v>1221</v>
      </c>
      <c r="F360">
        <v>184220</v>
      </c>
      <c r="G360" s="1">
        <v>45750</v>
      </c>
      <c r="H360" s="2">
        <v>45812.759548611109</v>
      </c>
      <c r="J360">
        <v>0</v>
      </c>
      <c r="K360">
        <v>1176307</v>
      </c>
      <c r="L360">
        <v>223498</v>
      </c>
      <c r="O360">
        <v>1399805</v>
      </c>
      <c r="T360">
        <v>0</v>
      </c>
      <c r="X360">
        <v>0</v>
      </c>
      <c r="AC360" t="s">
        <v>1484</v>
      </c>
      <c r="AD360" t="s">
        <v>871</v>
      </c>
      <c r="AE360">
        <v>2025</v>
      </c>
      <c r="AF360">
        <v>4</v>
      </c>
      <c r="AG360" t="s">
        <v>872</v>
      </c>
    </row>
    <row r="361" spans="1:33">
      <c r="A361">
        <v>9</v>
      </c>
      <c r="B361">
        <v>33</v>
      </c>
      <c r="C361" t="s">
        <v>74</v>
      </c>
      <c r="D361" t="s">
        <v>1306</v>
      </c>
      <c r="E361" t="s">
        <v>1307</v>
      </c>
      <c r="F361">
        <v>83249</v>
      </c>
      <c r="G361" s="1">
        <v>45754</v>
      </c>
      <c r="H361" s="2">
        <v>45842.471805555557</v>
      </c>
      <c r="J361">
        <v>0</v>
      </c>
      <c r="K361">
        <v>717181</v>
      </c>
      <c r="L361">
        <v>136264</v>
      </c>
      <c r="O361">
        <v>853445</v>
      </c>
      <c r="T361">
        <v>0</v>
      </c>
      <c r="X361">
        <v>0</v>
      </c>
      <c r="AC361" t="s">
        <v>1484</v>
      </c>
      <c r="AD361" t="s">
        <v>871</v>
      </c>
      <c r="AE361">
        <v>2025</v>
      </c>
      <c r="AF361">
        <v>4</v>
      </c>
      <c r="AG361" t="s">
        <v>872</v>
      </c>
    </row>
    <row r="362" spans="1:33">
      <c r="A362">
        <v>10</v>
      </c>
      <c r="B362">
        <v>33</v>
      </c>
      <c r="C362" t="s">
        <v>74</v>
      </c>
      <c r="D362" t="s">
        <v>1468</v>
      </c>
      <c r="E362" t="s">
        <v>1469</v>
      </c>
      <c r="F362">
        <v>52777</v>
      </c>
      <c r="G362" s="1">
        <v>45754</v>
      </c>
      <c r="H362" s="2">
        <v>45842.538634259261</v>
      </c>
      <c r="J362">
        <v>0</v>
      </c>
      <c r="K362">
        <v>1000800</v>
      </c>
      <c r="L362">
        <v>190152</v>
      </c>
      <c r="O362">
        <v>1190952</v>
      </c>
      <c r="T362">
        <v>0</v>
      </c>
      <c r="X362">
        <v>0</v>
      </c>
      <c r="AC362" t="s">
        <v>1484</v>
      </c>
      <c r="AD362" t="s">
        <v>871</v>
      </c>
      <c r="AE362">
        <v>2025</v>
      </c>
      <c r="AF362">
        <v>4</v>
      </c>
      <c r="AG362" t="s">
        <v>872</v>
      </c>
    </row>
    <row r="363" spans="1:33">
      <c r="A363">
        <v>11</v>
      </c>
      <c r="B363">
        <v>33</v>
      </c>
      <c r="C363" t="s">
        <v>74</v>
      </c>
      <c r="D363" t="s">
        <v>1217</v>
      </c>
      <c r="E363" t="s">
        <v>1305</v>
      </c>
      <c r="F363">
        <v>41163</v>
      </c>
      <c r="G363" s="1">
        <v>45755</v>
      </c>
      <c r="H363" s="2">
        <v>45873.374803240738</v>
      </c>
      <c r="J363">
        <v>0</v>
      </c>
      <c r="K363">
        <v>1622583</v>
      </c>
      <c r="L363">
        <v>308291</v>
      </c>
      <c r="O363">
        <v>1930874</v>
      </c>
      <c r="T363">
        <v>0</v>
      </c>
      <c r="X363">
        <v>0</v>
      </c>
      <c r="AC363" t="s">
        <v>1484</v>
      </c>
      <c r="AD363" t="s">
        <v>871</v>
      </c>
      <c r="AE363">
        <v>2025</v>
      </c>
      <c r="AF363">
        <v>4</v>
      </c>
      <c r="AG363" t="s">
        <v>872</v>
      </c>
    </row>
    <row r="364" spans="1:33">
      <c r="A364">
        <v>12</v>
      </c>
      <c r="B364">
        <v>33</v>
      </c>
      <c r="C364" t="s">
        <v>74</v>
      </c>
      <c r="D364" t="s">
        <v>1222</v>
      </c>
      <c r="E364" t="s">
        <v>1223</v>
      </c>
      <c r="F364">
        <v>3532421</v>
      </c>
      <c r="G364" s="1">
        <v>45756</v>
      </c>
      <c r="H364" s="2">
        <v>45904.758888888886</v>
      </c>
      <c r="J364">
        <v>0</v>
      </c>
      <c r="K364">
        <v>21337263</v>
      </c>
      <c r="L364">
        <v>4054080</v>
      </c>
      <c r="O364">
        <v>25391343</v>
      </c>
      <c r="T364">
        <v>0</v>
      </c>
      <c r="X364">
        <v>0</v>
      </c>
      <c r="AC364" t="s">
        <v>1484</v>
      </c>
      <c r="AD364" t="s">
        <v>871</v>
      </c>
      <c r="AE364">
        <v>2025</v>
      </c>
      <c r="AF364">
        <v>4</v>
      </c>
      <c r="AG364" t="s">
        <v>872</v>
      </c>
    </row>
    <row r="365" spans="1:33">
      <c r="A365">
        <v>13</v>
      </c>
      <c r="B365">
        <v>33</v>
      </c>
      <c r="C365" t="s">
        <v>74</v>
      </c>
      <c r="D365" t="s">
        <v>1222</v>
      </c>
      <c r="E365" t="s">
        <v>1223</v>
      </c>
      <c r="F365">
        <v>3532422</v>
      </c>
      <c r="G365" s="1">
        <v>45756</v>
      </c>
      <c r="H365" s="2">
        <v>45904.759560185186</v>
      </c>
      <c r="J365">
        <v>0</v>
      </c>
      <c r="K365">
        <v>2613383</v>
      </c>
      <c r="L365">
        <v>496543</v>
      </c>
      <c r="O365">
        <v>3109926</v>
      </c>
      <c r="T365">
        <v>0</v>
      </c>
      <c r="X365">
        <v>0</v>
      </c>
      <c r="AC365" t="s">
        <v>1484</v>
      </c>
      <c r="AD365" t="s">
        <v>871</v>
      </c>
      <c r="AE365">
        <v>2025</v>
      </c>
      <c r="AF365">
        <v>4</v>
      </c>
      <c r="AG365" t="s">
        <v>872</v>
      </c>
    </row>
    <row r="366" spans="1:33">
      <c r="A366">
        <v>14</v>
      </c>
      <c r="B366">
        <v>33</v>
      </c>
      <c r="C366" t="s">
        <v>74</v>
      </c>
      <c r="D366" t="s">
        <v>1246</v>
      </c>
      <c r="E366" t="s">
        <v>1247</v>
      </c>
      <c r="F366">
        <v>72652</v>
      </c>
      <c r="G366" t="s">
        <v>1486</v>
      </c>
      <c r="H366" t="s">
        <v>1470</v>
      </c>
      <c r="J366">
        <v>0</v>
      </c>
      <c r="K366">
        <v>149172</v>
      </c>
      <c r="L366">
        <v>28343</v>
      </c>
      <c r="O366">
        <v>177515</v>
      </c>
      <c r="T366">
        <v>0</v>
      </c>
      <c r="X366">
        <v>0</v>
      </c>
      <c r="AC366" t="s">
        <v>1484</v>
      </c>
      <c r="AD366" t="s">
        <v>871</v>
      </c>
      <c r="AE366">
        <v>2025</v>
      </c>
      <c r="AF366">
        <v>4</v>
      </c>
      <c r="AG366" t="s">
        <v>872</v>
      </c>
    </row>
    <row r="367" spans="1:33">
      <c r="A367">
        <v>15</v>
      </c>
      <c r="B367">
        <v>33</v>
      </c>
      <c r="C367" t="s">
        <v>74</v>
      </c>
      <c r="D367" t="s">
        <v>1236</v>
      </c>
      <c r="E367" t="s">
        <v>1237</v>
      </c>
      <c r="F367">
        <v>133538</v>
      </c>
      <c r="G367" t="s">
        <v>1486</v>
      </c>
      <c r="H367" t="s">
        <v>1471</v>
      </c>
      <c r="J367">
        <v>0</v>
      </c>
      <c r="K367">
        <v>116697</v>
      </c>
      <c r="L367">
        <v>22172</v>
      </c>
      <c r="O367">
        <v>138869</v>
      </c>
      <c r="T367">
        <v>0</v>
      </c>
      <c r="X367">
        <v>0</v>
      </c>
      <c r="AC367" t="s">
        <v>1484</v>
      </c>
      <c r="AD367" t="s">
        <v>871</v>
      </c>
      <c r="AE367">
        <v>2025</v>
      </c>
      <c r="AF367">
        <v>4</v>
      </c>
      <c r="AG367" t="s">
        <v>872</v>
      </c>
    </row>
    <row r="368" spans="1:33">
      <c r="A368">
        <v>16</v>
      </c>
      <c r="B368">
        <v>33</v>
      </c>
      <c r="C368" t="s">
        <v>74</v>
      </c>
      <c r="D368" t="s">
        <v>1222</v>
      </c>
      <c r="E368" t="s">
        <v>1223</v>
      </c>
      <c r="F368">
        <v>3544867</v>
      </c>
      <c r="G368" t="s">
        <v>1487</v>
      </c>
      <c r="H368" t="s">
        <v>1472</v>
      </c>
      <c r="J368">
        <v>0</v>
      </c>
      <c r="K368">
        <v>6850962</v>
      </c>
      <c r="L368">
        <v>1301683</v>
      </c>
      <c r="O368">
        <v>8152644</v>
      </c>
      <c r="T368">
        <v>0</v>
      </c>
      <c r="X368">
        <v>0</v>
      </c>
      <c r="AC368" t="s">
        <v>1484</v>
      </c>
      <c r="AD368" t="s">
        <v>871</v>
      </c>
      <c r="AE368">
        <v>2025</v>
      </c>
      <c r="AF368">
        <v>4</v>
      </c>
      <c r="AG368" t="s">
        <v>872</v>
      </c>
    </row>
    <row r="369" spans="1:33">
      <c r="A369">
        <v>17</v>
      </c>
      <c r="B369">
        <v>33</v>
      </c>
      <c r="C369" t="s">
        <v>74</v>
      </c>
      <c r="D369" t="s">
        <v>1473</v>
      </c>
      <c r="E369" t="s">
        <v>1474</v>
      </c>
      <c r="F369">
        <v>4057640</v>
      </c>
      <c r="G369" t="s">
        <v>1488</v>
      </c>
      <c r="H369" t="s">
        <v>1475</v>
      </c>
      <c r="J369">
        <v>0</v>
      </c>
      <c r="K369">
        <v>14531</v>
      </c>
      <c r="L369">
        <v>2761</v>
      </c>
      <c r="O369">
        <v>17292</v>
      </c>
      <c r="T369">
        <v>0</v>
      </c>
      <c r="X369">
        <v>0</v>
      </c>
      <c r="AC369" t="s">
        <v>1484</v>
      </c>
      <c r="AD369" t="s">
        <v>871</v>
      </c>
      <c r="AE369">
        <v>2025</v>
      </c>
      <c r="AF369">
        <v>4</v>
      </c>
      <c r="AG369" t="s">
        <v>872</v>
      </c>
    </row>
    <row r="370" spans="1:33">
      <c r="A370">
        <v>18</v>
      </c>
      <c r="B370">
        <v>33</v>
      </c>
      <c r="C370" t="s">
        <v>74</v>
      </c>
      <c r="D370" t="s">
        <v>1473</v>
      </c>
      <c r="E370" t="s">
        <v>1474</v>
      </c>
      <c r="F370">
        <v>4057694</v>
      </c>
      <c r="G370" t="s">
        <v>1488</v>
      </c>
      <c r="H370" t="s">
        <v>1476</v>
      </c>
      <c r="J370">
        <v>0</v>
      </c>
      <c r="K370">
        <v>11915</v>
      </c>
      <c r="L370">
        <v>2264</v>
      </c>
      <c r="O370">
        <v>14179</v>
      </c>
      <c r="T370">
        <v>0</v>
      </c>
      <c r="X370">
        <v>0</v>
      </c>
      <c r="AC370" t="s">
        <v>1484</v>
      </c>
      <c r="AD370" t="s">
        <v>871</v>
      </c>
      <c r="AE370">
        <v>2025</v>
      </c>
      <c r="AF370">
        <v>4</v>
      </c>
      <c r="AG370" t="s">
        <v>872</v>
      </c>
    </row>
    <row r="371" spans="1:33">
      <c r="A371">
        <v>19</v>
      </c>
      <c r="B371">
        <v>33</v>
      </c>
      <c r="C371" t="s">
        <v>74</v>
      </c>
      <c r="D371" t="s">
        <v>1473</v>
      </c>
      <c r="E371" t="s">
        <v>1474</v>
      </c>
      <c r="F371">
        <v>4058054</v>
      </c>
      <c r="G371" t="s">
        <v>1488</v>
      </c>
      <c r="H371" t="s">
        <v>1477</v>
      </c>
      <c r="J371">
        <v>0</v>
      </c>
      <c r="K371">
        <v>223773</v>
      </c>
      <c r="L371">
        <v>42517</v>
      </c>
      <c r="O371">
        <v>266290</v>
      </c>
      <c r="T371">
        <v>0</v>
      </c>
      <c r="X371">
        <v>0</v>
      </c>
      <c r="AC371" t="s">
        <v>1484</v>
      </c>
      <c r="AD371" t="s">
        <v>871</v>
      </c>
      <c r="AE371">
        <v>2025</v>
      </c>
      <c r="AF371">
        <v>4</v>
      </c>
      <c r="AG371" t="s">
        <v>872</v>
      </c>
    </row>
    <row r="372" spans="1:33">
      <c r="A372">
        <v>20</v>
      </c>
      <c r="B372">
        <v>33</v>
      </c>
      <c r="C372" t="s">
        <v>74</v>
      </c>
      <c r="D372" t="s">
        <v>1246</v>
      </c>
      <c r="E372" t="s">
        <v>1247</v>
      </c>
      <c r="F372">
        <v>72740</v>
      </c>
      <c r="G372" t="s">
        <v>1489</v>
      </c>
      <c r="H372" t="s">
        <v>1478</v>
      </c>
      <c r="J372">
        <v>0</v>
      </c>
      <c r="K372">
        <v>149172</v>
      </c>
      <c r="L372">
        <v>28343</v>
      </c>
      <c r="O372">
        <v>177515</v>
      </c>
      <c r="T372">
        <v>0</v>
      </c>
      <c r="X372">
        <v>0</v>
      </c>
      <c r="AC372" t="s">
        <v>1484</v>
      </c>
      <c r="AD372" t="s">
        <v>871</v>
      </c>
      <c r="AE372">
        <v>2025</v>
      </c>
      <c r="AF372">
        <v>4</v>
      </c>
      <c r="AG372" t="s">
        <v>872</v>
      </c>
    </row>
    <row r="373" spans="1:33">
      <c r="A373">
        <v>21</v>
      </c>
      <c r="B373">
        <v>33</v>
      </c>
      <c r="C373" t="s">
        <v>74</v>
      </c>
      <c r="D373" t="s">
        <v>873</v>
      </c>
      <c r="E373" t="s">
        <v>874</v>
      </c>
      <c r="F373">
        <v>51415197</v>
      </c>
      <c r="G373" t="s">
        <v>1490</v>
      </c>
      <c r="H373" t="s">
        <v>1479</v>
      </c>
      <c r="J373">
        <v>0</v>
      </c>
      <c r="K373">
        <v>29939</v>
      </c>
      <c r="L373">
        <v>5688</v>
      </c>
      <c r="O373">
        <v>35627</v>
      </c>
      <c r="T373">
        <v>0</v>
      </c>
      <c r="X373">
        <v>0</v>
      </c>
      <c r="AC373" t="s">
        <v>1484</v>
      </c>
      <c r="AD373" t="s">
        <v>871</v>
      </c>
      <c r="AE373">
        <v>2025</v>
      </c>
      <c r="AF373">
        <v>4</v>
      </c>
      <c r="AG373" t="s">
        <v>872</v>
      </c>
    </row>
    <row r="374" spans="1:33">
      <c r="A374">
        <v>22</v>
      </c>
      <c r="B374">
        <v>33</v>
      </c>
      <c r="C374" t="s">
        <v>74</v>
      </c>
      <c r="D374" t="s">
        <v>1219</v>
      </c>
      <c r="E374" t="s">
        <v>1220</v>
      </c>
      <c r="F374">
        <v>569173</v>
      </c>
      <c r="G374" t="s">
        <v>1491</v>
      </c>
      <c r="H374" t="s">
        <v>1480</v>
      </c>
      <c r="J374">
        <v>0</v>
      </c>
      <c r="K374">
        <v>429787</v>
      </c>
      <c r="L374">
        <v>81660</v>
      </c>
      <c r="O374">
        <v>511447</v>
      </c>
      <c r="T374">
        <v>0</v>
      </c>
      <c r="X374">
        <v>0</v>
      </c>
      <c r="AC374" t="s">
        <v>1484</v>
      </c>
      <c r="AD374" t="s">
        <v>871</v>
      </c>
      <c r="AE374">
        <v>2025</v>
      </c>
      <c r="AF374">
        <v>4</v>
      </c>
      <c r="AG374" t="s">
        <v>872</v>
      </c>
    </row>
    <row r="375" spans="1:33">
      <c r="A375">
        <v>23</v>
      </c>
      <c r="B375">
        <v>33</v>
      </c>
      <c r="C375" t="s">
        <v>74</v>
      </c>
      <c r="D375" t="s">
        <v>1219</v>
      </c>
      <c r="E375" t="s">
        <v>1220</v>
      </c>
      <c r="F375">
        <v>569172</v>
      </c>
      <c r="G375" t="s">
        <v>1491</v>
      </c>
      <c r="H375" t="s">
        <v>1481</v>
      </c>
      <c r="J375">
        <v>0</v>
      </c>
      <c r="K375">
        <v>429787</v>
      </c>
      <c r="L375">
        <v>81660</v>
      </c>
      <c r="O375">
        <v>511447</v>
      </c>
      <c r="T375">
        <v>0</v>
      </c>
      <c r="X375">
        <v>0</v>
      </c>
      <c r="AC375" t="s">
        <v>1484</v>
      </c>
      <c r="AD375" t="s">
        <v>871</v>
      </c>
      <c r="AE375">
        <v>2025</v>
      </c>
      <c r="AF375">
        <v>4</v>
      </c>
      <c r="AG375" t="s">
        <v>872</v>
      </c>
    </row>
    <row r="376" spans="1:33">
      <c r="A376">
        <v>24</v>
      </c>
      <c r="B376">
        <v>34</v>
      </c>
      <c r="C376" t="s">
        <v>74</v>
      </c>
      <c r="D376" t="s">
        <v>107</v>
      </c>
      <c r="E376" t="s">
        <v>887</v>
      </c>
      <c r="F376">
        <v>3246</v>
      </c>
      <c r="G376" t="s">
        <v>1458</v>
      </c>
      <c r="H376" t="s">
        <v>1482</v>
      </c>
      <c r="J376">
        <v>233214</v>
      </c>
      <c r="K376">
        <v>0</v>
      </c>
      <c r="L376">
        <v>0</v>
      </c>
      <c r="O376">
        <v>233214</v>
      </c>
      <c r="T376">
        <v>0</v>
      </c>
      <c r="X376">
        <v>0</v>
      </c>
      <c r="AC376" t="s">
        <v>1484</v>
      </c>
      <c r="AD376" t="s">
        <v>871</v>
      </c>
      <c r="AE376">
        <v>2025</v>
      </c>
      <c r="AF376">
        <v>4</v>
      </c>
      <c r="AG376" t="s">
        <v>880</v>
      </c>
    </row>
    <row r="377" spans="1:33">
      <c r="A377">
        <v>25</v>
      </c>
      <c r="B377">
        <v>34</v>
      </c>
      <c r="C377" t="s">
        <v>74</v>
      </c>
      <c r="D377" t="s">
        <v>107</v>
      </c>
      <c r="E377" t="s">
        <v>887</v>
      </c>
      <c r="F377">
        <v>3308</v>
      </c>
      <c r="G377" s="1">
        <v>45748</v>
      </c>
      <c r="H377" s="2">
        <v>45661.504953703705</v>
      </c>
      <c r="J377">
        <v>2528443</v>
      </c>
      <c r="K377">
        <v>0</v>
      </c>
      <c r="L377">
        <v>0</v>
      </c>
      <c r="O377">
        <v>2528443</v>
      </c>
      <c r="T377">
        <v>0</v>
      </c>
      <c r="X377">
        <v>0</v>
      </c>
      <c r="AC377" t="s">
        <v>1484</v>
      </c>
      <c r="AD377" t="s">
        <v>871</v>
      </c>
      <c r="AE377">
        <v>2025</v>
      </c>
      <c r="AF377">
        <v>4</v>
      </c>
      <c r="AG377" t="s">
        <v>880</v>
      </c>
    </row>
    <row r="378" spans="1:33">
      <c r="A378">
        <v>26</v>
      </c>
      <c r="B378">
        <v>61</v>
      </c>
      <c r="C378" t="s">
        <v>74</v>
      </c>
      <c r="D378" t="s">
        <v>1306</v>
      </c>
      <c r="E378" t="s">
        <v>1307</v>
      </c>
      <c r="F378">
        <v>16400</v>
      </c>
      <c r="G378" t="s">
        <v>1458</v>
      </c>
      <c r="H378" t="s">
        <v>1483</v>
      </c>
      <c r="J378">
        <v>0</v>
      </c>
      <c r="K378">
        <v>-127635</v>
      </c>
      <c r="L378">
        <v>-24251</v>
      </c>
      <c r="M378">
        <v>0</v>
      </c>
      <c r="O378">
        <v>-151886</v>
      </c>
      <c r="T378">
        <v>0</v>
      </c>
      <c r="X378">
        <v>0</v>
      </c>
      <c r="AC378" t="s">
        <v>1484</v>
      </c>
      <c r="AD378" t="s">
        <v>871</v>
      </c>
      <c r="AE378">
        <v>2025</v>
      </c>
      <c r="AF378">
        <v>4</v>
      </c>
      <c r="AG378" t="s">
        <v>881</v>
      </c>
    </row>
    <row r="379" spans="1:33">
      <c r="A379">
        <v>27</v>
      </c>
      <c r="B379">
        <v>914</v>
      </c>
      <c r="C379" t="s">
        <v>74</v>
      </c>
      <c r="D379" t="s">
        <v>844</v>
      </c>
      <c r="E379" t="s">
        <v>1452</v>
      </c>
      <c r="F379">
        <v>3670097929</v>
      </c>
      <c r="G379" t="s">
        <v>1487</v>
      </c>
      <c r="H379" s="2">
        <v>45905.372453703705</v>
      </c>
      <c r="J379">
        <v>0</v>
      </c>
      <c r="K379">
        <v>17324226</v>
      </c>
      <c r="L379">
        <v>3291603</v>
      </c>
      <c r="O379">
        <v>20615829</v>
      </c>
      <c r="X379">
        <v>0</v>
      </c>
      <c r="AC379" t="s">
        <v>1484</v>
      </c>
      <c r="AD379" t="s">
        <v>871</v>
      </c>
      <c r="AE379">
        <v>2025</v>
      </c>
      <c r="AF379">
        <v>4</v>
      </c>
      <c r="AG379" t="s">
        <v>1142</v>
      </c>
    </row>
    <row r="380" spans="1:33">
      <c r="A380">
        <v>28</v>
      </c>
      <c r="B380">
        <v>914</v>
      </c>
      <c r="C380" t="s">
        <v>74</v>
      </c>
      <c r="D380" t="s">
        <v>844</v>
      </c>
      <c r="E380" t="s">
        <v>1452</v>
      </c>
      <c r="F380">
        <v>3670097833</v>
      </c>
      <c r="G380" s="1">
        <v>45751</v>
      </c>
      <c r="H380" s="2">
        <v>45905.373472222222</v>
      </c>
      <c r="J380">
        <v>0</v>
      </c>
      <c r="K380">
        <v>34648495</v>
      </c>
      <c r="L380">
        <v>6583214</v>
      </c>
      <c r="O380">
        <v>41231709</v>
      </c>
      <c r="X380">
        <v>0</v>
      </c>
      <c r="AC380" t="s">
        <v>1484</v>
      </c>
      <c r="AD380" t="s">
        <v>871</v>
      </c>
      <c r="AE380">
        <v>2025</v>
      </c>
      <c r="AF380">
        <v>4</v>
      </c>
      <c r="AG380" t="s">
        <v>1142</v>
      </c>
    </row>
    <row r="381" spans="1:33">
      <c r="A381">
        <v>1</v>
      </c>
      <c r="B381">
        <v>33</v>
      </c>
      <c r="C381" t="s">
        <v>74</v>
      </c>
      <c r="D381" t="s">
        <v>109</v>
      </c>
      <c r="E381" t="s">
        <v>1379</v>
      </c>
      <c r="F381">
        <v>4593</v>
      </c>
      <c r="G381" s="1">
        <v>45778</v>
      </c>
      <c r="H381" s="2">
        <v>45693.514930555553</v>
      </c>
      <c r="J381">
        <v>0</v>
      </c>
      <c r="K381">
        <v>586229</v>
      </c>
      <c r="L381">
        <v>111384</v>
      </c>
      <c r="O381">
        <v>697613</v>
      </c>
      <c r="T381">
        <v>0</v>
      </c>
      <c r="X381">
        <v>0</v>
      </c>
      <c r="AC381" t="s">
        <v>1508</v>
      </c>
      <c r="AD381" t="s">
        <v>871</v>
      </c>
      <c r="AE381">
        <v>2025</v>
      </c>
      <c r="AF381">
        <v>5</v>
      </c>
      <c r="AG381" t="s">
        <v>872</v>
      </c>
    </row>
    <row r="382" spans="1:33">
      <c r="A382">
        <v>2</v>
      </c>
      <c r="B382">
        <v>33</v>
      </c>
      <c r="C382" t="s">
        <v>74</v>
      </c>
      <c r="D382" t="s">
        <v>1212</v>
      </c>
      <c r="E382" t="s">
        <v>1213</v>
      </c>
      <c r="F382">
        <v>2407878</v>
      </c>
      <c r="G382" t="s">
        <v>1491</v>
      </c>
      <c r="H382" s="2">
        <v>45693.717824074076</v>
      </c>
      <c r="J382">
        <v>0</v>
      </c>
      <c r="K382">
        <v>2555765</v>
      </c>
      <c r="L382">
        <v>485595</v>
      </c>
      <c r="O382">
        <v>3041360</v>
      </c>
      <c r="T382">
        <v>0</v>
      </c>
      <c r="X382">
        <v>0</v>
      </c>
      <c r="AC382" t="s">
        <v>1508</v>
      </c>
      <c r="AD382" t="s">
        <v>871</v>
      </c>
      <c r="AE382">
        <v>2025</v>
      </c>
      <c r="AF382">
        <v>5</v>
      </c>
      <c r="AG382" t="s">
        <v>872</v>
      </c>
    </row>
    <row r="383" spans="1:33">
      <c r="A383">
        <v>3</v>
      </c>
      <c r="B383">
        <v>33</v>
      </c>
      <c r="C383" t="s">
        <v>74</v>
      </c>
      <c r="D383" t="s">
        <v>1258</v>
      </c>
      <c r="E383" t="s">
        <v>1467</v>
      </c>
      <c r="F383">
        <v>13494</v>
      </c>
      <c r="G383" t="s">
        <v>1491</v>
      </c>
      <c r="H383" s="2">
        <v>45782.580960648149</v>
      </c>
      <c r="J383">
        <v>0</v>
      </c>
      <c r="K383">
        <v>440820</v>
      </c>
      <c r="L383">
        <v>83756</v>
      </c>
      <c r="O383">
        <v>524576</v>
      </c>
      <c r="T383">
        <v>0</v>
      </c>
      <c r="X383">
        <v>0</v>
      </c>
      <c r="AC383" t="s">
        <v>1508</v>
      </c>
      <c r="AD383" t="s">
        <v>871</v>
      </c>
      <c r="AE383">
        <v>2025</v>
      </c>
      <c r="AF383">
        <v>5</v>
      </c>
      <c r="AG383" t="s">
        <v>872</v>
      </c>
    </row>
    <row r="384" spans="1:33">
      <c r="A384">
        <v>4</v>
      </c>
      <c r="B384">
        <v>33</v>
      </c>
      <c r="C384" t="s">
        <v>74</v>
      </c>
      <c r="D384" t="s">
        <v>873</v>
      </c>
      <c r="E384" t="s">
        <v>874</v>
      </c>
      <c r="F384">
        <v>51579836</v>
      </c>
      <c r="G384" s="1">
        <v>45782</v>
      </c>
      <c r="H384" s="2">
        <v>45782.852719907409</v>
      </c>
      <c r="J384">
        <v>0</v>
      </c>
      <c r="K384">
        <v>77524</v>
      </c>
      <c r="L384">
        <v>14730</v>
      </c>
      <c r="O384">
        <v>92254</v>
      </c>
      <c r="T384">
        <v>0</v>
      </c>
      <c r="X384">
        <v>0</v>
      </c>
      <c r="AC384" t="s">
        <v>1508</v>
      </c>
      <c r="AD384" t="s">
        <v>871</v>
      </c>
      <c r="AE384">
        <v>2025</v>
      </c>
      <c r="AF384">
        <v>5</v>
      </c>
      <c r="AG384" t="s">
        <v>872</v>
      </c>
    </row>
    <row r="385" spans="1:33">
      <c r="A385">
        <v>5</v>
      </c>
      <c r="B385">
        <v>33</v>
      </c>
      <c r="C385" t="s">
        <v>74</v>
      </c>
      <c r="D385" t="s">
        <v>917</v>
      </c>
      <c r="E385" t="s">
        <v>1221</v>
      </c>
      <c r="F385">
        <v>185008</v>
      </c>
      <c r="G385" s="1">
        <v>45782</v>
      </c>
      <c r="H385" s="2">
        <v>45813.928240740737</v>
      </c>
      <c r="J385">
        <v>0</v>
      </c>
      <c r="K385">
        <v>1173173</v>
      </c>
      <c r="L385">
        <v>222903</v>
      </c>
      <c r="O385">
        <v>1396076</v>
      </c>
      <c r="T385">
        <v>0</v>
      </c>
      <c r="X385">
        <v>0</v>
      </c>
      <c r="AC385" t="s">
        <v>1508</v>
      </c>
      <c r="AD385" t="s">
        <v>871</v>
      </c>
      <c r="AE385">
        <v>2025</v>
      </c>
      <c r="AF385">
        <v>5</v>
      </c>
      <c r="AG385" t="s">
        <v>872</v>
      </c>
    </row>
    <row r="386" spans="1:33">
      <c r="A386">
        <v>6</v>
      </c>
      <c r="B386">
        <v>33</v>
      </c>
      <c r="C386" t="s">
        <v>74</v>
      </c>
      <c r="D386" t="s">
        <v>1246</v>
      </c>
      <c r="E386" t="s">
        <v>1247</v>
      </c>
      <c r="F386">
        <v>72999</v>
      </c>
      <c r="G386" s="1">
        <v>45785</v>
      </c>
      <c r="H386" s="2">
        <v>45874.471168981479</v>
      </c>
      <c r="J386">
        <v>0</v>
      </c>
      <c r="K386">
        <v>156276</v>
      </c>
      <c r="L386">
        <v>29692</v>
      </c>
      <c r="O386">
        <v>185968</v>
      </c>
      <c r="T386">
        <v>0</v>
      </c>
      <c r="X386">
        <v>0</v>
      </c>
      <c r="AC386" t="s">
        <v>1508</v>
      </c>
      <c r="AD386" t="s">
        <v>871</v>
      </c>
      <c r="AE386">
        <v>2025</v>
      </c>
      <c r="AF386">
        <v>5</v>
      </c>
      <c r="AG386" t="s">
        <v>872</v>
      </c>
    </row>
    <row r="387" spans="1:33">
      <c r="A387">
        <v>7</v>
      </c>
      <c r="B387">
        <v>33</v>
      </c>
      <c r="C387" t="s">
        <v>74</v>
      </c>
      <c r="D387" t="s">
        <v>1246</v>
      </c>
      <c r="E387" t="s">
        <v>1247</v>
      </c>
      <c r="F387">
        <v>73000</v>
      </c>
      <c r="G387" s="1">
        <v>45785</v>
      </c>
      <c r="H387" s="2">
        <v>45874.471168981479</v>
      </c>
      <c r="J387">
        <v>0</v>
      </c>
      <c r="K387">
        <v>150027</v>
      </c>
      <c r="L387">
        <v>28505</v>
      </c>
      <c r="O387">
        <v>178532</v>
      </c>
      <c r="T387">
        <v>0</v>
      </c>
      <c r="X387">
        <v>0</v>
      </c>
      <c r="AC387" t="s">
        <v>1508</v>
      </c>
      <c r="AD387" t="s">
        <v>871</v>
      </c>
      <c r="AE387">
        <v>2025</v>
      </c>
      <c r="AF387">
        <v>5</v>
      </c>
      <c r="AG387" t="s">
        <v>872</v>
      </c>
    </row>
    <row r="388" spans="1:33">
      <c r="A388">
        <v>8</v>
      </c>
      <c r="B388">
        <v>33</v>
      </c>
      <c r="C388" t="s">
        <v>74</v>
      </c>
      <c r="D388" t="s">
        <v>1222</v>
      </c>
      <c r="E388" t="s">
        <v>1223</v>
      </c>
      <c r="F388">
        <v>3577953</v>
      </c>
      <c r="G388" s="1">
        <v>45786</v>
      </c>
      <c r="H388" s="2">
        <v>45905.705138888887</v>
      </c>
      <c r="J388">
        <v>0</v>
      </c>
      <c r="K388">
        <v>2031743</v>
      </c>
      <c r="L388">
        <v>386031</v>
      </c>
      <c r="O388">
        <v>2417774</v>
      </c>
      <c r="T388">
        <v>0</v>
      </c>
      <c r="X388">
        <v>0</v>
      </c>
      <c r="AC388" t="s">
        <v>1508</v>
      </c>
      <c r="AD388" t="s">
        <v>871</v>
      </c>
      <c r="AE388">
        <v>2025</v>
      </c>
      <c r="AF388">
        <v>5</v>
      </c>
      <c r="AG388" t="s">
        <v>872</v>
      </c>
    </row>
    <row r="389" spans="1:33">
      <c r="A389">
        <v>9</v>
      </c>
      <c r="B389">
        <v>33</v>
      </c>
      <c r="C389" t="s">
        <v>74</v>
      </c>
      <c r="D389" t="s">
        <v>1222</v>
      </c>
      <c r="E389" t="s">
        <v>1223</v>
      </c>
      <c r="F389">
        <v>3577955</v>
      </c>
      <c r="G389" s="1">
        <v>45786</v>
      </c>
      <c r="H389" s="2">
        <v>45905.707256944443</v>
      </c>
      <c r="J389">
        <v>0</v>
      </c>
      <c r="K389">
        <v>24195785</v>
      </c>
      <c r="L389">
        <v>4597199</v>
      </c>
      <c r="O389">
        <v>28792984</v>
      </c>
      <c r="T389">
        <v>0</v>
      </c>
      <c r="X389">
        <v>0</v>
      </c>
      <c r="AC389" t="s">
        <v>1508</v>
      </c>
      <c r="AD389" t="s">
        <v>871</v>
      </c>
      <c r="AE389">
        <v>2025</v>
      </c>
      <c r="AF389">
        <v>5</v>
      </c>
      <c r="AG389" t="s">
        <v>872</v>
      </c>
    </row>
    <row r="390" spans="1:33">
      <c r="A390">
        <v>10</v>
      </c>
      <c r="B390">
        <v>33</v>
      </c>
      <c r="C390" t="s">
        <v>74</v>
      </c>
      <c r="D390" t="s">
        <v>1473</v>
      </c>
      <c r="E390" t="s">
        <v>1474</v>
      </c>
      <c r="F390">
        <v>4066215</v>
      </c>
      <c r="G390" s="1">
        <v>45789</v>
      </c>
      <c r="H390" s="2">
        <v>45996.521504629629</v>
      </c>
      <c r="J390">
        <v>0</v>
      </c>
      <c r="K390">
        <v>34437</v>
      </c>
      <c r="L390">
        <v>6543</v>
      </c>
      <c r="O390">
        <v>40980</v>
      </c>
      <c r="T390">
        <v>0</v>
      </c>
      <c r="X390">
        <v>0</v>
      </c>
      <c r="AC390" t="s">
        <v>1508</v>
      </c>
      <c r="AD390" t="s">
        <v>871</v>
      </c>
      <c r="AE390">
        <v>2025</v>
      </c>
      <c r="AF390">
        <v>5</v>
      </c>
      <c r="AG390" t="s">
        <v>872</v>
      </c>
    </row>
    <row r="391" spans="1:33">
      <c r="A391">
        <v>11</v>
      </c>
      <c r="B391">
        <v>33</v>
      </c>
      <c r="C391" t="s">
        <v>74</v>
      </c>
      <c r="D391" t="s">
        <v>1473</v>
      </c>
      <c r="E391" t="s">
        <v>1474</v>
      </c>
      <c r="F391">
        <v>4066216</v>
      </c>
      <c r="G391" s="1">
        <v>45789</v>
      </c>
      <c r="H391" s="2">
        <v>45996.521967592591</v>
      </c>
      <c r="J391">
        <v>0</v>
      </c>
      <c r="K391">
        <v>11479</v>
      </c>
      <c r="L391">
        <v>2181</v>
      </c>
      <c r="O391">
        <v>13660</v>
      </c>
      <c r="T391">
        <v>0</v>
      </c>
      <c r="X391">
        <v>0</v>
      </c>
      <c r="AC391" t="s">
        <v>1508</v>
      </c>
      <c r="AD391" t="s">
        <v>871</v>
      </c>
      <c r="AE391">
        <v>2025</v>
      </c>
      <c r="AF391">
        <v>5</v>
      </c>
      <c r="AG391" t="s">
        <v>872</v>
      </c>
    </row>
    <row r="392" spans="1:33">
      <c r="A392">
        <v>12</v>
      </c>
      <c r="B392">
        <v>33</v>
      </c>
      <c r="C392" t="s">
        <v>74</v>
      </c>
      <c r="D392" t="s">
        <v>1473</v>
      </c>
      <c r="E392" t="s">
        <v>1474</v>
      </c>
      <c r="F392">
        <v>4066245</v>
      </c>
      <c r="G392" s="1">
        <v>45789</v>
      </c>
      <c r="H392" s="2">
        <v>45996.522939814815</v>
      </c>
      <c r="J392">
        <v>0</v>
      </c>
      <c r="K392">
        <v>166307</v>
      </c>
      <c r="L392">
        <v>31598</v>
      </c>
      <c r="O392">
        <v>197905</v>
      </c>
      <c r="T392">
        <v>0</v>
      </c>
      <c r="X392">
        <v>0</v>
      </c>
      <c r="AC392" t="s">
        <v>1508</v>
      </c>
      <c r="AD392" t="s">
        <v>871</v>
      </c>
      <c r="AE392">
        <v>2025</v>
      </c>
      <c r="AF392">
        <v>5</v>
      </c>
      <c r="AG392" t="s">
        <v>872</v>
      </c>
    </row>
    <row r="393" spans="1:33">
      <c r="A393">
        <v>13</v>
      </c>
      <c r="B393">
        <v>33</v>
      </c>
      <c r="C393" t="s">
        <v>74</v>
      </c>
      <c r="D393" t="s">
        <v>1473</v>
      </c>
      <c r="E393" t="s">
        <v>1474</v>
      </c>
      <c r="F393">
        <v>4066247</v>
      </c>
      <c r="G393" s="1">
        <v>45789</v>
      </c>
      <c r="H393" s="2">
        <v>45996.522939814815</v>
      </c>
      <c r="J393">
        <v>0</v>
      </c>
      <c r="K393">
        <v>317215</v>
      </c>
      <c r="L393">
        <v>60271</v>
      </c>
      <c r="O393">
        <v>377486</v>
      </c>
      <c r="T393">
        <v>0</v>
      </c>
      <c r="X393">
        <v>0</v>
      </c>
      <c r="AC393" t="s">
        <v>1508</v>
      </c>
      <c r="AD393" t="s">
        <v>871</v>
      </c>
      <c r="AE393">
        <v>2025</v>
      </c>
      <c r="AF393">
        <v>5</v>
      </c>
      <c r="AG393" t="s">
        <v>872</v>
      </c>
    </row>
    <row r="394" spans="1:33">
      <c r="A394">
        <v>14</v>
      </c>
      <c r="B394">
        <v>33</v>
      </c>
      <c r="C394" t="s">
        <v>74</v>
      </c>
      <c r="D394" t="s">
        <v>1473</v>
      </c>
      <c r="E394" t="s">
        <v>1474</v>
      </c>
      <c r="F394">
        <v>4066249</v>
      </c>
      <c r="G394" s="1">
        <v>45789</v>
      </c>
      <c r="H394" s="2">
        <v>45996.522939814815</v>
      </c>
      <c r="J394">
        <v>0</v>
      </c>
      <c r="K394">
        <v>172466</v>
      </c>
      <c r="L394">
        <v>32769</v>
      </c>
      <c r="O394">
        <v>205235</v>
      </c>
      <c r="T394">
        <v>0</v>
      </c>
      <c r="X394">
        <v>0</v>
      </c>
      <c r="AC394" t="s">
        <v>1508</v>
      </c>
      <c r="AD394" t="s">
        <v>871</v>
      </c>
      <c r="AE394">
        <v>2025</v>
      </c>
      <c r="AF394">
        <v>5</v>
      </c>
      <c r="AG394" t="s">
        <v>872</v>
      </c>
    </row>
    <row r="395" spans="1:33">
      <c r="A395">
        <v>15</v>
      </c>
      <c r="B395">
        <v>33</v>
      </c>
      <c r="C395" t="s">
        <v>74</v>
      </c>
      <c r="D395" t="s">
        <v>1473</v>
      </c>
      <c r="E395" t="s">
        <v>1474</v>
      </c>
      <c r="F395">
        <v>4066596</v>
      </c>
      <c r="G395" s="1">
        <v>45789</v>
      </c>
      <c r="H395" s="2">
        <v>45996.617291666669</v>
      </c>
      <c r="J395">
        <v>0</v>
      </c>
      <c r="K395">
        <v>48408</v>
      </c>
      <c r="L395">
        <v>9198</v>
      </c>
      <c r="O395">
        <v>57606</v>
      </c>
      <c r="T395">
        <v>0</v>
      </c>
      <c r="X395">
        <v>0</v>
      </c>
      <c r="AC395" t="s">
        <v>1508</v>
      </c>
      <c r="AD395" t="s">
        <v>871</v>
      </c>
      <c r="AE395">
        <v>2025</v>
      </c>
      <c r="AF395">
        <v>5</v>
      </c>
      <c r="AG395" t="s">
        <v>872</v>
      </c>
    </row>
    <row r="396" spans="1:33">
      <c r="A396">
        <v>16</v>
      </c>
      <c r="B396">
        <v>33</v>
      </c>
      <c r="C396" t="s">
        <v>74</v>
      </c>
      <c r="D396" t="s">
        <v>1473</v>
      </c>
      <c r="E396" t="s">
        <v>1474</v>
      </c>
      <c r="F396">
        <v>4066597</v>
      </c>
      <c r="G396" s="1">
        <v>45789</v>
      </c>
      <c r="H396" s="2">
        <v>45996.618287037039</v>
      </c>
      <c r="J396">
        <v>0</v>
      </c>
      <c r="K396">
        <v>16136</v>
      </c>
      <c r="L396">
        <v>3066</v>
      </c>
      <c r="O396">
        <v>19202</v>
      </c>
      <c r="T396">
        <v>0</v>
      </c>
      <c r="X396">
        <v>0</v>
      </c>
      <c r="AC396" t="s">
        <v>1508</v>
      </c>
      <c r="AD396" t="s">
        <v>871</v>
      </c>
      <c r="AE396">
        <v>2025</v>
      </c>
      <c r="AF396">
        <v>5</v>
      </c>
      <c r="AG396" t="s">
        <v>872</v>
      </c>
    </row>
    <row r="397" spans="1:33">
      <c r="A397">
        <v>17</v>
      </c>
      <c r="B397">
        <v>33</v>
      </c>
      <c r="C397" t="s">
        <v>74</v>
      </c>
      <c r="D397" t="s">
        <v>1246</v>
      </c>
      <c r="E397" t="s">
        <v>1247</v>
      </c>
      <c r="F397">
        <v>73033</v>
      </c>
      <c r="G397" s="1" t="s">
        <v>1509</v>
      </c>
      <c r="H397" s="2" t="s">
        <v>1492</v>
      </c>
      <c r="J397">
        <v>0</v>
      </c>
      <c r="K397">
        <v>150027</v>
      </c>
      <c r="L397">
        <v>28505</v>
      </c>
      <c r="O397">
        <v>178532</v>
      </c>
      <c r="T397">
        <v>0</v>
      </c>
      <c r="X397">
        <v>0</v>
      </c>
      <c r="AC397" t="s">
        <v>1508</v>
      </c>
      <c r="AD397" t="s">
        <v>871</v>
      </c>
      <c r="AE397">
        <v>2025</v>
      </c>
      <c r="AF397">
        <v>5</v>
      </c>
      <c r="AG397" t="s">
        <v>872</v>
      </c>
    </row>
    <row r="398" spans="1:33">
      <c r="A398">
        <v>18</v>
      </c>
      <c r="B398">
        <v>33</v>
      </c>
      <c r="C398" t="s">
        <v>74</v>
      </c>
      <c r="D398" t="s">
        <v>1246</v>
      </c>
      <c r="E398" t="s">
        <v>1247</v>
      </c>
      <c r="F398">
        <v>73034</v>
      </c>
      <c r="G398" s="1" t="s">
        <v>1509</v>
      </c>
      <c r="H398" s="2" t="s">
        <v>1492</v>
      </c>
      <c r="J398">
        <v>0</v>
      </c>
      <c r="K398">
        <v>224059</v>
      </c>
      <c r="L398">
        <v>42571</v>
      </c>
      <c r="O398">
        <v>266630</v>
      </c>
      <c r="T398">
        <v>0</v>
      </c>
      <c r="X398">
        <v>0</v>
      </c>
      <c r="AC398" t="s">
        <v>1508</v>
      </c>
      <c r="AD398" t="s">
        <v>871</v>
      </c>
      <c r="AE398">
        <v>2025</v>
      </c>
      <c r="AF398">
        <v>5</v>
      </c>
      <c r="AG398" t="s">
        <v>872</v>
      </c>
    </row>
    <row r="399" spans="1:33">
      <c r="A399">
        <v>19</v>
      </c>
      <c r="B399">
        <v>33</v>
      </c>
      <c r="C399" t="s">
        <v>74</v>
      </c>
      <c r="D399" t="s">
        <v>1217</v>
      </c>
      <c r="E399" t="s">
        <v>1305</v>
      </c>
      <c r="F399">
        <v>41465</v>
      </c>
      <c r="G399" s="1" t="s">
        <v>1510</v>
      </c>
      <c r="H399" s="2" t="s">
        <v>1493</v>
      </c>
      <c r="J399">
        <v>0</v>
      </c>
      <c r="K399">
        <v>1166629</v>
      </c>
      <c r="L399">
        <v>221660</v>
      </c>
      <c r="O399">
        <v>1388289</v>
      </c>
      <c r="T399">
        <v>0</v>
      </c>
      <c r="X399">
        <v>0</v>
      </c>
      <c r="AC399" t="s">
        <v>1508</v>
      </c>
      <c r="AD399" t="s">
        <v>871</v>
      </c>
      <c r="AE399">
        <v>2025</v>
      </c>
      <c r="AF399">
        <v>5</v>
      </c>
      <c r="AG399" t="s">
        <v>872</v>
      </c>
    </row>
    <row r="400" spans="1:33">
      <c r="A400">
        <v>20</v>
      </c>
      <c r="B400">
        <v>33</v>
      </c>
      <c r="C400" t="s">
        <v>74</v>
      </c>
      <c r="D400" t="s">
        <v>1222</v>
      </c>
      <c r="E400" t="s">
        <v>1223</v>
      </c>
      <c r="F400">
        <v>3586987</v>
      </c>
      <c r="G400" s="1" t="s">
        <v>1510</v>
      </c>
      <c r="H400" s="2" t="s">
        <v>1494</v>
      </c>
      <c r="J400">
        <v>0</v>
      </c>
      <c r="K400">
        <v>11820410</v>
      </c>
      <c r="L400">
        <v>2245878</v>
      </c>
      <c r="O400">
        <v>14066288</v>
      </c>
      <c r="T400">
        <v>0</v>
      </c>
      <c r="X400">
        <v>0</v>
      </c>
      <c r="AC400" t="s">
        <v>1508</v>
      </c>
      <c r="AD400" t="s">
        <v>871</v>
      </c>
      <c r="AE400">
        <v>2025</v>
      </c>
      <c r="AF400">
        <v>5</v>
      </c>
      <c r="AG400" t="s">
        <v>872</v>
      </c>
    </row>
    <row r="401" spans="1:33">
      <c r="A401">
        <v>21</v>
      </c>
      <c r="B401">
        <v>33</v>
      </c>
      <c r="C401" t="s">
        <v>74</v>
      </c>
      <c r="D401" t="s">
        <v>1306</v>
      </c>
      <c r="E401" t="s">
        <v>1307</v>
      </c>
      <c r="F401">
        <v>83511</v>
      </c>
      <c r="G401" s="1" t="s">
        <v>1511</v>
      </c>
      <c r="H401" s="2" t="s">
        <v>1495</v>
      </c>
      <c r="J401">
        <v>0</v>
      </c>
      <c r="K401">
        <v>2214447</v>
      </c>
      <c r="L401">
        <v>420745</v>
      </c>
      <c r="O401">
        <v>2635192</v>
      </c>
      <c r="T401">
        <v>0</v>
      </c>
      <c r="X401">
        <v>0</v>
      </c>
      <c r="AC401" t="s">
        <v>1508</v>
      </c>
      <c r="AD401" t="s">
        <v>871</v>
      </c>
      <c r="AE401">
        <v>2025</v>
      </c>
      <c r="AF401">
        <v>5</v>
      </c>
      <c r="AG401" t="s">
        <v>872</v>
      </c>
    </row>
    <row r="402" spans="1:33">
      <c r="A402">
        <v>22</v>
      </c>
      <c r="B402">
        <v>33</v>
      </c>
      <c r="C402" t="s">
        <v>74</v>
      </c>
      <c r="D402" t="s">
        <v>1279</v>
      </c>
      <c r="E402" t="s">
        <v>1280</v>
      </c>
      <c r="F402">
        <v>514775</v>
      </c>
      <c r="G402" s="1" t="s">
        <v>1511</v>
      </c>
      <c r="H402" s="2" t="s">
        <v>1496</v>
      </c>
      <c r="J402">
        <v>0</v>
      </c>
      <c r="K402">
        <v>56416</v>
      </c>
      <c r="L402">
        <v>10719</v>
      </c>
      <c r="O402">
        <v>67135</v>
      </c>
      <c r="T402">
        <v>0</v>
      </c>
      <c r="X402">
        <v>0</v>
      </c>
      <c r="AC402" t="s">
        <v>1508</v>
      </c>
      <c r="AD402" t="s">
        <v>871</v>
      </c>
      <c r="AE402">
        <v>2025</v>
      </c>
      <c r="AF402">
        <v>5</v>
      </c>
      <c r="AG402" t="s">
        <v>872</v>
      </c>
    </row>
    <row r="403" spans="1:33">
      <c r="A403">
        <v>23</v>
      </c>
      <c r="B403">
        <v>33</v>
      </c>
      <c r="C403" t="s">
        <v>74</v>
      </c>
      <c r="D403" t="s">
        <v>1279</v>
      </c>
      <c r="E403" t="s">
        <v>1280</v>
      </c>
      <c r="F403">
        <v>514776</v>
      </c>
      <c r="G403" t="s">
        <v>1511</v>
      </c>
      <c r="H403" s="2" t="s">
        <v>1497</v>
      </c>
      <c r="J403">
        <v>0</v>
      </c>
      <c r="K403">
        <v>56416</v>
      </c>
      <c r="L403">
        <v>10719</v>
      </c>
      <c r="O403">
        <v>67135</v>
      </c>
      <c r="T403">
        <v>0</v>
      </c>
      <c r="X403">
        <v>0</v>
      </c>
      <c r="AC403" t="s">
        <v>1508</v>
      </c>
      <c r="AD403" t="s">
        <v>871</v>
      </c>
      <c r="AE403">
        <v>2025</v>
      </c>
      <c r="AF403">
        <v>5</v>
      </c>
      <c r="AG403" t="s">
        <v>872</v>
      </c>
    </row>
    <row r="404" spans="1:33">
      <c r="A404">
        <v>24</v>
      </c>
      <c r="B404">
        <v>33</v>
      </c>
      <c r="C404" t="s">
        <v>74</v>
      </c>
      <c r="D404" t="s">
        <v>1236</v>
      </c>
      <c r="E404" t="s">
        <v>1237</v>
      </c>
      <c r="F404">
        <v>134245</v>
      </c>
      <c r="G404" s="1" t="s">
        <v>1512</v>
      </c>
      <c r="H404" s="2" t="s">
        <v>1498</v>
      </c>
      <c r="J404">
        <v>0</v>
      </c>
      <c r="K404">
        <v>117245</v>
      </c>
      <c r="L404">
        <v>22277</v>
      </c>
      <c r="O404">
        <v>139522</v>
      </c>
      <c r="T404">
        <v>0</v>
      </c>
      <c r="X404">
        <v>0</v>
      </c>
      <c r="AC404" t="s">
        <v>1508</v>
      </c>
      <c r="AD404" t="s">
        <v>871</v>
      </c>
      <c r="AE404">
        <v>2025</v>
      </c>
      <c r="AF404">
        <v>5</v>
      </c>
      <c r="AG404" t="s">
        <v>872</v>
      </c>
    </row>
    <row r="405" spans="1:33">
      <c r="A405">
        <v>25</v>
      </c>
      <c r="B405">
        <v>33</v>
      </c>
      <c r="C405" t="s">
        <v>74</v>
      </c>
      <c r="D405" t="s">
        <v>1279</v>
      </c>
      <c r="E405" t="s">
        <v>1280</v>
      </c>
      <c r="F405">
        <v>515825</v>
      </c>
      <c r="G405" t="s">
        <v>1513</v>
      </c>
      <c r="H405" t="s">
        <v>1499</v>
      </c>
      <c r="J405">
        <v>0</v>
      </c>
      <c r="K405">
        <v>1069409</v>
      </c>
      <c r="L405">
        <v>203188</v>
      </c>
      <c r="O405">
        <v>1272597</v>
      </c>
      <c r="T405">
        <v>0</v>
      </c>
      <c r="X405">
        <v>0</v>
      </c>
      <c r="AC405" t="s">
        <v>1508</v>
      </c>
      <c r="AD405" t="s">
        <v>871</v>
      </c>
      <c r="AE405">
        <v>2025</v>
      </c>
      <c r="AF405">
        <v>5</v>
      </c>
      <c r="AG405" t="s">
        <v>872</v>
      </c>
    </row>
    <row r="406" spans="1:33">
      <c r="A406">
        <v>26</v>
      </c>
      <c r="B406">
        <v>33</v>
      </c>
      <c r="C406" t="s">
        <v>74</v>
      </c>
      <c r="D406" t="s">
        <v>1246</v>
      </c>
      <c r="E406" t="s">
        <v>1247</v>
      </c>
      <c r="F406">
        <v>73184</v>
      </c>
      <c r="G406" t="s">
        <v>1514</v>
      </c>
      <c r="H406" t="s">
        <v>1500</v>
      </c>
      <c r="J406">
        <v>0</v>
      </c>
      <c r="K406">
        <v>150027</v>
      </c>
      <c r="L406">
        <v>28505</v>
      </c>
      <c r="O406">
        <v>178532</v>
      </c>
      <c r="T406">
        <v>0</v>
      </c>
      <c r="X406">
        <v>0</v>
      </c>
      <c r="AC406" t="s">
        <v>1508</v>
      </c>
      <c r="AD406" t="s">
        <v>871</v>
      </c>
      <c r="AE406">
        <v>2025</v>
      </c>
      <c r="AF406">
        <v>5</v>
      </c>
      <c r="AG406" t="s">
        <v>872</v>
      </c>
    </row>
    <row r="407" spans="1:33">
      <c r="A407">
        <v>27</v>
      </c>
      <c r="B407">
        <v>33</v>
      </c>
      <c r="C407" t="s">
        <v>74</v>
      </c>
      <c r="D407" t="s">
        <v>1246</v>
      </c>
      <c r="E407" t="s">
        <v>1247</v>
      </c>
      <c r="F407">
        <v>73185</v>
      </c>
      <c r="G407" t="s">
        <v>1514</v>
      </c>
      <c r="H407" t="s">
        <v>1500</v>
      </c>
      <c r="J407">
        <v>0</v>
      </c>
      <c r="K407">
        <v>150027</v>
      </c>
      <c r="L407">
        <v>28505</v>
      </c>
      <c r="O407">
        <v>178532</v>
      </c>
      <c r="T407">
        <v>0</v>
      </c>
      <c r="X407">
        <v>0</v>
      </c>
      <c r="AC407" t="s">
        <v>1508</v>
      </c>
      <c r="AD407" t="s">
        <v>871</v>
      </c>
      <c r="AE407">
        <v>2025</v>
      </c>
      <c r="AF407">
        <v>5</v>
      </c>
      <c r="AG407" t="s">
        <v>872</v>
      </c>
    </row>
    <row r="408" spans="1:33">
      <c r="A408">
        <v>28</v>
      </c>
      <c r="B408">
        <v>33</v>
      </c>
      <c r="C408" t="s">
        <v>74</v>
      </c>
      <c r="D408" t="s">
        <v>1279</v>
      </c>
      <c r="E408" t="s">
        <v>1280</v>
      </c>
      <c r="F408">
        <v>516356</v>
      </c>
      <c r="G408" t="s">
        <v>1514</v>
      </c>
      <c r="H408" t="s">
        <v>1501</v>
      </c>
      <c r="J408">
        <v>0</v>
      </c>
      <c r="K408">
        <v>769583</v>
      </c>
      <c r="L408">
        <v>146221</v>
      </c>
      <c r="O408">
        <v>915804</v>
      </c>
      <c r="T408">
        <v>0</v>
      </c>
      <c r="X408">
        <v>0</v>
      </c>
      <c r="AC408" t="s">
        <v>1508</v>
      </c>
      <c r="AD408" t="s">
        <v>871</v>
      </c>
      <c r="AE408">
        <v>2025</v>
      </c>
      <c r="AF408">
        <v>5</v>
      </c>
      <c r="AG408" t="s">
        <v>872</v>
      </c>
    </row>
    <row r="409" spans="1:33">
      <c r="A409">
        <v>29</v>
      </c>
      <c r="B409">
        <v>33</v>
      </c>
      <c r="C409" t="s">
        <v>74</v>
      </c>
      <c r="D409" t="s">
        <v>1279</v>
      </c>
      <c r="E409" t="s">
        <v>1280</v>
      </c>
      <c r="F409">
        <v>516357</v>
      </c>
      <c r="G409" t="s">
        <v>1514</v>
      </c>
      <c r="H409" t="s">
        <v>1502</v>
      </c>
      <c r="J409">
        <v>0</v>
      </c>
      <c r="K409">
        <v>1191066</v>
      </c>
      <c r="L409">
        <v>226303</v>
      </c>
      <c r="O409">
        <v>1417369</v>
      </c>
      <c r="T409">
        <v>0</v>
      </c>
      <c r="X409">
        <v>0</v>
      </c>
      <c r="AC409" t="s">
        <v>1508</v>
      </c>
      <c r="AD409" t="s">
        <v>871</v>
      </c>
      <c r="AE409">
        <v>2025</v>
      </c>
      <c r="AF409">
        <v>5</v>
      </c>
      <c r="AG409" t="s">
        <v>872</v>
      </c>
    </row>
    <row r="410" spans="1:33">
      <c r="A410">
        <v>30</v>
      </c>
      <c r="B410">
        <v>33</v>
      </c>
      <c r="C410" t="s">
        <v>74</v>
      </c>
      <c r="D410" t="s">
        <v>873</v>
      </c>
      <c r="E410" t="s">
        <v>874</v>
      </c>
      <c r="F410">
        <v>51738652</v>
      </c>
      <c r="G410" t="s">
        <v>1515</v>
      </c>
      <c r="H410" t="s">
        <v>1503</v>
      </c>
      <c r="J410">
        <v>0</v>
      </c>
      <c r="K410">
        <v>30078</v>
      </c>
      <c r="L410">
        <v>5715</v>
      </c>
      <c r="O410">
        <v>35793</v>
      </c>
      <c r="T410">
        <v>0</v>
      </c>
      <c r="X410">
        <v>0</v>
      </c>
      <c r="AC410" t="s">
        <v>1508</v>
      </c>
      <c r="AD410" t="s">
        <v>871</v>
      </c>
      <c r="AE410">
        <v>2025</v>
      </c>
      <c r="AF410">
        <v>5</v>
      </c>
      <c r="AG410" t="s">
        <v>872</v>
      </c>
    </row>
    <row r="411" spans="1:33">
      <c r="A411">
        <v>31</v>
      </c>
      <c r="B411">
        <v>33</v>
      </c>
      <c r="C411" t="s">
        <v>74</v>
      </c>
      <c r="D411" t="s">
        <v>1279</v>
      </c>
      <c r="E411" t="s">
        <v>1280</v>
      </c>
      <c r="F411">
        <v>517531</v>
      </c>
      <c r="G411" t="s">
        <v>1516</v>
      </c>
      <c r="H411" t="s">
        <v>1504</v>
      </c>
      <c r="J411">
        <v>0</v>
      </c>
      <c r="K411">
        <v>28121</v>
      </c>
      <c r="L411">
        <v>5343</v>
      </c>
      <c r="O411">
        <v>33464</v>
      </c>
      <c r="T411">
        <v>0</v>
      </c>
      <c r="X411">
        <v>0</v>
      </c>
      <c r="AC411" t="s">
        <v>1508</v>
      </c>
      <c r="AD411" t="s">
        <v>871</v>
      </c>
      <c r="AE411">
        <v>2025</v>
      </c>
      <c r="AF411">
        <v>5</v>
      </c>
      <c r="AG411" t="s">
        <v>872</v>
      </c>
    </row>
    <row r="412" spans="1:33">
      <c r="A412">
        <v>32</v>
      </c>
      <c r="B412">
        <v>33</v>
      </c>
      <c r="C412" t="s">
        <v>74</v>
      </c>
      <c r="D412" t="s">
        <v>1279</v>
      </c>
      <c r="E412" t="s">
        <v>1280</v>
      </c>
      <c r="F412">
        <v>517532</v>
      </c>
      <c r="G412" t="s">
        <v>1516</v>
      </c>
      <c r="H412" t="s">
        <v>1505</v>
      </c>
      <c r="J412">
        <v>0</v>
      </c>
      <c r="K412">
        <v>56242</v>
      </c>
      <c r="L412">
        <v>10686</v>
      </c>
      <c r="O412">
        <v>66928</v>
      </c>
      <c r="T412">
        <v>0</v>
      </c>
      <c r="X412">
        <v>0</v>
      </c>
      <c r="AC412" t="s">
        <v>1508</v>
      </c>
      <c r="AD412" t="s">
        <v>871</v>
      </c>
      <c r="AE412">
        <v>2025</v>
      </c>
      <c r="AF412">
        <v>5</v>
      </c>
      <c r="AG412" t="s">
        <v>872</v>
      </c>
    </row>
    <row r="413" spans="1:33">
      <c r="A413">
        <v>33</v>
      </c>
      <c r="B413">
        <v>33</v>
      </c>
      <c r="C413" t="s">
        <v>74</v>
      </c>
      <c r="D413" t="s">
        <v>1279</v>
      </c>
      <c r="E413" t="s">
        <v>1280</v>
      </c>
      <c r="F413">
        <v>517533</v>
      </c>
      <c r="G413" t="s">
        <v>1516</v>
      </c>
      <c r="H413" t="s">
        <v>1506</v>
      </c>
      <c r="J413">
        <v>0</v>
      </c>
      <c r="K413">
        <v>28121</v>
      </c>
      <c r="L413">
        <v>5343</v>
      </c>
      <c r="O413">
        <v>33464</v>
      </c>
      <c r="T413">
        <v>0</v>
      </c>
      <c r="X413">
        <v>0</v>
      </c>
      <c r="AC413" t="s">
        <v>1508</v>
      </c>
      <c r="AD413" t="s">
        <v>871</v>
      </c>
      <c r="AE413">
        <v>2025</v>
      </c>
      <c r="AF413">
        <v>5</v>
      </c>
      <c r="AG413" t="s">
        <v>872</v>
      </c>
    </row>
    <row r="414" spans="1:33">
      <c r="A414">
        <v>34</v>
      </c>
      <c r="B414">
        <v>34</v>
      </c>
      <c r="C414" t="s">
        <v>74</v>
      </c>
      <c r="D414" t="s">
        <v>107</v>
      </c>
      <c r="E414" t="s">
        <v>887</v>
      </c>
      <c r="F414">
        <v>3591</v>
      </c>
      <c r="G414" s="1" t="s">
        <v>1491</v>
      </c>
      <c r="H414" s="2" t="s">
        <v>1507</v>
      </c>
      <c r="J414">
        <v>1953771</v>
      </c>
      <c r="K414">
        <v>0</v>
      </c>
      <c r="L414">
        <v>0</v>
      </c>
      <c r="O414">
        <v>1953771</v>
      </c>
      <c r="T414">
        <v>0</v>
      </c>
      <c r="X414">
        <v>0</v>
      </c>
      <c r="AC414" t="s">
        <v>1508</v>
      </c>
      <c r="AD414" t="s">
        <v>871</v>
      </c>
      <c r="AE414">
        <v>2025</v>
      </c>
      <c r="AF414">
        <v>5</v>
      </c>
      <c r="AG414" t="s">
        <v>880</v>
      </c>
    </row>
    <row r="415" spans="1:33">
      <c r="A415">
        <v>35</v>
      </c>
      <c r="B415">
        <v>34</v>
      </c>
      <c r="C415" t="s">
        <v>74</v>
      </c>
      <c r="D415" t="s">
        <v>107</v>
      </c>
      <c r="E415" t="s">
        <v>887</v>
      </c>
      <c r="F415">
        <v>4740</v>
      </c>
      <c r="G415" s="1">
        <v>45778</v>
      </c>
      <c r="H415" s="2">
        <v>45874.67428240741</v>
      </c>
      <c r="J415">
        <v>2540324</v>
      </c>
      <c r="K415">
        <v>0</v>
      </c>
      <c r="L415">
        <v>0</v>
      </c>
      <c r="O415">
        <v>2540324</v>
      </c>
      <c r="T415">
        <v>0</v>
      </c>
      <c r="X415">
        <v>0</v>
      </c>
      <c r="AC415" t="s">
        <v>1508</v>
      </c>
      <c r="AD415" t="s">
        <v>871</v>
      </c>
      <c r="AE415">
        <v>2025</v>
      </c>
      <c r="AF415">
        <v>5</v>
      </c>
      <c r="AG415" t="s">
        <v>880</v>
      </c>
    </row>
    <row r="416" spans="1:33">
      <c r="A416">
        <v>36</v>
      </c>
      <c r="B416">
        <v>914</v>
      </c>
      <c r="C416" t="s">
        <v>74</v>
      </c>
      <c r="D416" t="s">
        <v>844</v>
      </c>
      <c r="E416" t="s">
        <v>1452</v>
      </c>
      <c r="F416">
        <v>3670098607</v>
      </c>
      <c r="G416" t="s">
        <v>1517</v>
      </c>
      <c r="H416" s="2">
        <v>45783.775752314818</v>
      </c>
      <c r="I416" s="2"/>
      <c r="J416">
        <v>0</v>
      </c>
      <c r="K416">
        <v>35225153</v>
      </c>
      <c r="L416">
        <v>6692779</v>
      </c>
      <c r="O416">
        <v>41917932</v>
      </c>
      <c r="X416">
        <v>0</v>
      </c>
      <c r="AC416" t="s">
        <v>1508</v>
      </c>
      <c r="AD416" t="s">
        <v>871</v>
      </c>
      <c r="AE416">
        <v>2025</v>
      </c>
      <c r="AF416">
        <v>5</v>
      </c>
      <c r="AG416" t="s">
        <v>1142</v>
      </c>
    </row>
    <row r="417" spans="1:33">
      <c r="A417">
        <v>37</v>
      </c>
      <c r="B417">
        <v>914</v>
      </c>
      <c r="C417" t="s">
        <v>74</v>
      </c>
      <c r="D417" t="s">
        <v>844</v>
      </c>
      <c r="E417" t="s">
        <v>1452</v>
      </c>
      <c r="F417">
        <v>3670098480</v>
      </c>
      <c r="G417" s="1" t="s">
        <v>1517</v>
      </c>
      <c r="H417" s="2">
        <v>45783.779780092591</v>
      </c>
      <c r="J417">
        <v>0</v>
      </c>
      <c r="K417">
        <v>36844879</v>
      </c>
      <c r="L417">
        <v>7000527</v>
      </c>
      <c r="O417">
        <v>43845406</v>
      </c>
      <c r="X417">
        <v>0</v>
      </c>
      <c r="AC417" t="s">
        <v>1508</v>
      </c>
      <c r="AD417" t="s">
        <v>871</v>
      </c>
      <c r="AE417">
        <v>2025</v>
      </c>
      <c r="AF417">
        <v>5</v>
      </c>
      <c r="AG417" t="s">
        <v>1142</v>
      </c>
    </row>
    <row r="418" spans="1:33">
      <c r="A418">
        <v>38</v>
      </c>
      <c r="B418">
        <v>914</v>
      </c>
      <c r="C418" t="s">
        <v>74</v>
      </c>
      <c r="D418" t="s">
        <v>844</v>
      </c>
      <c r="E418" t="s">
        <v>1452</v>
      </c>
      <c r="F418">
        <v>3670098409</v>
      </c>
      <c r="G418" s="1">
        <v>45786</v>
      </c>
      <c r="H418" s="2">
        <v>45783.786643518521</v>
      </c>
      <c r="I418" s="2"/>
      <c r="J418">
        <v>0</v>
      </c>
      <c r="K418">
        <v>36032621</v>
      </c>
      <c r="L418">
        <v>6846198</v>
      </c>
      <c r="O418">
        <v>42878819</v>
      </c>
      <c r="X418">
        <v>0</v>
      </c>
      <c r="AC418" t="s">
        <v>1508</v>
      </c>
      <c r="AD418" t="s">
        <v>871</v>
      </c>
      <c r="AE418">
        <v>2025</v>
      </c>
      <c r="AF418">
        <v>5</v>
      </c>
      <c r="AG418" t="s">
        <v>1142</v>
      </c>
    </row>
    <row r="419" spans="1:33">
      <c r="A419">
        <v>39</v>
      </c>
      <c r="B419">
        <v>914</v>
      </c>
      <c r="C419" t="s">
        <v>74</v>
      </c>
      <c r="D419" t="s">
        <v>844</v>
      </c>
      <c r="E419" t="s">
        <v>1452</v>
      </c>
      <c r="F419">
        <v>3670098408</v>
      </c>
      <c r="G419" s="1">
        <v>45786</v>
      </c>
      <c r="H419" s="2">
        <v>45783.789236111108</v>
      </c>
      <c r="I419" s="2"/>
      <c r="J419">
        <v>0</v>
      </c>
      <c r="K419">
        <v>88580258</v>
      </c>
      <c r="L419">
        <v>16830249</v>
      </c>
      <c r="O419">
        <v>105410507</v>
      </c>
      <c r="X419">
        <v>0</v>
      </c>
      <c r="AC419" t="s">
        <v>1508</v>
      </c>
      <c r="AD419" t="s">
        <v>871</v>
      </c>
      <c r="AE419">
        <v>2025</v>
      </c>
      <c r="AF419">
        <v>5</v>
      </c>
      <c r="AG419" t="s">
        <v>1142</v>
      </c>
    </row>
    <row r="420" spans="1:33">
      <c r="A420">
        <v>40</v>
      </c>
      <c r="B420">
        <v>914</v>
      </c>
      <c r="C420" t="s">
        <v>74</v>
      </c>
      <c r="D420" t="s">
        <v>844</v>
      </c>
      <c r="E420" t="s">
        <v>1452</v>
      </c>
      <c r="F420">
        <v>3670098236</v>
      </c>
      <c r="G420" s="1">
        <v>45779</v>
      </c>
      <c r="H420" s="2">
        <v>45783.79011574074</v>
      </c>
      <c r="I420" s="2"/>
      <c r="J420">
        <v>0</v>
      </c>
      <c r="K420">
        <v>54688979</v>
      </c>
      <c r="L420">
        <v>10390906</v>
      </c>
      <c r="O420">
        <v>65079885</v>
      </c>
      <c r="X420">
        <v>0</v>
      </c>
      <c r="AC420" t="s">
        <v>1508</v>
      </c>
      <c r="AD420" t="s">
        <v>871</v>
      </c>
      <c r="AE420">
        <v>2025</v>
      </c>
      <c r="AF420">
        <v>5</v>
      </c>
      <c r="AG420" t="s">
        <v>1142</v>
      </c>
    </row>
    <row r="421" spans="1:33">
      <c r="A421">
        <v>41</v>
      </c>
      <c r="B421">
        <v>914</v>
      </c>
      <c r="C421" t="s">
        <v>74</v>
      </c>
      <c r="D421" t="s">
        <v>844</v>
      </c>
      <c r="E421" t="s">
        <v>1452</v>
      </c>
      <c r="F421">
        <v>3670098188</v>
      </c>
      <c r="G421" s="1">
        <v>45779</v>
      </c>
      <c r="H421" s="2">
        <v>45783.792268518519</v>
      </c>
      <c r="I421" s="2"/>
      <c r="J421">
        <v>0</v>
      </c>
      <c r="K421">
        <v>34863805</v>
      </c>
      <c r="L421">
        <v>6624123</v>
      </c>
      <c r="O421">
        <v>41487928</v>
      </c>
      <c r="X421">
        <v>0</v>
      </c>
      <c r="AC421" t="s">
        <v>1508</v>
      </c>
      <c r="AD421" t="s">
        <v>871</v>
      </c>
      <c r="AE421">
        <v>2025</v>
      </c>
      <c r="AF421">
        <v>5</v>
      </c>
      <c r="AG421" t="s">
        <v>1142</v>
      </c>
    </row>
    <row r="422" spans="1:33">
      <c r="A422">
        <v>1</v>
      </c>
      <c r="B422">
        <v>33</v>
      </c>
      <c r="C422" t="s">
        <v>74</v>
      </c>
      <c r="D422" t="s">
        <v>1258</v>
      </c>
      <c r="E422" t="s">
        <v>1467</v>
      </c>
      <c r="F422">
        <v>13564</v>
      </c>
      <c r="G422" s="1" t="s">
        <v>1516</v>
      </c>
      <c r="H422" s="2" t="s">
        <v>1518</v>
      </c>
      <c r="I422" s="2"/>
      <c r="J422">
        <v>0</v>
      </c>
      <c r="K422">
        <v>449350</v>
      </c>
      <c r="L422">
        <v>85377</v>
      </c>
      <c r="O422">
        <v>534727</v>
      </c>
      <c r="T422">
        <v>0</v>
      </c>
      <c r="X422">
        <v>0</v>
      </c>
      <c r="AC422" t="s">
        <v>1524</v>
      </c>
      <c r="AD422" t="s">
        <v>871</v>
      </c>
      <c r="AE422">
        <v>2025</v>
      </c>
      <c r="AF422">
        <v>6</v>
      </c>
      <c r="AG422" t="s">
        <v>872</v>
      </c>
    </row>
    <row r="423" spans="1:33">
      <c r="A423">
        <v>2</v>
      </c>
      <c r="B423">
        <v>33</v>
      </c>
      <c r="C423" t="s">
        <v>74</v>
      </c>
      <c r="D423" t="s">
        <v>109</v>
      </c>
      <c r="E423" t="s">
        <v>1379</v>
      </c>
      <c r="F423">
        <v>4619</v>
      </c>
      <c r="G423" s="1">
        <v>45809</v>
      </c>
      <c r="H423" s="2">
        <v>45663.873298611114</v>
      </c>
      <c r="I423" s="2"/>
      <c r="J423">
        <v>0</v>
      </c>
      <c r="K423">
        <v>587880</v>
      </c>
      <c r="L423">
        <v>111697</v>
      </c>
      <c r="O423">
        <v>699577</v>
      </c>
      <c r="T423">
        <v>0</v>
      </c>
      <c r="X423">
        <v>0</v>
      </c>
      <c r="AC423" t="s">
        <v>1524</v>
      </c>
      <c r="AD423" t="s">
        <v>871</v>
      </c>
      <c r="AE423">
        <v>2025</v>
      </c>
      <c r="AF423">
        <v>6</v>
      </c>
      <c r="AG423" t="s">
        <v>872</v>
      </c>
    </row>
    <row r="424" spans="1:33">
      <c r="A424">
        <v>3</v>
      </c>
      <c r="B424">
        <v>33</v>
      </c>
      <c r="C424" t="s">
        <v>74</v>
      </c>
      <c r="D424" t="s">
        <v>1212</v>
      </c>
      <c r="E424" t="s">
        <v>1213</v>
      </c>
      <c r="F424">
        <v>2430670</v>
      </c>
      <c r="G424" t="s">
        <v>1525</v>
      </c>
      <c r="H424" s="2">
        <v>45722.959953703707</v>
      </c>
      <c r="I424" s="2"/>
      <c r="J424">
        <v>0</v>
      </c>
      <c r="K424">
        <v>5638357</v>
      </c>
      <c r="L424">
        <v>1071288</v>
      </c>
      <c r="O424">
        <v>6709645</v>
      </c>
      <c r="T424">
        <v>0</v>
      </c>
      <c r="X424">
        <v>0</v>
      </c>
      <c r="AC424" t="s">
        <v>1524</v>
      </c>
      <c r="AD424" t="s">
        <v>871</v>
      </c>
      <c r="AE424">
        <v>2025</v>
      </c>
      <c r="AF424">
        <v>6</v>
      </c>
      <c r="AG424" t="s">
        <v>872</v>
      </c>
    </row>
    <row r="425" spans="1:33">
      <c r="A425">
        <v>4</v>
      </c>
      <c r="B425">
        <v>33</v>
      </c>
      <c r="C425" t="s">
        <v>74</v>
      </c>
      <c r="D425" t="s">
        <v>917</v>
      </c>
      <c r="E425" t="s">
        <v>1221</v>
      </c>
      <c r="F425">
        <v>186040</v>
      </c>
      <c r="G425" s="1">
        <v>45812</v>
      </c>
      <c r="H425" s="2">
        <v>45814.018483796295</v>
      </c>
      <c r="I425" s="2">
        <v>45967.494675925926</v>
      </c>
      <c r="J425">
        <v>0</v>
      </c>
      <c r="K425">
        <v>1166358</v>
      </c>
      <c r="L425">
        <v>221608</v>
      </c>
      <c r="O425">
        <v>1387966</v>
      </c>
      <c r="T425">
        <v>0</v>
      </c>
      <c r="X425">
        <v>0</v>
      </c>
      <c r="AC425" t="s">
        <v>1524</v>
      </c>
      <c r="AD425" t="s">
        <v>871</v>
      </c>
      <c r="AE425">
        <v>2025</v>
      </c>
      <c r="AF425">
        <v>6</v>
      </c>
      <c r="AG425" t="s">
        <v>872</v>
      </c>
    </row>
    <row r="426" spans="1:33">
      <c r="A426">
        <v>5</v>
      </c>
      <c r="B426">
        <v>33</v>
      </c>
      <c r="C426" t="s">
        <v>74</v>
      </c>
      <c r="D426" t="s">
        <v>1279</v>
      </c>
      <c r="E426" t="s">
        <v>1280</v>
      </c>
      <c r="F426">
        <v>519673</v>
      </c>
      <c r="G426" s="1">
        <v>45817</v>
      </c>
      <c r="H426" s="2">
        <v>45906.536053240743</v>
      </c>
      <c r="I426" s="2"/>
      <c r="J426">
        <v>0</v>
      </c>
      <c r="K426">
        <v>350217</v>
      </c>
      <c r="L426">
        <v>66541</v>
      </c>
      <c r="O426">
        <v>416758</v>
      </c>
      <c r="T426">
        <v>0</v>
      </c>
      <c r="X426">
        <v>0</v>
      </c>
      <c r="AC426" t="s">
        <v>1524</v>
      </c>
      <c r="AD426" t="s">
        <v>871</v>
      </c>
      <c r="AE426">
        <v>2025</v>
      </c>
      <c r="AF426">
        <v>6</v>
      </c>
      <c r="AG426" t="s">
        <v>872</v>
      </c>
    </row>
    <row r="427" spans="1:33">
      <c r="A427">
        <v>6</v>
      </c>
      <c r="B427">
        <v>33</v>
      </c>
      <c r="C427" t="s">
        <v>74</v>
      </c>
      <c r="D427" t="s">
        <v>1279</v>
      </c>
      <c r="E427" t="s">
        <v>1280</v>
      </c>
      <c r="F427">
        <v>519675</v>
      </c>
      <c r="G427" s="1">
        <v>45817</v>
      </c>
      <c r="H427" s="2">
        <v>45906.537326388891</v>
      </c>
      <c r="I427" s="2"/>
      <c r="J427">
        <v>0</v>
      </c>
      <c r="K427">
        <v>417458</v>
      </c>
      <c r="L427">
        <v>79317</v>
      </c>
      <c r="O427">
        <v>496775</v>
      </c>
      <c r="T427">
        <v>0</v>
      </c>
      <c r="X427">
        <v>0</v>
      </c>
      <c r="AC427" t="s">
        <v>1524</v>
      </c>
      <c r="AD427" t="s">
        <v>871</v>
      </c>
      <c r="AE427">
        <v>2025</v>
      </c>
      <c r="AF427">
        <v>6</v>
      </c>
      <c r="AG427" t="s">
        <v>872</v>
      </c>
    </row>
    <row r="428" spans="1:33">
      <c r="A428">
        <v>7</v>
      </c>
      <c r="B428">
        <v>33</v>
      </c>
      <c r="C428" t="s">
        <v>74</v>
      </c>
      <c r="D428" t="s">
        <v>1279</v>
      </c>
      <c r="E428" t="s">
        <v>1280</v>
      </c>
      <c r="F428">
        <v>519679</v>
      </c>
      <c r="G428" s="1">
        <v>45817</v>
      </c>
      <c r="H428" s="2">
        <v>45906.538483796299</v>
      </c>
      <c r="I428" s="2"/>
      <c r="J428">
        <v>0</v>
      </c>
      <c r="K428">
        <v>417458</v>
      </c>
      <c r="L428">
        <v>79317</v>
      </c>
      <c r="O428">
        <v>496775</v>
      </c>
      <c r="T428">
        <v>0</v>
      </c>
      <c r="X428">
        <v>0</v>
      </c>
      <c r="AC428" t="s">
        <v>1524</v>
      </c>
      <c r="AD428" t="s">
        <v>871</v>
      </c>
      <c r="AE428">
        <v>2025</v>
      </c>
      <c r="AF428">
        <v>6</v>
      </c>
      <c r="AG428" t="s">
        <v>872</v>
      </c>
    </row>
    <row r="429" spans="1:33">
      <c r="A429">
        <v>8</v>
      </c>
      <c r="B429">
        <v>33</v>
      </c>
      <c r="C429" t="s">
        <v>74</v>
      </c>
      <c r="D429" t="s">
        <v>1279</v>
      </c>
      <c r="E429" t="s">
        <v>1280</v>
      </c>
      <c r="F429">
        <v>519636</v>
      </c>
      <c r="G429" s="1">
        <v>45817</v>
      </c>
      <c r="H429" s="2">
        <v>45936.437986111108</v>
      </c>
      <c r="I429" s="2"/>
      <c r="J429">
        <v>0</v>
      </c>
      <c r="K429">
        <v>425863</v>
      </c>
      <c r="L429">
        <v>80914</v>
      </c>
      <c r="O429">
        <v>506777</v>
      </c>
      <c r="T429">
        <v>0</v>
      </c>
      <c r="X429">
        <v>0</v>
      </c>
      <c r="AC429" t="s">
        <v>1524</v>
      </c>
      <c r="AD429" t="s">
        <v>871</v>
      </c>
      <c r="AE429">
        <v>2025</v>
      </c>
      <c r="AF429">
        <v>6</v>
      </c>
      <c r="AG429" t="s">
        <v>872</v>
      </c>
    </row>
    <row r="430" spans="1:33">
      <c r="A430">
        <v>9</v>
      </c>
      <c r="B430">
        <v>33</v>
      </c>
      <c r="C430" t="s">
        <v>74</v>
      </c>
      <c r="D430" t="s">
        <v>1306</v>
      </c>
      <c r="E430" t="s">
        <v>1307</v>
      </c>
      <c r="F430">
        <v>83690</v>
      </c>
      <c r="G430" s="1">
        <v>45818</v>
      </c>
      <c r="H430" s="2">
        <v>45936.82744212963</v>
      </c>
      <c r="I430" s="2"/>
      <c r="J430">
        <v>0</v>
      </c>
      <c r="K430">
        <v>2214448</v>
      </c>
      <c r="L430">
        <v>420745</v>
      </c>
      <c r="O430">
        <v>2635193</v>
      </c>
      <c r="T430">
        <v>0</v>
      </c>
      <c r="X430">
        <v>0</v>
      </c>
      <c r="AC430" t="s">
        <v>1524</v>
      </c>
      <c r="AD430" t="s">
        <v>871</v>
      </c>
      <c r="AE430">
        <v>2025</v>
      </c>
      <c r="AF430">
        <v>6</v>
      </c>
      <c r="AG430" t="s">
        <v>872</v>
      </c>
    </row>
    <row r="431" spans="1:33">
      <c r="A431">
        <v>10</v>
      </c>
      <c r="B431">
        <v>33</v>
      </c>
      <c r="C431" t="s">
        <v>74</v>
      </c>
      <c r="D431" t="s">
        <v>1246</v>
      </c>
      <c r="E431" t="s">
        <v>1247</v>
      </c>
      <c r="F431">
        <v>73441</v>
      </c>
      <c r="G431" s="1">
        <v>45819</v>
      </c>
      <c r="H431" s="2">
        <v>45967.711192129631</v>
      </c>
      <c r="I431" s="2"/>
      <c r="J431">
        <v>0</v>
      </c>
      <c r="K431">
        <v>150453</v>
      </c>
      <c r="L431">
        <v>28586</v>
      </c>
      <c r="O431">
        <v>179039</v>
      </c>
      <c r="T431">
        <v>0</v>
      </c>
      <c r="X431">
        <v>0</v>
      </c>
      <c r="AC431" t="s">
        <v>1524</v>
      </c>
      <c r="AD431" t="s">
        <v>871</v>
      </c>
      <c r="AE431">
        <v>2025</v>
      </c>
      <c r="AF431">
        <v>6</v>
      </c>
      <c r="AG431" t="s">
        <v>872</v>
      </c>
    </row>
    <row r="432" spans="1:33">
      <c r="A432">
        <v>11</v>
      </c>
      <c r="B432">
        <v>33</v>
      </c>
      <c r="C432" t="s">
        <v>74</v>
      </c>
      <c r="D432" t="s">
        <v>1246</v>
      </c>
      <c r="E432" t="s">
        <v>1247</v>
      </c>
      <c r="F432">
        <v>73442</v>
      </c>
      <c r="G432" s="1">
        <v>45819</v>
      </c>
      <c r="H432" s="2">
        <v>45967.711192129631</v>
      </c>
      <c r="J432">
        <v>0</v>
      </c>
      <c r="K432">
        <v>150453</v>
      </c>
      <c r="L432">
        <v>28586</v>
      </c>
      <c r="O432">
        <v>179039</v>
      </c>
      <c r="T432">
        <v>0</v>
      </c>
      <c r="X432">
        <v>0</v>
      </c>
      <c r="AC432" t="s">
        <v>1524</v>
      </c>
      <c r="AD432" t="s">
        <v>871</v>
      </c>
      <c r="AE432">
        <v>2025</v>
      </c>
      <c r="AF432">
        <v>6</v>
      </c>
      <c r="AG432" t="s">
        <v>872</v>
      </c>
    </row>
    <row r="433" spans="1:33">
      <c r="A433">
        <v>12</v>
      </c>
      <c r="B433">
        <v>33</v>
      </c>
      <c r="C433" t="s">
        <v>74</v>
      </c>
      <c r="D433" t="s">
        <v>1222</v>
      </c>
      <c r="E433" t="s">
        <v>1223</v>
      </c>
      <c r="F433">
        <v>3629182</v>
      </c>
      <c r="G433" s="1">
        <v>45820</v>
      </c>
      <c r="H433" s="2">
        <v>45997.437847222223</v>
      </c>
      <c r="I433" s="2"/>
      <c r="J433">
        <v>0</v>
      </c>
      <c r="K433">
        <v>3457706</v>
      </c>
      <c r="L433">
        <v>656964</v>
      </c>
      <c r="O433">
        <v>4114670</v>
      </c>
      <c r="T433">
        <v>0</v>
      </c>
      <c r="X433">
        <v>0</v>
      </c>
      <c r="AC433" t="s">
        <v>1524</v>
      </c>
      <c r="AD433" t="s">
        <v>871</v>
      </c>
      <c r="AE433">
        <v>2025</v>
      </c>
      <c r="AF433">
        <v>6</v>
      </c>
      <c r="AG433" t="s">
        <v>872</v>
      </c>
    </row>
    <row r="434" spans="1:33">
      <c r="A434">
        <v>13</v>
      </c>
      <c r="B434">
        <v>33</v>
      </c>
      <c r="C434" t="s">
        <v>74</v>
      </c>
      <c r="D434" t="s">
        <v>1222</v>
      </c>
      <c r="E434" t="s">
        <v>1223</v>
      </c>
      <c r="F434">
        <v>3629181</v>
      </c>
      <c r="G434" s="1">
        <v>45820</v>
      </c>
      <c r="H434" s="2">
        <v>45997.437835648147</v>
      </c>
      <c r="I434" s="2"/>
      <c r="J434">
        <v>0</v>
      </c>
      <c r="K434">
        <v>26280947</v>
      </c>
      <c r="L434">
        <v>4993380</v>
      </c>
      <c r="O434">
        <v>31274327</v>
      </c>
      <c r="T434">
        <v>0</v>
      </c>
      <c r="X434">
        <v>0</v>
      </c>
      <c r="AC434" t="s">
        <v>1524</v>
      </c>
      <c r="AD434" t="s">
        <v>871</v>
      </c>
      <c r="AE434">
        <v>2025</v>
      </c>
      <c r="AF434">
        <v>6</v>
      </c>
      <c r="AG434" t="s">
        <v>872</v>
      </c>
    </row>
    <row r="435" spans="1:33">
      <c r="A435">
        <v>14</v>
      </c>
      <c r="B435">
        <v>33</v>
      </c>
      <c r="C435" t="s">
        <v>74</v>
      </c>
      <c r="D435" t="s">
        <v>1246</v>
      </c>
      <c r="E435" t="s">
        <v>1247</v>
      </c>
      <c r="F435">
        <v>73475</v>
      </c>
      <c r="G435" s="1" t="s">
        <v>1526</v>
      </c>
      <c r="H435" s="2" t="s">
        <v>1519</v>
      </c>
      <c r="J435">
        <v>0</v>
      </c>
      <c r="K435">
        <v>150453</v>
      </c>
      <c r="L435">
        <v>28586</v>
      </c>
      <c r="O435">
        <v>179039</v>
      </c>
      <c r="T435">
        <v>0</v>
      </c>
      <c r="X435">
        <v>0</v>
      </c>
      <c r="AC435" t="s">
        <v>1524</v>
      </c>
      <c r="AD435" t="s">
        <v>871</v>
      </c>
      <c r="AE435">
        <v>2025</v>
      </c>
      <c r="AF435">
        <v>6</v>
      </c>
      <c r="AG435" t="s">
        <v>872</v>
      </c>
    </row>
    <row r="436" spans="1:33">
      <c r="A436">
        <v>15</v>
      </c>
      <c r="B436">
        <v>33</v>
      </c>
      <c r="C436" t="s">
        <v>74</v>
      </c>
      <c r="D436" t="s">
        <v>1236</v>
      </c>
      <c r="E436" t="s">
        <v>1237</v>
      </c>
      <c r="F436">
        <v>134926</v>
      </c>
      <c r="G436" t="s">
        <v>1526</v>
      </c>
      <c r="H436" s="2" t="s">
        <v>1520</v>
      </c>
      <c r="I436" s="2"/>
      <c r="J436">
        <v>0</v>
      </c>
      <c r="K436">
        <v>117576</v>
      </c>
      <c r="L436">
        <v>22339</v>
      </c>
      <c r="O436">
        <v>139915</v>
      </c>
      <c r="T436">
        <v>0</v>
      </c>
      <c r="X436">
        <v>0</v>
      </c>
      <c r="AC436" t="s">
        <v>1524</v>
      </c>
      <c r="AD436" t="s">
        <v>871</v>
      </c>
      <c r="AE436">
        <v>2025</v>
      </c>
      <c r="AF436">
        <v>6</v>
      </c>
      <c r="AG436" t="s">
        <v>872</v>
      </c>
    </row>
    <row r="437" spans="1:33">
      <c r="A437">
        <v>16</v>
      </c>
      <c r="B437">
        <v>33</v>
      </c>
      <c r="C437" t="s">
        <v>74</v>
      </c>
      <c r="D437" t="s">
        <v>1222</v>
      </c>
      <c r="E437" t="s">
        <v>1223</v>
      </c>
      <c r="F437">
        <v>3636502</v>
      </c>
      <c r="G437" s="1" t="s">
        <v>1527</v>
      </c>
      <c r="H437" s="2" t="s">
        <v>1521</v>
      </c>
      <c r="I437" s="2"/>
      <c r="J437">
        <v>0</v>
      </c>
      <c r="K437">
        <v>7681880</v>
      </c>
      <c r="L437">
        <v>1459557</v>
      </c>
      <c r="O437">
        <v>9141438</v>
      </c>
      <c r="T437">
        <v>0</v>
      </c>
      <c r="X437">
        <v>0</v>
      </c>
      <c r="AC437" t="s">
        <v>1524</v>
      </c>
      <c r="AD437" t="s">
        <v>871</v>
      </c>
      <c r="AE437">
        <v>2025</v>
      </c>
      <c r="AF437">
        <v>6</v>
      </c>
      <c r="AG437" t="s">
        <v>872</v>
      </c>
    </row>
    <row r="438" spans="1:33">
      <c r="A438">
        <v>17</v>
      </c>
      <c r="B438">
        <v>33</v>
      </c>
      <c r="C438" t="s">
        <v>74</v>
      </c>
      <c r="D438" t="s">
        <v>873</v>
      </c>
      <c r="E438" t="s">
        <v>874</v>
      </c>
      <c r="F438">
        <v>52067208</v>
      </c>
      <c r="G438" s="1" t="s">
        <v>1528</v>
      </c>
      <c r="H438" s="2" t="s">
        <v>1522</v>
      </c>
      <c r="J438">
        <v>0</v>
      </c>
      <c r="K438">
        <v>30163</v>
      </c>
      <c r="L438">
        <v>5732</v>
      </c>
      <c r="O438">
        <v>35895</v>
      </c>
      <c r="T438">
        <v>0</v>
      </c>
      <c r="X438">
        <v>0</v>
      </c>
      <c r="AC438" t="s">
        <v>1524</v>
      </c>
      <c r="AD438" t="s">
        <v>871</v>
      </c>
      <c r="AE438">
        <v>2025</v>
      </c>
      <c r="AF438">
        <v>6</v>
      </c>
      <c r="AG438" t="s">
        <v>872</v>
      </c>
    </row>
    <row r="439" spans="1:33">
      <c r="A439">
        <v>18</v>
      </c>
      <c r="B439">
        <v>33</v>
      </c>
      <c r="C439" t="s">
        <v>74</v>
      </c>
      <c r="D439" t="s">
        <v>873</v>
      </c>
      <c r="E439" t="s">
        <v>874</v>
      </c>
      <c r="F439">
        <v>52224754</v>
      </c>
      <c r="G439" s="1" t="s">
        <v>1529</v>
      </c>
      <c r="H439" s="2" t="s">
        <v>1523</v>
      </c>
      <c r="I439" s="2"/>
      <c r="J439">
        <v>0</v>
      </c>
      <c r="K439">
        <v>76315</v>
      </c>
      <c r="L439">
        <v>14499</v>
      </c>
      <c r="O439">
        <v>90814</v>
      </c>
      <c r="T439">
        <v>0</v>
      </c>
      <c r="X439">
        <v>0</v>
      </c>
      <c r="AC439" t="s">
        <v>1524</v>
      </c>
      <c r="AD439" t="s">
        <v>871</v>
      </c>
      <c r="AE439">
        <v>2025</v>
      </c>
      <c r="AF439">
        <v>6</v>
      </c>
      <c r="AG439" t="s">
        <v>872</v>
      </c>
    </row>
    <row r="440" spans="1:33">
      <c r="A440">
        <v>19</v>
      </c>
      <c r="B440">
        <v>34</v>
      </c>
      <c r="C440" t="s">
        <v>74</v>
      </c>
      <c r="D440" t="s">
        <v>107</v>
      </c>
      <c r="E440" t="s">
        <v>887</v>
      </c>
      <c r="F440">
        <v>4857</v>
      </c>
      <c r="G440" s="1">
        <v>45809</v>
      </c>
      <c r="H440" s="2">
        <v>45694.670613425929</v>
      </c>
      <c r="I440" s="2"/>
      <c r="J440">
        <v>2547479</v>
      </c>
      <c r="K440">
        <v>0</v>
      </c>
      <c r="L440">
        <v>0</v>
      </c>
      <c r="O440">
        <v>2547479</v>
      </c>
      <c r="T440">
        <v>0</v>
      </c>
      <c r="X440">
        <v>0</v>
      </c>
      <c r="AC440" t="s">
        <v>1524</v>
      </c>
      <c r="AD440" t="s">
        <v>871</v>
      </c>
      <c r="AE440">
        <v>2025</v>
      </c>
      <c r="AF440">
        <v>6</v>
      </c>
      <c r="AG440" t="s">
        <v>880</v>
      </c>
    </row>
    <row r="441" spans="1:33">
      <c r="A441">
        <v>20</v>
      </c>
      <c r="B441">
        <v>914</v>
      </c>
      <c r="C441" t="s">
        <v>74</v>
      </c>
      <c r="D441" t="s">
        <v>844</v>
      </c>
      <c r="E441" t="s">
        <v>1452</v>
      </c>
      <c r="F441">
        <v>3670098871</v>
      </c>
      <c r="G441" s="1">
        <v>45812</v>
      </c>
      <c r="H441" s="2">
        <v>45754.468460648146</v>
      </c>
      <c r="J441">
        <v>0</v>
      </c>
      <c r="K441">
        <v>33446337</v>
      </c>
      <c r="L441">
        <v>6354804</v>
      </c>
      <c r="O441">
        <v>39801141</v>
      </c>
      <c r="X441">
        <v>0</v>
      </c>
      <c r="AC441" t="s">
        <v>1524</v>
      </c>
      <c r="AD441" t="s">
        <v>871</v>
      </c>
      <c r="AE441">
        <v>2025</v>
      </c>
      <c r="AF441">
        <v>6</v>
      </c>
      <c r="AG441" t="s">
        <v>1142</v>
      </c>
    </row>
    <row r="442" spans="1:33">
      <c r="A442">
        <v>21</v>
      </c>
      <c r="B442">
        <v>914</v>
      </c>
      <c r="C442" t="s">
        <v>74</v>
      </c>
      <c r="D442" t="s">
        <v>844</v>
      </c>
      <c r="E442" t="s">
        <v>1452</v>
      </c>
      <c r="F442">
        <v>3670098779</v>
      </c>
      <c r="G442" s="1">
        <v>45812</v>
      </c>
      <c r="H442" s="2">
        <v>45754.469074074077</v>
      </c>
      <c r="I442" s="2"/>
      <c r="J442">
        <v>0</v>
      </c>
      <c r="K442">
        <v>28615737</v>
      </c>
      <c r="L442">
        <v>5436990</v>
      </c>
      <c r="O442">
        <v>34052727</v>
      </c>
      <c r="X442">
        <v>0</v>
      </c>
      <c r="AC442" t="s">
        <v>1524</v>
      </c>
      <c r="AD442" t="s">
        <v>871</v>
      </c>
      <c r="AE442">
        <v>2025</v>
      </c>
      <c r="AF442">
        <v>6</v>
      </c>
      <c r="AG442" t="s">
        <v>1142</v>
      </c>
    </row>
    <row r="443" spans="1:33">
      <c r="A443">
        <v>22</v>
      </c>
      <c r="B443">
        <v>914</v>
      </c>
      <c r="C443" t="s">
        <v>74</v>
      </c>
      <c r="D443" t="s">
        <v>844</v>
      </c>
      <c r="E443" t="s">
        <v>1452</v>
      </c>
      <c r="F443">
        <v>3670098891</v>
      </c>
      <c r="G443" s="1">
        <v>45812</v>
      </c>
      <c r="H443" s="2">
        <v>45754.469733796293</v>
      </c>
      <c r="I443" s="2"/>
      <c r="J443">
        <v>0</v>
      </c>
      <c r="K443">
        <v>36557689</v>
      </c>
      <c r="L443">
        <v>6945961</v>
      </c>
      <c r="O443">
        <v>43503650</v>
      </c>
      <c r="X443">
        <v>0</v>
      </c>
      <c r="AC443" t="s">
        <v>1524</v>
      </c>
      <c r="AD443" t="s">
        <v>871</v>
      </c>
      <c r="AE443">
        <v>2025</v>
      </c>
      <c r="AF443">
        <v>6</v>
      </c>
      <c r="AG443" t="s">
        <v>1142</v>
      </c>
    </row>
    <row r="444" spans="1:33">
      <c r="A444">
        <v>1</v>
      </c>
      <c r="B444">
        <v>33</v>
      </c>
      <c r="C444" t="s">
        <v>74</v>
      </c>
      <c r="D444" t="s">
        <v>1258</v>
      </c>
      <c r="E444" t="s">
        <v>1467</v>
      </c>
      <c r="F444">
        <v>13612</v>
      </c>
      <c r="G444" t="s">
        <v>1543</v>
      </c>
      <c r="H444" s="2">
        <v>45664.435069444444</v>
      </c>
      <c r="I444" s="2"/>
      <c r="J444">
        <v>0</v>
      </c>
      <c r="K444">
        <v>822872</v>
      </c>
      <c r="L444">
        <v>156346</v>
      </c>
      <c r="O444">
        <v>979218</v>
      </c>
      <c r="T444">
        <v>0</v>
      </c>
      <c r="X444">
        <v>0</v>
      </c>
      <c r="AC444" t="s">
        <v>1542</v>
      </c>
      <c r="AD444" t="s">
        <v>871</v>
      </c>
      <c r="AE444">
        <v>2025</v>
      </c>
      <c r="AF444">
        <v>7</v>
      </c>
      <c r="AG444" t="s">
        <v>872</v>
      </c>
    </row>
    <row r="445" spans="1:33">
      <c r="A445">
        <v>2</v>
      </c>
      <c r="B445">
        <v>33</v>
      </c>
      <c r="C445" t="s">
        <v>74</v>
      </c>
      <c r="D445" t="s">
        <v>109</v>
      </c>
      <c r="E445" t="s">
        <v>1379</v>
      </c>
      <c r="F445">
        <v>4645</v>
      </c>
      <c r="G445" s="1">
        <v>45839</v>
      </c>
      <c r="H445" s="2">
        <v>45664.581990740742</v>
      </c>
      <c r="I445" s="2"/>
      <c r="J445">
        <v>0</v>
      </c>
      <c r="K445">
        <v>589045</v>
      </c>
      <c r="L445">
        <v>111919</v>
      </c>
      <c r="O445">
        <v>700964</v>
      </c>
      <c r="T445">
        <v>0</v>
      </c>
      <c r="X445">
        <v>0</v>
      </c>
      <c r="AC445" t="s">
        <v>1542</v>
      </c>
      <c r="AD445" t="s">
        <v>871</v>
      </c>
      <c r="AE445">
        <v>2025</v>
      </c>
      <c r="AF445">
        <v>7</v>
      </c>
      <c r="AG445" t="s">
        <v>872</v>
      </c>
    </row>
    <row r="446" spans="1:33">
      <c r="A446">
        <v>3</v>
      </c>
      <c r="B446">
        <v>33</v>
      </c>
      <c r="C446" t="s">
        <v>74</v>
      </c>
      <c r="D446" t="s">
        <v>1219</v>
      </c>
      <c r="E446" t="s">
        <v>1220</v>
      </c>
      <c r="F446">
        <v>588066</v>
      </c>
      <c r="G446" s="1">
        <v>45840</v>
      </c>
      <c r="H446" s="2">
        <v>45695.528136574074</v>
      </c>
      <c r="J446">
        <v>0</v>
      </c>
      <c r="K446">
        <v>631862</v>
      </c>
      <c r="L446">
        <v>120054</v>
      </c>
      <c r="O446">
        <v>751916</v>
      </c>
      <c r="T446">
        <v>0</v>
      </c>
      <c r="X446">
        <v>0</v>
      </c>
      <c r="AC446" t="s">
        <v>1542</v>
      </c>
      <c r="AD446" t="s">
        <v>871</v>
      </c>
      <c r="AE446">
        <v>2025</v>
      </c>
      <c r="AF446">
        <v>7</v>
      </c>
      <c r="AG446" t="s">
        <v>872</v>
      </c>
    </row>
    <row r="447" spans="1:33">
      <c r="A447">
        <v>4</v>
      </c>
      <c r="B447">
        <v>33</v>
      </c>
      <c r="C447" t="s">
        <v>74</v>
      </c>
      <c r="D447" t="s">
        <v>1212</v>
      </c>
      <c r="E447" t="s">
        <v>1213</v>
      </c>
      <c r="F447">
        <v>2448704</v>
      </c>
      <c r="G447" s="1" t="s">
        <v>1543</v>
      </c>
      <c r="H447" s="2">
        <v>45695.939675925925</v>
      </c>
      <c r="J447">
        <v>0</v>
      </c>
      <c r="K447">
        <v>1914082</v>
      </c>
      <c r="L447">
        <v>363676</v>
      </c>
      <c r="O447">
        <v>2277758</v>
      </c>
      <c r="T447">
        <v>0</v>
      </c>
      <c r="X447">
        <v>0</v>
      </c>
      <c r="AC447" t="s">
        <v>1542</v>
      </c>
      <c r="AD447" t="s">
        <v>871</v>
      </c>
      <c r="AE447">
        <v>2025</v>
      </c>
      <c r="AF447">
        <v>7</v>
      </c>
      <c r="AG447" t="s">
        <v>872</v>
      </c>
    </row>
    <row r="448" spans="1:33">
      <c r="A448">
        <v>5</v>
      </c>
      <c r="B448">
        <v>33</v>
      </c>
      <c r="C448" t="s">
        <v>74</v>
      </c>
      <c r="D448" t="s">
        <v>917</v>
      </c>
      <c r="E448" t="s">
        <v>1221</v>
      </c>
      <c r="F448">
        <v>186877</v>
      </c>
      <c r="G448" s="1">
        <v>45841</v>
      </c>
      <c r="H448" s="2">
        <v>45784.937210648146</v>
      </c>
      <c r="I448" s="2"/>
      <c r="J448">
        <v>0</v>
      </c>
      <c r="K448">
        <v>1138808</v>
      </c>
      <c r="L448">
        <v>216374</v>
      </c>
      <c r="O448">
        <v>1355182</v>
      </c>
      <c r="T448">
        <v>0</v>
      </c>
      <c r="X448">
        <v>0</v>
      </c>
      <c r="AC448" t="s">
        <v>1542</v>
      </c>
      <c r="AD448" t="s">
        <v>871</v>
      </c>
      <c r="AE448">
        <v>2025</v>
      </c>
      <c r="AF448">
        <v>7</v>
      </c>
      <c r="AG448" t="s">
        <v>872</v>
      </c>
    </row>
    <row r="449" spans="1:33">
      <c r="A449">
        <v>6</v>
      </c>
      <c r="B449">
        <v>33</v>
      </c>
      <c r="C449" t="s">
        <v>74</v>
      </c>
      <c r="D449" t="s">
        <v>1279</v>
      </c>
      <c r="E449" t="s">
        <v>1280</v>
      </c>
      <c r="F449">
        <v>526177</v>
      </c>
      <c r="G449" s="1">
        <v>45846</v>
      </c>
      <c r="H449" s="2">
        <v>45876.679722222223</v>
      </c>
      <c r="J449">
        <v>0</v>
      </c>
      <c r="K449">
        <v>29149</v>
      </c>
      <c r="L449">
        <v>5538</v>
      </c>
      <c r="O449">
        <v>34687</v>
      </c>
      <c r="T449">
        <v>0</v>
      </c>
      <c r="X449">
        <v>0</v>
      </c>
      <c r="AC449" t="s">
        <v>1542</v>
      </c>
      <c r="AD449" t="s">
        <v>871</v>
      </c>
      <c r="AE449">
        <v>2025</v>
      </c>
      <c r="AF449">
        <v>7</v>
      </c>
      <c r="AG449" t="s">
        <v>872</v>
      </c>
    </row>
    <row r="450" spans="1:33">
      <c r="A450">
        <v>7</v>
      </c>
      <c r="B450">
        <v>33</v>
      </c>
      <c r="C450" t="s">
        <v>74</v>
      </c>
      <c r="D450" t="s">
        <v>1222</v>
      </c>
      <c r="E450" t="s">
        <v>1223</v>
      </c>
      <c r="F450">
        <v>3672677</v>
      </c>
      <c r="G450" s="1">
        <v>45846</v>
      </c>
      <c r="H450" s="2">
        <v>45876.815057870372</v>
      </c>
      <c r="I450" s="2"/>
      <c r="J450">
        <v>0</v>
      </c>
      <c r="K450">
        <v>2298219</v>
      </c>
      <c r="L450">
        <v>436662</v>
      </c>
      <c r="O450">
        <v>2734881</v>
      </c>
      <c r="T450">
        <v>0</v>
      </c>
      <c r="X450">
        <v>0</v>
      </c>
      <c r="AC450" t="s">
        <v>1542</v>
      </c>
      <c r="AD450" t="s">
        <v>871</v>
      </c>
      <c r="AE450">
        <v>2025</v>
      </c>
      <c r="AF450">
        <v>7</v>
      </c>
      <c r="AG450" t="s">
        <v>872</v>
      </c>
    </row>
    <row r="451" spans="1:33">
      <c r="A451">
        <v>8</v>
      </c>
      <c r="B451">
        <v>33</v>
      </c>
      <c r="C451" t="s">
        <v>74</v>
      </c>
      <c r="D451" t="s">
        <v>1222</v>
      </c>
      <c r="E451" t="s">
        <v>1223</v>
      </c>
      <c r="F451">
        <v>3672678</v>
      </c>
      <c r="G451" s="1">
        <v>45846</v>
      </c>
      <c r="H451" s="2">
        <v>45876.817754629628</v>
      </c>
      <c r="I451" s="2"/>
      <c r="J451">
        <v>0</v>
      </c>
      <c r="K451">
        <v>24606533</v>
      </c>
      <c r="L451">
        <v>4675241</v>
      </c>
      <c r="O451">
        <v>29281774</v>
      </c>
      <c r="T451">
        <v>0</v>
      </c>
      <c r="X451">
        <v>0</v>
      </c>
      <c r="AC451" t="s">
        <v>1542</v>
      </c>
      <c r="AD451" t="s">
        <v>871</v>
      </c>
      <c r="AE451">
        <v>2025</v>
      </c>
      <c r="AF451">
        <v>7</v>
      </c>
      <c r="AG451" t="s">
        <v>872</v>
      </c>
    </row>
    <row r="452" spans="1:33">
      <c r="A452">
        <v>9</v>
      </c>
      <c r="B452">
        <v>33</v>
      </c>
      <c r="C452" t="s">
        <v>74</v>
      </c>
      <c r="D452" t="s">
        <v>1246</v>
      </c>
      <c r="E452" t="s">
        <v>1247</v>
      </c>
      <c r="F452">
        <v>73842</v>
      </c>
      <c r="G452" s="1">
        <v>45848</v>
      </c>
      <c r="H452" s="2">
        <v>45937.503136574072</v>
      </c>
      <c r="I452" s="2"/>
      <c r="J452">
        <v>0</v>
      </c>
      <c r="K452">
        <v>249570</v>
      </c>
      <c r="L452">
        <v>47418</v>
      </c>
      <c r="O452">
        <v>296988</v>
      </c>
      <c r="T452">
        <v>0</v>
      </c>
      <c r="X452">
        <v>0</v>
      </c>
      <c r="AC452" t="s">
        <v>1542</v>
      </c>
      <c r="AD452" t="s">
        <v>871</v>
      </c>
      <c r="AE452">
        <v>2025</v>
      </c>
      <c r="AF452">
        <v>7</v>
      </c>
      <c r="AG452" t="s">
        <v>872</v>
      </c>
    </row>
    <row r="453" spans="1:33">
      <c r="A453">
        <v>10</v>
      </c>
      <c r="B453">
        <v>33</v>
      </c>
      <c r="C453" t="s">
        <v>74</v>
      </c>
      <c r="D453" t="s">
        <v>1306</v>
      </c>
      <c r="E453" t="s">
        <v>1307</v>
      </c>
      <c r="F453">
        <v>83914</v>
      </c>
      <c r="G453" s="1" t="s">
        <v>1544</v>
      </c>
      <c r="H453" s="2" t="s">
        <v>1530</v>
      </c>
      <c r="I453" s="2"/>
      <c r="J453">
        <v>0</v>
      </c>
      <c r="K453">
        <v>2177986</v>
      </c>
      <c r="L453">
        <v>413817</v>
      </c>
      <c r="O453">
        <v>2591803</v>
      </c>
      <c r="T453">
        <v>0</v>
      </c>
      <c r="X453">
        <v>0</v>
      </c>
      <c r="AC453" t="s">
        <v>1542</v>
      </c>
      <c r="AD453" t="s">
        <v>871</v>
      </c>
      <c r="AE453">
        <v>2025</v>
      </c>
      <c r="AF453">
        <v>7</v>
      </c>
      <c r="AG453" t="s">
        <v>872</v>
      </c>
    </row>
    <row r="454" spans="1:33">
      <c r="A454">
        <v>11</v>
      </c>
      <c r="B454">
        <v>33</v>
      </c>
      <c r="C454" t="s">
        <v>74</v>
      </c>
      <c r="D454" t="s">
        <v>1279</v>
      </c>
      <c r="E454" t="s">
        <v>1280</v>
      </c>
      <c r="F454">
        <v>527902</v>
      </c>
      <c r="G454" s="1" t="s">
        <v>1545</v>
      </c>
      <c r="H454" s="2" t="s">
        <v>1531</v>
      </c>
      <c r="J454">
        <v>0</v>
      </c>
      <c r="K454">
        <v>59968</v>
      </c>
      <c r="L454">
        <v>11394</v>
      </c>
      <c r="O454">
        <v>71362</v>
      </c>
      <c r="T454">
        <v>0</v>
      </c>
      <c r="X454">
        <v>0</v>
      </c>
      <c r="AC454" t="s">
        <v>1542</v>
      </c>
      <c r="AD454" t="s">
        <v>871</v>
      </c>
      <c r="AE454">
        <v>2025</v>
      </c>
      <c r="AF454">
        <v>7</v>
      </c>
      <c r="AG454" t="s">
        <v>872</v>
      </c>
    </row>
    <row r="455" spans="1:33">
      <c r="A455">
        <v>12</v>
      </c>
      <c r="B455">
        <v>33</v>
      </c>
      <c r="C455" t="s">
        <v>74</v>
      </c>
      <c r="D455" t="s">
        <v>1222</v>
      </c>
      <c r="E455" t="s">
        <v>1223</v>
      </c>
      <c r="F455">
        <v>3684545</v>
      </c>
      <c r="G455" s="1" t="s">
        <v>1545</v>
      </c>
      <c r="H455" s="2" t="s">
        <v>1532</v>
      </c>
      <c r="J455">
        <v>0</v>
      </c>
      <c r="K455">
        <v>10714062</v>
      </c>
      <c r="L455">
        <v>2035672</v>
      </c>
      <c r="O455">
        <v>12749734</v>
      </c>
      <c r="T455">
        <v>0</v>
      </c>
      <c r="X455">
        <v>0</v>
      </c>
      <c r="AC455" t="s">
        <v>1542</v>
      </c>
      <c r="AD455" t="s">
        <v>871</v>
      </c>
      <c r="AE455">
        <v>2025</v>
      </c>
      <c r="AF455">
        <v>7</v>
      </c>
      <c r="AG455" t="s">
        <v>872</v>
      </c>
    </row>
    <row r="456" spans="1:33">
      <c r="A456">
        <v>13</v>
      </c>
      <c r="B456">
        <v>33</v>
      </c>
      <c r="C456" t="s">
        <v>74</v>
      </c>
      <c r="D456" t="s">
        <v>1279</v>
      </c>
      <c r="E456" t="s">
        <v>1280</v>
      </c>
      <c r="F456">
        <v>528449</v>
      </c>
      <c r="G456" s="1" t="s">
        <v>1546</v>
      </c>
      <c r="H456" s="2" t="s">
        <v>1533</v>
      </c>
      <c r="J456">
        <v>0</v>
      </c>
      <c r="K456">
        <v>640975</v>
      </c>
      <c r="L456">
        <v>121785</v>
      </c>
      <c r="O456">
        <v>762760</v>
      </c>
      <c r="T456">
        <v>0</v>
      </c>
      <c r="X456">
        <v>0</v>
      </c>
      <c r="AC456" t="s">
        <v>1542</v>
      </c>
      <c r="AD456" t="s">
        <v>871</v>
      </c>
      <c r="AE456">
        <v>2025</v>
      </c>
      <c r="AF456">
        <v>7</v>
      </c>
      <c r="AG456" t="s">
        <v>872</v>
      </c>
    </row>
    <row r="457" spans="1:33">
      <c r="A457">
        <v>14</v>
      </c>
      <c r="B457">
        <v>33</v>
      </c>
      <c r="C457" t="s">
        <v>74</v>
      </c>
      <c r="D457" t="s">
        <v>1236</v>
      </c>
      <c r="E457" t="s">
        <v>1237</v>
      </c>
      <c r="F457">
        <v>135615</v>
      </c>
      <c r="G457" s="1" t="s">
        <v>1547</v>
      </c>
      <c r="H457" s="2" t="s">
        <v>1534</v>
      </c>
      <c r="I457" s="2"/>
      <c r="J457">
        <v>0</v>
      </c>
      <c r="K457">
        <v>117809</v>
      </c>
      <c r="L457">
        <v>22384</v>
      </c>
      <c r="O457">
        <v>140193</v>
      </c>
      <c r="T457">
        <v>0</v>
      </c>
      <c r="X457">
        <v>0</v>
      </c>
      <c r="AC457" t="s">
        <v>1542</v>
      </c>
      <c r="AD457" t="s">
        <v>871</v>
      </c>
      <c r="AE457">
        <v>2025</v>
      </c>
      <c r="AF457">
        <v>7</v>
      </c>
      <c r="AG457" t="s">
        <v>872</v>
      </c>
    </row>
    <row r="458" spans="1:33">
      <c r="A458">
        <v>15</v>
      </c>
      <c r="B458">
        <v>33</v>
      </c>
      <c r="C458" t="s">
        <v>74</v>
      </c>
      <c r="D458" t="s">
        <v>1246</v>
      </c>
      <c r="E458" t="s">
        <v>1247</v>
      </c>
      <c r="F458">
        <v>73958</v>
      </c>
      <c r="G458" s="1" t="s">
        <v>1548</v>
      </c>
      <c r="H458" s="2" t="s">
        <v>1535</v>
      </c>
      <c r="I458" s="2"/>
      <c r="J458">
        <v>0</v>
      </c>
      <c r="K458">
        <v>149498</v>
      </c>
      <c r="L458">
        <v>28405</v>
      </c>
      <c r="O458">
        <v>177903</v>
      </c>
      <c r="T458">
        <v>0</v>
      </c>
      <c r="X458">
        <v>0</v>
      </c>
      <c r="AC458" t="s">
        <v>1542</v>
      </c>
      <c r="AD458" t="s">
        <v>871</v>
      </c>
      <c r="AE458">
        <v>2025</v>
      </c>
      <c r="AF458">
        <v>7</v>
      </c>
      <c r="AG458" t="s">
        <v>872</v>
      </c>
    </row>
    <row r="459" spans="1:33">
      <c r="A459">
        <v>16</v>
      </c>
      <c r="B459">
        <v>33</v>
      </c>
      <c r="C459" t="s">
        <v>74</v>
      </c>
      <c r="D459" t="s">
        <v>1279</v>
      </c>
      <c r="E459" t="s">
        <v>1280</v>
      </c>
      <c r="F459">
        <v>530201</v>
      </c>
      <c r="G459" s="1" t="s">
        <v>1549</v>
      </c>
      <c r="H459" s="2" t="s">
        <v>1536</v>
      </c>
      <c r="J459">
        <v>0</v>
      </c>
      <c r="K459">
        <v>987418</v>
      </c>
      <c r="L459">
        <v>187609</v>
      </c>
      <c r="O459">
        <v>1175027</v>
      </c>
      <c r="T459">
        <v>0</v>
      </c>
      <c r="X459">
        <v>0</v>
      </c>
      <c r="AC459" t="s">
        <v>1542</v>
      </c>
      <c r="AD459" t="s">
        <v>871</v>
      </c>
      <c r="AE459">
        <v>2025</v>
      </c>
      <c r="AF459">
        <v>7</v>
      </c>
      <c r="AG459" t="s">
        <v>872</v>
      </c>
    </row>
    <row r="460" spans="1:33">
      <c r="A460">
        <v>17</v>
      </c>
      <c r="B460">
        <v>33</v>
      </c>
      <c r="C460" t="s">
        <v>74</v>
      </c>
      <c r="D460" t="s">
        <v>1246</v>
      </c>
      <c r="E460" t="s">
        <v>1247</v>
      </c>
      <c r="F460">
        <v>74011</v>
      </c>
      <c r="G460" s="1" t="s">
        <v>1550</v>
      </c>
      <c r="H460" s="2" t="s">
        <v>1537</v>
      </c>
      <c r="I460" s="2"/>
      <c r="J460">
        <v>0</v>
      </c>
      <c r="K460">
        <v>149498</v>
      </c>
      <c r="L460">
        <v>28405</v>
      </c>
      <c r="O460">
        <v>177903</v>
      </c>
      <c r="T460">
        <v>0</v>
      </c>
      <c r="X460">
        <v>0</v>
      </c>
      <c r="AC460" t="s">
        <v>1542</v>
      </c>
      <c r="AD460" t="s">
        <v>871</v>
      </c>
      <c r="AE460">
        <v>2025</v>
      </c>
      <c r="AF460">
        <v>7</v>
      </c>
      <c r="AG460" t="s">
        <v>872</v>
      </c>
    </row>
    <row r="461" spans="1:33">
      <c r="A461">
        <v>18</v>
      </c>
      <c r="B461">
        <v>33</v>
      </c>
      <c r="C461" t="s">
        <v>74</v>
      </c>
      <c r="D461" t="s">
        <v>873</v>
      </c>
      <c r="E461" t="s">
        <v>874</v>
      </c>
      <c r="F461">
        <v>52414448</v>
      </c>
      <c r="G461" t="s">
        <v>1550</v>
      </c>
      <c r="H461" t="s">
        <v>1538</v>
      </c>
      <c r="J461">
        <v>0</v>
      </c>
      <c r="K461">
        <v>30226</v>
      </c>
      <c r="L461">
        <v>5743</v>
      </c>
      <c r="O461">
        <v>35969</v>
      </c>
      <c r="T461">
        <v>0</v>
      </c>
      <c r="X461">
        <v>0</v>
      </c>
      <c r="AC461" t="s">
        <v>1542</v>
      </c>
      <c r="AD461" t="s">
        <v>871</v>
      </c>
      <c r="AE461">
        <v>2025</v>
      </c>
      <c r="AF461">
        <v>7</v>
      </c>
      <c r="AG461" t="s">
        <v>872</v>
      </c>
    </row>
    <row r="462" spans="1:33">
      <c r="A462">
        <v>19</v>
      </c>
      <c r="B462">
        <v>34</v>
      </c>
      <c r="C462" t="s">
        <v>74</v>
      </c>
      <c r="D462" t="s">
        <v>107</v>
      </c>
      <c r="E462" t="s">
        <v>887</v>
      </c>
      <c r="F462">
        <v>5069</v>
      </c>
      <c r="G462" s="1">
        <v>45839</v>
      </c>
      <c r="H462" s="2">
        <v>45695.712962962964</v>
      </c>
      <c r="J462">
        <v>2552529</v>
      </c>
      <c r="K462">
        <v>0</v>
      </c>
      <c r="L462">
        <v>0</v>
      </c>
      <c r="O462">
        <v>2552529</v>
      </c>
      <c r="T462">
        <v>0</v>
      </c>
      <c r="X462">
        <v>0</v>
      </c>
      <c r="AC462" t="s">
        <v>1542</v>
      </c>
      <c r="AD462" t="s">
        <v>871</v>
      </c>
      <c r="AE462">
        <v>2025</v>
      </c>
      <c r="AF462">
        <v>7</v>
      </c>
      <c r="AG462" t="s">
        <v>880</v>
      </c>
    </row>
    <row r="463" spans="1:33">
      <c r="A463">
        <v>20</v>
      </c>
      <c r="B463">
        <v>34</v>
      </c>
      <c r="C463" t="s">
        <v>74</v>
      </c>
      <c r="D463" t="s">
        <v>1539</v>
      </c>
      <c r="E463" t="s">
        <v>1540</v>
      </c>
      <c r="F463">
        <v>16099</v>
      </c>
      <c r="G463" s="1">
        <v>45847</v>
      </c>
      <c r="H463" s="2">
        <v>45907.486307870371</v>
      </c>
      <c r="J463">
        <v>982135</v>
      </c>
      <c r="K463">
        <v>0</v>
      </c>
      <c r="L463">
        <v>0</v>
      </c>
      <c r="O463">
        <v>982135</v>
      </c>
      <c r="T463">
        <v>0</v>
      </c>
      <c r="X463">
        <v>0</v>
      </c>
      <c r="AC463" t="s">
        <v>1542</v>
      </c>
      <c r="AD463" t="s">
        <v>871</v>
      </c>
      <c r="AE463">
        <v>2025</v>
      </c>
      <c r="AF463">
        <v>7</v>
      </c>
      <c r="AG463" t="s">
        <v>880</v>
      </c>
    </row>
    <row r="464" spans="1:33">
      <c r="A464">
        <v>21</v>
      </c>
      <c r="B464">
        <v>914</v>
      </c>
      <c r="C464" t="s">
        <v>74</v>
      </c>
      <c r="D464" t="s">
        <v>844</v>
      </c>
      <c r="E464" t="s">
        <v>1541</v>
      </c>
      <c r="F464">
        <v>3670099166</v>
      </c>
      <c r="G464" s="1">
        <v>45841</v>
      </c>
      <c r="H464" s="2">
        <v>45846.751250000001</v>
      </c>
      <c r="J464">
        <v>0</v>
      </c>
      <c r="K464">
        <v>101223147</v>
      </c>
      <c r="L464">
        <v>19232398</v>
      </c>
      <c r="O464">
        <v>120455545</v>
      </c>
      <c r="X464">
        <v>0</v>
      </c>
      <c r="AC464" t="s">
        <v>1542</v>
      </c>
      <c r="AD464" t="s">
        <v>871</v>
      </c>
      <c r="AE464">
        <v>2025</v>
      </c>
      <c r="AF464">
        <v>7</v>
      </c>
      <c r="AG464" t="s">
        <v>1142</v>
      </c>
    </row>
    <row r="465" spans="1:33">
      <c r="A465">
        <v>22</v>
      </c>
      <c r="B465">
        <v>914</v>
      </c>
      <c r="C465" t="s">
        <v>74</v>
      </c>
      <c r="D465" t="s">
        <v>844</v>
      </c>
      <c r="E465" t="s">
        <v>1541</v>
      </c>
      <c r="F465">
        <v>3670099380</v>
      </c>
      <c r="G465" s="1">
        <v>45848</v>
      </c>
      <c r="H465" s="2">
        <v>45846.752106481479</v>
      </c>
      <c r="J465">
        <v>0</v>
      </c>
      <c r="K465">
        <v>18789100</v>
      </c>
      <c r="L465">
        <v>3569929</v>
      </c>
      <c r="O465">
        <v>22359029</v>
      </c>
      <c r="X465">
        <v>0</v>
      </c>
      <c r="AC465" t="s">
        <v>1542</v>
      </c>
      <c r="AD465" t="s">
        <v>871</v>
      </c>
      <c r="AE465">
        <v>2025</v>
      </c>
      <c r="AF465">
        <v>7</v>
      </c>
      <c r="AG465" t="s">
        <v>1142</v>
      </c>
    </row>
    <row r="466" spans="1:33">
      <c r="A466">
        <v>23</v>
      </c>
      <c r="B466">
        <v>914</v>
      </c>
      <c r="C466" t="s">
        <v>74</v>
      </c>
      <c r="D466" t="s">
        <v>844</v>
      </c>
      <c r="E466" t="s">
        <v>1541</v>
      </c>
      <c r="F466">
        <v>3670099646</v>
      </c>
      <c r="G466" t="s">
        <v>1547</v>
      </c>
      <c r="H466" s="2">
        <v>45846.752858796295</v>
      </c>
      <c r="J466">
        <v>0</v>
      </c>
      <c r="K466">
        <v>45970937</v>
      </c>
      <c r="L466">
        <v>8734478</v>
      </c>
      <c r="O466">
        <v>54705415</v>
      </c>
      <c r="X466">
        <v>0</v>
      </c>
      <c r="AC466" t="s">
        <v>1542</v>
      </c>
      <c r="AD466" t="s">
        <v>871</v>
      </c>
      <c r="AE466">
        <v>2025</v>
      </c>
      <c r="AF466">
        <v>7</v>
      </c>
      <c r="AG466" t="s">
        <v>1142</v>
      </c>
    </row>
    <row r="527" spans="7:9">
      <c r="G527" s="1"/>
      <c r="H527" s="2"/>
      <c r="I527" s="2"/>
    </row>
    <row r="530" spans="7:8">
      <c r="G530" s="1"/>
      <c r="H530" s="2"/>
    </row>
    <row r="531" spans="7:8">
      <c r="G531" s="1"/>
      <c r="H531" s="2"/>
    </row>
    <row r="532" spans="7:8">
      <c r="H532" s="2"/>
    </row>
    <row r="533" spans="7:8">
      <c r="G533" s="1"/>
      <c r="H533" s="2"/>
    </row>
    <row r="534" spans="7:8">
      <c r="H534" s="2"/>
    </row>
    <row r="535" spans="7:8">
      <c r="G535" s="1"/>
      <c r="H535" s="2"/>
    </row>
    <row r="536" spans="7:8">
      <c r="G536" s="1"/>
      <c r="H536" s="2"/>
    </row>
    <row r="537" spans="7:8">
      <c r="G537" s="1"/>
      <c r="H537" s="2"/>
    </row>
    <row r="538" spans="7:8">
      <c r="G538" s="1"/>
    </row>
    <row r="543" spans="7:8">
      <c r="G543" s="1"/>
    </row>
    <row r="549" spans="8:9">
      <c r="H549" s="2"/>
    </row>
    <row r="551" spans="8:9">
      <c r="H551" s="2"/>
    </row>
    <row r="552" spans="8:9">
      <c r="H552" s="2"/>
    </row>
    <row r="553" spans="8:9">
      <c r="H553" s="2"/>
    </row>
    <row r="554" spans="8:9">
      <c r="H554" s="2"/>
    </row>
    <row r="555" spans="8:9">
      <c r="H555" s="2"/>
    </row>
    <row r="556" spans="8:9">
      <c r="H556" s="2"/>
    </row>
    <row r="557" spans="8:9">
      <c r="H557" s="2"/>
    </row>
    <row r="558" spans="8:9">
      <c r="H558" s="2"/>
    </row>
    <row r="559" spans="8:9">
      <c r="H559" s="2"/>
      <c r="I559" s="2"/>
    </row>
    <row r="560" spans="8:9">
      <c r="H560" s="2"/>
      <c r="I560" s="2"/>
    </row>
    <row r="561" spans="7:9">
      <c r="H561" s="2"/>
      <c r="I561" s="2"/>
    </row>
    <row r="562" spans="7:9">
      <c r="G562" s="1"/>
      <c r="H562" s="2"/>
      <c r="I562" s="2"/>
    </row>
    <row r="563" spans="7:9">
      <c r="G563" s="1"/>
      <c r="H563" s="2"/>
      <c r="I563" s="2"/>
    </row>
    <row r="564" spans="7:9">
      <c r="G564" s="1"/>
      <c r="H564" s="2"/>
      <c r="I564" s="2"/>
    </row>
    <row r="565" spans="7:9">
      <c r="H565" s="2"/>
    </row>
    <row r="566" spans="7:9">
      <c r="G566" s="1"/>
      <c r="H566" s="2"/>
      <c r="I566" s="2"/>
    </row>
    <row r="567" spans="7:9">
      <c r="G567" s="1"/>
      <c r="H567" s="2"/>
      <c r="I567" s="2"/>
    </row>
    <row r="568" spans="7:9">
      <c r="G568" s="1"/>
      <c r="H568" s="2"/>
      <c r="I568" s="2"/>
    </row>
    <row r="569" spans="7:9">
      <c r="H569" s="2"/>
      <c r="I569" s="2"/>
    </row>
    <row r="570" spans="7:9">
      <c r="H570" s="2"/>
    </row>
    <row r="571" spans="7:9">
      <c r="G571" s="1"/>
      <c r="H571" s="2"/>
      <c r="I571" s="2"/>
    </row>
    <row r="572" spans="7:9">
      <c r="H572" s="2"/>
    </row>
    <row r="573" spans="7:9">
      <c r="G573" s="1"/>
      <c r="H573" s="2"/>
      <c r="I573" s="2"/>
    </row>
    <row r="574" spans="7:9">
      <c r="G574" s="1"/>
      <c r="H574" s="2"/>
      <c r="I574" s="2"/>
    </row>
    <row r="575" spans="7:9">
      <c r="G575" s="1"/>
      <c r="H575" s="2"/>
      <c r="I575" s="2"/>
    </row>
    <row r="576" spans="7:9">
      <c r="G576" s="1"/>
      <c r="H576" s="2"/>
      <c r="I576" s="2"/>
    </row>
    <row r="577" spans="7:9">
      <c r="G577" s="1"/>
      <c r="H577" s="2"/>
      <c r="I577" s="2"/>
    </row>
    <row r="578" spans="7:9">
      <c r="G578" s="1"/>
      <c r="H578" s="2"/>
      <c r="I578" s="2"/>
    </row>
    <row r="579" spans="7:9">
      <c r="G579" s="1"/>
      <c r="H579" s="2"/>
    </row>
    <row r="580" spans="7:9">
      <c r="G580" s="1"/>
      <c r="H580" s="2"/>
      <c r="I580" s="2"/>
    </row>
    <row r="581" spans="7:9">
      <c r="G581" s="1"/>
      <c r="H581" s="2"/>
    </row>
    <row r="582" spans="7:9">
      <c r="G582" s="1"/>
      <c r="H582" s="2"/>
      <c r="I582" s="2"/>
    </row>
    <row r="583" spans="7:9">
      <c r="G583" s="1"/>
      <c r="H583" s="2"/>
      <c r="I583" s="2"/>
    </row>
    <row r="584" spans="7:9">
      <c r="H584" s="2"/>
    </row>
    <row r="585" spans="7:9">
      <c r="G585" s="1"/>
      <c r="H585" s="2"/>
      <c r="I585" s="2"/>
    </row>
    <row r="586" spans="7:9">
      <c r="H586" s="2"/>
      <c r="I586" s="2"/>
    </row>
    <row r="587" spans="7:9">
      <c r="H587" s="2"/>
      <c r="I587" s="2"/>
    </row>
    <row r="588" spans="7:9">
      <c r="H588" s="2"/>
      <c r="I588" s="2"/>
    </row>
    <row r="589" spans="7:9">
      <c r="G589" s="1"/>
      <c r="H589" s="2"/>
      <c r="I589" s="2"/>
    </row>
    <row r="590" spans="7:9">
      <c r="G590" s="1"/>
      <c r="H590" s="2"/>
      <c r="I590" s="2"/>
    </row>
    <row r="591" spans="7:9">
      <c r="G591" s="1"/>
      <c r="H591" s="2"/>
    </row>
    <row r="592" spans="7:9">
      <c r="G592" s="1"/>
      <c r="H592" s="2"/>
    </row>
    <row r="593" spans="7:8">
      <c r="G593" s="1"/>
      <c r="H593" s="2"/>
    </row>
    <row r="594" spans="7:8">
      <c r="G594" s="1"/>
      <c r="H594" s="2"/>
    </row>
    <row r="595" spans="7:8">
      <c r="G595" s="1"/>
      <c r="H595" s="2"/>
    </row>
    <row r="596" spans="7:8">
      <c r="G596" s="1"/>
      <c r="H596" s="2"/>
    </row>
    <row r="597" spans="7:8">
      <c r="G597" s="1"/>
      <c r="H597" s="2"/>
    </row>
    <row r="598" spans="7:8">
      <c r="G598" s="1"/>
      <c r="H598" s="2"/>
    </row>
    <row r="599" spans="7:8">
      <c r="G599" s="1"/>
      <c r="H599" s="2"/>
    </row>
    <row r="600" spans="7:8">
      <c r="G600" s="1"/>
      <c r="H600" s="2"/>
    </row>
    <row r="601" spans="7:8">
      <c r="G601" s="1"/>
      <c r="H601" s="2"/>
    </row>
    <row r="603" spans="7:8">
      <c r="G603" s="1"/>
    </row>
    <row r="607" spans="7:8">
      <c r="G607" s="1"/>
    </row>
    <row r="608" spans="7:8">
      <c r="G608" s="1"/>
    </row>
    <row r="664" spans="7:9">
      <c r="H664" s="2"/>
    </row>
    <row r="665" spans="7:9">
      <c r="G665" s="1"/>
      <c r="H665" s="2"/>
      <c r="I665" s="2"/>
    </row>
    <row r="666" spans="7:9">
      <c r="H666" s="2"/>
    </row>
    <row r="667" spans="7:9">
      <c r="G667" s="1"/>
      <c r="H667" s="2"/>
      <c r="I667" s="2"/>
    </row>
    <row r="668" spans="7:9">
      <c r="H668" s="2"/>
    </row>
    <row r="669" spans="7:9">
      <c r="G669" s="1"/>
      <c r="H669" s="2"/>
      <c r="I669" s="2"/>
    </row>
    <row r="670" spans="7:9">
      <c r="G670" s="1"/>
      <c r="H670" s="2"/>
    </row>
    <row r="671" spans="7:9">
      <c r="G671" s="1"/>
      <c r="H671" s="2"/>
    </row>
    <row r="672" spans="7:9">
      <c r="G672" s="1"/>
      <c r="H672" s="2"/>
      <c r="I672" s="2"/>
    </row>
    <row r="673" spans="7:8">
      <c r="G673" s="1"/>
      <c r="H673" s="2"/>
    </row>
    <row r="674" spans="7:8">
      <c r="G674" s="1"/>
      <c r="H674" s="2"/>
    </row>
    <row r="693" spans="7:8">
      <c r="H693" s="2"/>
    </row>
    <row r="694" spans="7:8">
      <c r="G694" s="1"/>
      <c r="H694" s="2"/>
    </row>
    <row r="697" spans="7:8">
      <c r="G697" s="1"/>
    </row>
    <row r="706" spans="8:8">
      <c r="H706" s="2"/>
    </row>
    <row r="707" spans="8:8">
      <c r="H707" s="2"/>
    </row>
    <row r="708" spans="8:8">
      <c r="H708" s="2"/>
    </row>
    <row r="709" spans="8:8">
      <c r="H709" s="2"/>
    </row>
    <row r="710" spans="8:8">
      <c r="H710" s="2"/>
    </row>
    <row r="711" spans="8:8">
      <c r="H711" s="2"/>
    </row>
    <row r="712" spans="8:8">
      <c r="H712" s="2"/>
    </row>
    <row r="713" spans="8:8">
      <c r="H713" s="2"/>
    </row>
    <row r="714" spans="8:8">
      <c r="H714" s="2"/>
    </row>
    <row r="715" spans="8:8">
      <c r="H715" s="2"/>
    </row>
    <row r="716" spans="8:8">
      <c r="H716" s="2"/>
    </row>
    <row r="717" spans="8:8">
      <c r="H717" s="2"/>
    </row>
    <row r="718" spans="8:8">
      <c r="H718" s="2"/>
    </row>
    <row r="719" spans="8:8">
      <c r="H719" s="2"/>
    </row>
    <row r="720" spans="8:8">
      <c r="H720" s="2"/>
    </row>
    <row r="721" spans="7:9">
      <c r="H721" s="2"/>
      <c r="I721" s="2"/>
    </row>
    <row r="722" spans="7:9">
      <c r="G722" s="1"/>
      <c r="H722" s="2"/>
      <c r="I722" s="2"/>
    </row>
    <row r="723" spans="7:9">
      <c r="G723" s="1"/>
      <c r="H723" s="2"/>
      <c r="I723" s="2"/>
    </row>
    <row r="724" spans="7:9">
      <c r="H724" s="2"/>
      <c r="I724" s="2"/>
    </row>
    <row r="725" spans="7:9">
      <c r="G725" s="1"/>
      <c r="H725" s="2"/>
      <c r="I725" s="2"/>
    </row>
    <row r="726" spans="7:9">
      <c r="G726" s="1"/>
      <c r="H726" s="2"/>
      <c r="I726" s="2"/>
    </row>
    <row r="727" spans="7:9">
      <c r="G727" s="1"/>
      <c r="H727" s="2"/>
      <c r="I727" s="2"/>
    </row>
    <row r="728" spans="7:9">
      <c r="H728" s="2"/>
      <c r="I728" s="2"/>
    </row>
    <row r="729" spans="7:9">
      <c r="G729" s="1"/>
      <c r="H729" s="2"/>
    </row>
    <row r="730" spans="7:9">
      <c r="G730" s="1"/>
      <c r="H730" s="2"/>
      <c r="I730" s="2"/>
    </row>
    <row r="731" spans="7:9">
      <c r="G731" s="1"/>
      <c r="H731" s="2"/>
      <c r="I731" s="2"/>
    </row>
    <row r="732" spans="7:9">
      <c r="G732" s="1"/>
      <c r="H732" s="2"/>
      <c r="I732" s="2"/>
    </row>
    <row r="733" spans="7:9">
      <c r="H733" s="2"/>
    </row>
    <row r="734" spans="7:9">
      <c r="G734" s="1"/>
      <c r="H734" s="2"/>
      <c r="I734" s="2"/>
    </row>
    <row r="735" spans="7:9">
      <c r="H735" s="2"/>
      <c r="I735" s="2"/>
    </row>
    <row r="736" spans="7:9">
      <c r="H736" s="2"/>
      <c r="I736" s="2"/>
    </row>
    <row r="737" spans="7:9">
      <c r="G737" s="1"/>
      <c r="H737" s="2"/>
    </row>
    <row r="738" spans="7:9">
      <c r="G738" s="1"/>
      <c r="H738" s="2"/>
      <c r="I738" s="2"/>
    </row>
    <row r="739" spans="7:9">
      <c r="G739" s="1"/>
      <c r="H739" s="2"/>
      <c r="I739" s="2"/>
    </row>
    <row r="740" spans="7:9">
      <c r="G740" s="1"/>
      <c r="H740" s="2"/>
      <c r="I740" s="2"/>
    </row>
    <row r="741" spans="7:9">
      <c r="G741" s="1"/>
      <c r="H741" s="2"/>
      <c r="I741" s="2"/>
    </row>
    <row r="742" spans="7:9">
      <c r="G742" s="1"/>
      <c r="H742" s="2"/>
    </row>
    <row r="743" spans="7:9">
      <c r="G743" s="1"/>
      <c r="H743" s="2"/>
    </row>
    <row r="744" spans="7:9">
      <c r="G744" s="1"/>
      <c r="H744" s="2"/>
    </row>
    <row r="745" spans="7:9">
      <c r="G745" s="1"/>
      <c r="H745" s="2"/>
    </row>
    <row r="746" spans="7:9">
      <c r="G746" s="1"/>
      <c r="H746" s="2"/>
    </row>
    <row r="747" spans="7:9">
      <c r="H747" s="2"/>
    </row>
    <row r="748" spans="7:9">
      <c r="H748" s="2"/>
    </row>
    <row r="749" spans="7:9">
      <c r="H749" s="2"/>
    </row>
    <row r="750" spans="7:9">
      <c r="G750" s="1"/>
      <c r="H750" s="2"/>
      <c r="I750" s="2"/>
    </row>
    <row r="751" spans="7:9">
      <c r="H751" s="2"/>
    </row>
    <row r="752" spans="7:9">
      <c r="G752" s="1"/>
      <c r="H752" s="2"/>
      <c r="I752" s="2"/>
    </row>
    <row r="753" spans="7:9">
      <c r="G753" s="1"/>
      <c r="H753" s="2"/>
      <c r="I753" s="2"/>
    </row>
    <row r="754" spans="7:9">
      <c r="G754" s="1"/>
      <c r="H754" s="2"/>
    </row>
    <row r="755" spans="7:9">
      <c r="G755" s="1"/>
      <c r="H755" s="2"/>
    </row>
    <row r="756" spans="7:9">
      <c r="G756" s="1"/>
      <c r="H756" s="2"/>
    </row>
    <row r="757" spans="7:9">
      <c r="G757" s="1"/>
      <c r="H757" s="2"/>
    </row>
    <row r="758" spans="7:9">
      <c r="G758" s="1"/>
      <c r="H758" s="2"/>
      <c r="I758" s="2"/>
    </row>
    <row r="759" spans="7:9">
      <c r="G759" s="1"/>
      <c r="H759" s="2"/>
      <c r="I759" s="2"/>
    </row>
    <row r="760" spans="7:9">
      <c r="G760" s="1"/>
      <c r="H760" s="2"/>
      <c r="I760" s="2"/>
    </row>
    <row r="761" spans="7:9">
      <c r="G761" s="1"/>
      <c r="H761" s="2"/>
      <c r="I761" s="2"/>
    </row>
    <row r="762" spans="7:9">
      <c r="G762" s="1"/>
      <c r="H762" s="2"/>
    </row>
    <row r="763" spans="7:9">
      <c r="G763" s="1"/>
      <c r="H763" s="2"/>
    </row>
    <row r="764" spans="7:9">
      <c r="G764" s="1"/>
      <c r="H764" s="2"/>
    </row>
    <row r="765" spans="7:9">
      <c r="G765" s="1"/>
      <c r="H765" s="2"/>
    </row>
    <row r="766" spans="7:9">
      <c r="G766" s="1"/>
      <c r="H766" s="2"/>
    </row>
    <row r="767" spans="7:9">
      <c r="G767" s="1"/>
      <c r="H767" s="2"/>
    </row>
    <row r="768" spans="7:9">
      <c r="G768" s="1"/>
      <c r="H768" s="2"/>
    </row>
    <row r="769" spans="7:7">
      <c r="G769" s="1"/>
    </row>
    <row r="770" spans="7:7">
      <c r="G770" s="1"/>
    </row>
    <row r="771" spans="7:7">
      <c r="G771" s="1"/>
    </row>
    <row r="809" spans="7:9">
      <c r="H809" s="2"/>
    </row>
    <row r="810" spans="7:9">
      <c r="H810" s="2"/>
    </row>
    <row r="811" spans="7:9">
      <c r="G811" s="1"/>
      <c r="H811" s="2"/>
      <c r="I811" s="2"/>
    </row>
    <row r="812" spans="7:9">
      <c r="G812" s="1"/>
      <c r="H812" s="2"/>
      <c r="I812" s="2"/>
    </row>
    <row r="813" spans="7:9">
      <c r="G813" s="1"/>
      <c r="H813" s="2"/>
      <c r="I813" s="2"/>
    </row>
    <row r="814" spans="7:9">
      <c r="H814" s="2"/>
    </row>
    <row r="815" spans="7:9">
      <c r="G815" s="1"/>
      <c r="H815" s="2"/>
    </row>
    <row r="816" spans="7:9">
      <c r="H816" s="2"/>
    </row>
    <row r="817" spans="7:9">
      <c r="G817" s="1"/>
      <c r="H817" s="2"/>
    </row>
    <row r="818" spans="7:9">
      <c r="G818" s="1"/>
      <c r="H818" s="2"/>
      <c r="I818" s="2"/>
    </row>
    <row r="819" spans="7:9">
      <c r="G819" s="1"/>
      <c r="H819" s="2"/>
    </row>
    <row r="820" spans="7:9">
      <c r="G820" s="1"/>
    </row>
    <row r="821" spans="7:9">
      <c r="G821" s="1"/>
    </row>
    <row r="826" spans="7:9">
      <c r="G826" s="1"/>
      <c r="H826" s="2"/>
      <c r="I826" s="2"/>
    </row>
    <row r="827" spans="7:9">
      <c r="G827" s="1"/>
      <c r="H827" s="2"/>
      <c r="I827" s="2"/>
    </row>
    <row r="828" spans="7:9">
      <c r="H828" s="2"/>
      <c r="I828" s="2"/>
    </row>
    <row r="829" spans="7:9">
      <c r="H829" s="2"/>
      <c r="I829" s="2"/>
    </row>
    <row r="830" spans="7:9">
      <c r="G830" s="1"/>
      <c r="H830" s="2"/>
      <c r="I830" s="2"/>
    </row>
    <row r="831" spans="7:9">
      <c r="G831" s="1"/>
      <c r="H831" s="2"/>
      <c r="I831" s="2"/>
    </row>
    <row r="832" spans="7:9">
      <c r="H832" s="2"/>
      <c r="I832" s="2"/>
    </row>
    <row r="833" spans="7:9">
      <c r="H833" s="2"/>
      <c r="I833" s="2"/>
    </row>
    <row r="834" spans="7:9">
      <c r="H834" s="2"/>
    </row>
    <row r="835" spans="7:9">
      <c r="G835" s="1"/>
      <c r="H835" s="2"/>
      <c r="I835" s="2"/>
    </row>
    <row r="836" spans="7:9">
      <c r="G836" s="1"/>
      <c r="H836" s="2"/>
      <c r="I836" s="2"/>
    </row>
    <row r="837" spans="7:9">
      <c r="G837" s="1"/>
      <c r="H837" s="2"/>
      <c r="I837" s="2"/>
    </row>
    <row r="838" spans="7:9">
      <c r="G838" s="1"/>
      <c r="H838" s="2"/>
      <c r="I838" s="2"/>
    </row>
    <row r="839" spans="7:9">
      <c r="G839" s="1"/>
      <c r="H839" s="2"/>
      <c r="I839" s="2"/>
    </row>
    <row r="840" spans="7:9">
      <c r="G840" s="1"/>
      <c r="H840" s="2"/>
      <c r="I840" s="2"/>
    </row>
    <row r="841" spans="7:9">
      <c r="G841" s="1"/>
      <c r="H841" s="2"/>
      <c r="I841" s="2"/>
    </row>
    <row r="842" spans="7:9">
      <c r="G842" s="1"/>
      <c r="H842" s="2"/>
      <c r="I842" s="2"/>
    </row>
    <row r="843" spans="7:9">
      <c r="G843" s="1"/>
      <c r="H843" s="2"/>
    </row>
    <row r="844" spans="7:9">
      <c r="G844" s="1"/>
      <c r="H844" s="2"/>
    </row>
    <row r="845" spans="7:9">
      <c r="G845" s="1"/>
      <c r="H845" s="2"/>
      <c r="I845" s="2"/>
    </row>
    <row r="846" spans="7:9">
      <c r="H846" s="2"/>
    </row>
    <row r="847" spans="7:9">
      <c r="G847" s="1"/>
      <c r="H847" s="2"/>
    </row>
    <row r="848" spans="7:9">
      <c r="G848" s="1"/>
      <c r="H848" s="2"/>
    </row>
    <row r="849" spans="7:9">
      <c r="G849" s="1"/>
      <c r="H849" s="2"/>
    </row>
    <row r="850" spans="7:9">
      <c r="G850" s="1"/>
      <c r="H850" s="2"/>
    </row>
    <row r="851" spans="7:9">
      <c r="G851" s="1"/>
      <c r="H851" s="2"/>
    </row>
    <row r="852" spans="7:9">
      <c r="G852" s="1"/>
      <c r="H852" s="2"/>
    </row>
    <row r="853" spans="7:9">
      <c r="G853" s="1"/>
      <c r="H853" s="2"/>
      <c r="I853" s="2"/>
    </row>
    <row r="854" spans="7:9">
      <c r="G854" s="1"/>
      <c r="H854" s="2"/>
    </row>
    <row r="855" spans="7:9">
      <c r="G855" s="1"/>
      <c r="H855" s="2"/>
    </row>
    <row r="856" spans="7:9">
      <c r="G856" s="1"/>
      <c r="H856" s="2"/>
    </row>
    <row r="857" spans="7:9">
      <c r="G857" s="1"/>
      <c r="H857" s="2"/>
    </row>
    <row r="858" spans="7:9">
      <c r="H858" s="2"/>
    </row>
    <row r="859" spans="7:9">
      <c r="G859" s="1"/>
      <c r="H859" s="2"/>
    </row>
    <row r="860" spans="7:9">
      <c r="G860" s="1"/>
      <c r="H860" s="2"/>
    </row>
    <row r="861" spans="7:9">
      <c r="G861" s="1"/>
      <c r="H861" s="2"/>
      <c r="I861" s="2"/>
    </row>
    <row r="862" spans="7:9">
      <c r="G862" s="1"/>
      <c r="H862" s="2"/>
    </row>
    <row r="863" spans="7:9">
      <c r="G863" s="1"/>
      <c r="H863" s="2"/>
    </row>
    <row r="864" spans="7:9">
      <c r="G864" s="1"/>
      <c r="H864" s="2"/>
    </row>
    <row r="865" spans="7:8">
      <c r="G865" s="1"/>
      <c r="H865" s="2"/>
    </row>
    <row r="866" spans="7:8">
      <c r="G866" s="1"/>
      <c r="H866" s="2"/>
    </row>
    <row r="867" spans="7:8">
      <c r="G867" s="1"/>
      <c r="H867" s="2"/>
    </row>
    <row r="923" spans="7:9">
      <c r="G923" s="1"/>
      <c r="H923" s="2"/>
      <c r="I923" s="2"/>
    </row>
    <row r="926" spans="7:9">
      <c r="G926" s="1"/>
      <c r="H926" s="2"/>
      <c r="I926" s="2"/>
    </row>
    <row r="927" spans="7:9">
      <c r="G927" s="1"/>
      <c r="H927" s="2"/>
      <c r="I927" s="2"/>
    </row>
    <row r="928" spans="7:9">
      <c r="H928" s="2"/>
    </row>
    <row r="929" spans="7:9">
      <c r="G929" s="1"/>
      <c r="H929" s="2"/>
      <c r="I929" s="2"/>
    </row>
    <row r="930" spans="7:9">
      <c r="H930" s="2"/>
    </row>
    <row r="931" spans="7:9">
      <c r="G931" s="1"/>
      <c r="H931" s="2"/>
    </row>
    <row r="932" spans="7:9">
      <c r="G932" s="1"/>
      <c r="H932" s="2"/>
      <c r="I932" s="2"/>
    </row>
    <row r="933" spans="7:9">
      <c r="G933" s="1"/>
      <c r="H933" s="2"/>
    </row>
    <row r="934" spans="7:9">
      <c r="G934" s="1"/>
      <c r="H934" s="2"/>
    </row>
    <row r="935" spans="7:9">
      <c r="G935" s="1"/>
    </row>
    <row r="945" spans="7:8">
      <c r="G945" s="1"/>
      <c r="H945" s="2"/>
    </row>
    <row r="946" spans="7:8">
      <c r="G946" s="1"/>
      <c r="H946" s="2"/>
    </row>
    <row r="947" spans="7:8">
      <c r="G947" s="1"/>
      <c r="H947" s="2"/>
    </row>
    <row r="948" spans="7:8">
      <c r="G948" s="1"/>
      <c r="H948" s="2"/>
    </row>
    <row r="949" spans="7:8">
      <c r="G949" s="1"/>
      <c r="H949" s="2"/>
    </row>
    <row r="950" spans="7:8">
      <c r="G950" s="1"/>
      <c r="H950" s="2"/>
    </row>
    <row r="951" spans="7:8">
      <c r="G951" s="1"/>
      <c r="H951" s="2"/>
    </row>
    <row r="952" spans="7:8">
      <c r="G952" s="1"/>
      <c r="H952" s="2"/>
    </row>
    <row r="953" spans="7:8">
      <c r="G953" s="1"/>
      <c r="H953" s="2"/>
    </row>
    <row r="954" spans="7:8">
      <c r="G954" s="1"/>
      <c r="H954" s="2"/>
    </row>
    <row r="955" spans="7:8">
      <c r="G955" s="1"/>
      <c r="H955" s="2"/>
    </row>
    <row r="956" spans="7:8">
      <c r="G956" s="1"/>
      <c r="H956" s="2"/>
    </row>
    <row r="957" spans="7:8">
      <c r="G957" s="1"/>
      <c r="H957" s="2"/>
    </row>
    <row r="958" spans="7:8">
      <c r="G958" s="1"/>
      <c r="H958" s="2"/>
    </row>
    <row r="959" spans="7:8">
      <c r="G959" s="1"/>
      <c r="H959" s="2"/>
    </row>
    <row r="960" spans="7:8">
      <c r="G960" s="1"/>
      <c r="H960" s="2"/>
    </row>
    <row r="961" spans="7:9">
      <c r="G961" s="1"/>
      <c r="H961" s="2"/>
    </row>
    <row r="962" spans="7:9">
      <c r="G962" s="1"/>
      <c r="H962" s="2"/>
    </row>
    <row r="963" spans="7:9">
      <c r="G963" s="1"/>
      <c r="H963" s="2"/>
    </row>
    <row r="964" spans="7:9">
      <c r="G964" s="1"/>
      <c r="H964" s="2"/>
    </row>
    <row r="965" spans="7:9">
      <c r="G965" s="1"/>
      <c r="H965" s="2"/>
    </row>
    <row r="966" spans="7:9">
      <c r="G966" s="1"/>
      <c r="H966" s="2"/>
    </row>
    <row r="968" spans="7:9">
      <c r="G968" s="1"/>
    </row>
    <row r="969" spans="7:9">
      <c r="G969" s="1"/>
      <c r="H969" s="2"/>
      <c r="I969" s="2"/>
    </row>
    <row r="970" spans="7:9">
      <c r="H970" s="2"/>
    </row>
    <row r="971" spans="7:9">
      <c r="H971" s="2"/>
    </row>
    <row r="972" spans="7:9">
      <c r="H972" s="2"/>
    </row>
    <row r="973" spans="7:9">
      <c r="H973" s="2"/>
    </row>
    <row r="974" spans="7:9">
      <c r="H974" s="2"/>
    </row>
    <row r="975" spans="7:9">
      <c r="G975" s="1"/>
      <c r="H975" s="2"/>
      <c r="I975" s="2"/>
    </row>
    <row r="976" spans="7:9">
      <c r="H976" s="2"/>
    </row>
    <row r="977" spans="7:9">
      <c r="G977" s="1"/>
      <c r="H977" s="2"/>
      <c r="I977" s="2"/>
    </row>
    <row r="978" spans="7:9">
      <c r="H978" s="2"/>
    </row>
    <row r="979" spans="7:9">
      <c r="H979" s="2"/>
    </row>
    <row r="980" spans="7:9">
      <c r="G980" s="1"/>
      <c r="H980" s="2"/>
      <c r="I980" s="2"/>
    </row>
    <row r="981" spans="7:9">
      <c r="G981" s="1"/>
      <c r="H981" s="2"/>
      <c r="I981" s="2"/>
    </row>
    <row r="982" spans="7:9">
      <c r="H982" s="2"/>
      <c r="I982" s="2"/>
    </row>
    <row r="983" spans="7:9">
      <c r="H983" s="2"/>
      <c r="I983" s="2"/>
    </row>
    <row r="984" spans="7:9">
      <c r="G984" s="1"/>
      <c r="H984" s="2"/>
      <c r="I984" s="2"/>
    </row>
    <row r="985" spans="7:9">
      <c r="G985" s="1"/>
      <c r="H985" s="2"/>
      <c r="I985" s="2"/>
    </row>
    <row r="986" spans="7:9">
      <c r="G986" s="1"/>
      <c r="H986" s="2"/>
      <c r="I986" s="2"/>
    </row>
    <row r="987" spans="7:9">
      <c r="H987" s="2"/>
    </row>
    <row r="988" spans="7:9">
      <c r="G988" s="1"/>
      <c r="H988" s="2"/>
    </row>
    <row r="989" spans="7:9">
      <c r="G989" s="1"/>
      <c r="H989" s="2"/>
      <c r="I989" s="2"/>
    </row>
    <row r="990" spans="7:9">
      <c r="G990" s="1"/>
      <c r="H990" s="2"/>
      <c r="I990" s="2"/>
    </row>
    <row r="991" spans="7:9">
      <c r="G991" s="1"/>
      <c r="H991" s="2"/>
      <c r="I991" s="2"/>
    </row>
    <row r="992" spans="7:9">
      <c r="H992" s="2"/>
      <c r="I992" s="2"/>
    </row>
    <row r="993" spans="7:9">
      <c r="G993" s="1"/>
      <c r="H993" s="2"/>
      <c r="I993" s="2"/>
    </row>
    <row r="994" spans="7:9">
      <c r="G994" s="1"/>
      <c r="H994" s="2"/>
      <c r="I994" s="2"/>
    </row>
    <row r="995" spans="7:9">
      <c r="G995" s="1"/>
      <c r="H995" s="2"/>
    </row>
    <row r="996" spans="7:9">
      <c r="H996" s="2"/>
    </row>
    <row r="997" spans="7:9">
      <c r="G997" s="1"/>
      <c r="H997" s="2"/>
      <c r="I997" s="2"/>
    </row>
    <row r="998" spans="7:9">
      <c r="H998" s="2"/>
      <c r="I998" s="2"/>
    </row>
    <row r="999" spans="7:9">
      <c r="G999" s="1"/>
      <c r="H999" s="2"/>
    </row>
    <row r="1000" spans="7:9">
      <c r="G1000" s="1"/>
      <c r="H1000" s="2"/>
      <c r="I1000" s="2"/>
    </row>
    <row r="1001" spans="7:9">
      <c r="H1001" s="2"/>
    </row>
    <row r="1002" spans="7:9">
      <c r="H1002" s="2"/>
      <c r="I1002" s="2"/>
    </row>
    <row r="1003" spans="7:9">
      <c r="H1003" s="2"/>
      <c r="I1003" s="2"/>
    </row>
    <row r="1004" spans="7:9">
      <c r="G1004" s="1"/>
      <c r="H1004" s="2"/>
      <c r="I1004" s="2"/>
    </row>
    <row r="1005" spans="7:9">
      <c r="G1005" s="1"/>
      <c r="H1005" s="2"/>
      <c r="I1005" s="2"/>
    </row>
    <row r="1006" spans="7:9">
      <c r="G1006" s="1"/>
      <c r="H1006" s="2"/>
      <c r="I1006" s="2"/>
    </row>
    <row r="1007" spans="7:9">
      <c r="G1007" s="1"/>
      <c r="H1007" s="2"/>
    </row>
    <row r="1008" spans="7:9">
      <c r="G1008" s="1"/>
      <c r="H1008" s="2"/>
    </row>
    <row r="1009" spans="7:9">
      <c r="G1009" s="1"/>
      <c r="H1009" s="2"/>
      <c r="I1009" s="2"/>
    </row>
    <row r="1010" spans="7:9">
      <c r="G1010" s="1"/>
      <c r="H1010" s="2"/>
    </row>
    <row r="1011" spans="7:9">
      <c r="G1011" s="1"/>
      <c r="H1011" s="2"/>
    </row>
    <row r="1012" spans="7:9">
      <c r="G1012" s="1"/>
      <c r="H1012" s="2"/>
    </row>
    <row r="1013" spans="7:9">
      <c r="G1013" s="1"/>
      <c r="H1013" s="2"/>
    </row>
    <row r="1014" spans="7:9">
      <c r="G1014" s="1"/>
    </row>
    <row r="1018" spans="7:9">
      <c r="G1018" s="1"/>
    </row>
    <row r="1027" spans="7:7">
      <c r="G1027" s="1"/>
    </row>
    <row r="1028" spans="7:7">
      <c r="G1028" s="1"/>
    </row>
    <row r="1029" spans="7:7">
      <c r="G1029" s="1"/>
    </row>
    <row r="1066" spans="7:9">
      <c r="H1066" s="2"/>
    </row>
    <row r="1067" spans="7:9">
      <c r="G1067" s="1"/>
      <c r="H1067" s="2"/>
      <c r="I1067" s="2"/>
    </row>
    <row r="1068" spans="7:9">
      <c r="G1068" s="1"/>
      <c r="H1068" s="2"/>
      <c r="I1068" s="2"/>
    </row>
    <row r="1069" spans="7:9">
      <c r="G1069" s="1"/>
      <c r="H1069" s="2"/>
      <c r="I1069" s="2"/>
    </row>
    <row r="1070" spans="7:9">
      <c r="G1070" s="1"/>
      <c r="H1070" s="2"/>
    </row>
    <row r="1071" spans="7:9">
      <c r="G1071" s="1"/>
      <c r="H1071" s="2"/>
    </row>
    <row r="1072" spans="7:9">
      <c r="G1072" s="1"/>
      <c r="H1072" s="2"/>
      <c r="I1072" s="2"/>
    </row>
    <row r="1078" spans="7:8">
      <c r="G1078" s="1"/>
    </row>
    <row r="1088" spans="7:8">
      <c r="G1088" s="1"/>
      <c r="H1088" s="2"/>
    </row>
    <row r="1089" spans="7:9">
      <c r="G1089" s="1"/>
      <c r="H1089" s="2"/>
    </row>
    <row r="1090" spans="7:9">
      <c r="G1090" s="1"/>
      <c r="H1090" s="2"/>
    </row>
    <row r="1094" spans="7:9">
      <c r="H1094" s="2"/>
      <c r="I1094" s="2"/>
    </row>
    <row r="1095" spans="7:9">
      <c r="G1095" s="1"/>
      <c r="H1095" s="2"/>
      <c r="I1095" s="2"/>
    </row>
    <row r="1096" spans="7:9">
      <c r="H1096" s="2"/>
      <c r="I1096" s="2"/>
    </row>
    <row r="1097" spans="7:9">
      <c r="G1097" s="1"/>
      <c r="H1097" s="2"/>
      <c r="I1097" s="2"/>
    </row>
    <row r="1098" spans="7:9">
      <c r="G1098" s="1"/>
      <c r="H1098" s="2"/>
      <c r="I1098" s="2"/>
    </row>
    <row r="1099" spans="7:9">
      <c r="G1099" s="1"/>
      <c r="H1099" s="2"/>
      <c r="I1099" s="2"/>
    </row>
    <row r="1100" spans="7:9">
      <c r="G1100" s="1"/>
      <c r="H1100" s="2"/>
      <c r="I1100" s="2"/>
    </row>
    <row r="1101" spans="7:9">
      <c r="H1101" s="2"/>
      <c r="I1101" s="2"/>
    </row>
    <row r="1102" spans="7:9">
      <c r="H1102" s="2"/>
    </row>
    <row r="1103" spans="7:9">
      <c r="G1103" s="1"/>
      <c r="H1103" s="2"/>
      <c r="I1103" s="2"/>
    </row>
    <row r="1104" spans="7:9">
      <c r="G1104" s="1"/>
      <c r="H1104" s="2"/>
      <c r="I1104" s="2"/>
    </row>
    <row r="1105" spans="7:9">
      <c r="G1105" s="1"/>
      <c r="H1105" s="2"/>
      <c r="I1105" s="2"/>
    </row>
    <row r="1106" spans="7:9">
      <c r="G1106" s="1"/>
      <c r="H1106" s="2"/>
    </row>
    <row r="1107" spans="7:9">
      <c r="G1107" s="1"/>
      <c r="H1107" s="2"/>
    </row>
    <row r="1108" spans="7:9">
      <c r="G1108" s="1"/>
      <c r="H1108" s="2"/>
    </row>
    <row r="1109" spans="7:9">
      <c r="H1109" s="2"/>
      <c r="I1109" s="2"/>
    </row>
    <row r="1110" spans="7:9">
      <c r="H1110" s="2"/>
      <c r="I1110" s="2"/>
    </row>
    <row r="1111" spans="7:9">
      <c r="G1111" s="1"/>
      <c r="H1111" s="2"/>
      <c r="I1111" s="2"/>
    </row>
    <row r="1112" spans="7:9">
      <c r="H1112" s="2"/>
    </row>
    <row r="1113" spans="7:9">
      <c r="G1113" s="1"/>
      <c r="H1113" s="2"/>
      <c r="I1113" s="2"/>
    </row>
    <row r="1114" spans="7:9">
      <c r="H1114" s="2"/>
      <c r="I1114" s="2"/>
    </row>
    <row r="1115" spans="7:9">
      <c r="H1115" s="2"/>
      <c r="I1115" s="2"/>
    </row>
    <row r="1116" spans="7:9">
      <c r="G1116" s="1"/>
      <c r="H1116" s="2"/>
    </row>
    <row r="1117" spans="7:9">
      <c r="G1117" s="1"/>
      <c r="H1117" s="2"/>
    </row>
    <row r="1118" spans="7:9">
      <c r="G1118" s="1"/>
      <c r="H1118" s="2"/>
    </row>
    <row r="1119" spans="7:9">
      <c r="H1119" s="2"/>
      <c r="I1119" s="2"/>
    </row>
    <row r="1120" spans="7:9">
      <c r="G1120" s="1"/>
      <c r="H1120" s="2"/>
    </row>
    <row r="1121" spans="7:9">
      <c r="G1121" s="1"/>
      <c r="H1121" s="2"/>
      <c r="I1121" s="2"/>
    </row>
    <row r="1122" spans="7:9">
      <c r="G1122" s="1"/>
      <c r="H1122" s="2"/>
      <c r="I1122" s="2"/>
    </row>
    <row r="1123" spans="7:9">
      <c r="G1123" s="1"/>
      <c r="H1123" s="2"/>
      <c r="I1123" s="2"/>
    </row>
    <row r="1124" spans="7:9">
      <c r="G1124" s="1"/>
      <c r="H1124" s="2"/>
    </row>
    <row r="1125" spans="7:9">
      <c r="G1125" s="1"/>
      <c r="H1125" s="2"/>
    </row>
    <row r="1126" spans="7:9">
      <c r="G1126" s="1"/>
      <c r="H1126" s="2"/>
      <c r="I1126" s="2"/>
    </row>
    <row r="1127" spans="7:9">
      <c r="G1127" s="1"/>
      <c r="H1127" s="2"/>
    </row>
    <row r="1128" spans="7:9">
      <c r="G1128" s="1"/>
      <c r="H1128" s="2"/>
    </row>
    <row r="1129" spans="7:9">
      <c r="G1129" s="1"/>
      <c r="H1129" s="2"/>
    </row>
    <row r="1130" spans="7:9">
      <c r="G1130" s="1"/>
      <c r="H1130" s="2"/>
    </row>
    <row r="1131" spans="7:9">
      <c r="G1131" s="1"/>
      <c r="H1131" s="2"/>
    </row>
    <row r="1132" spans="7:9">
      <c r="G1132" s="1"/>
      <c r="H1132" s="2"/>
    </row>
    <row r="1133" spans="7:9">
      <c r="G1133" s="1"/>
      <c r="H1133" s="2"/>
    </row>
    <row r="1134" spans="7:9">
      <c r="G1134" s="1"/>
      <c r="H1134" s="2"/>
    </row>
    <row r="1135" spans="7:9">
      <c r="G1135" s="1"/>
      <c r="H1135" s="2"/>
    </row>
    <row r="1136" spans="7:9">
      <c r="G1136" s="1"/>
      <c r="H1136" s="2"/>
    </row>
    <row r="1137" spans="7:8">
      <c r="G1137" s="1"/>
      <c r="H1137" s="2"/>
    </row>
    <row r="1138" spans="7:8">
      <c r="G1138" s="1"/>
    </row>
    <row r="1145" spans="7:8">
      <c r="G1145" s="1"/>
    </row>
    <row r="1146" spans="7:8">
      <c r="G1146" s="1"/>
    </row>
    <row r="1147" spans="7:8">
      <c r="G1147" s="1"/>
    </row>
    <row r="1148" spans="7:8">
      <c r="G1148" s="1"/>
    </row>
    <row r="1176" spans="7:9">
      <c r="G1176" s="1"/>
      <c r="H1176" s="2"/>
      <c r="I1176" s="2"/>
    </row>
    <row r="1177" spans="7:9">
      <c r="H1177" s="2"/>
    </row>
    <row r="1178" spans="7:9">
      <c r="G1178" s="1"/>
      <c r="H1178" s="2"/>
      <c r="I1178" s="2"/>
    </row>
    <row r="1179" spans="7:9">
      <c r="G1179" s="1"/>
      <c r="H1179" s="2"/>
      <c r="I1179" s="2"/>
    </row>
    <row r="1180" spans="7:9">
      <c r="G1180" s="1"/>
      <c r="H1180" s="2"/>
    </row>
    <row r="1181" spans="7:9">
      <c r="H1181" s="2"/>
    </row>
    <row r="1182" spans="7:9">
      <c r="G1182" s="1"/>
      <c r="H1182" s="2"/>
      <c r="I1182" s="2"/>
    </row>
    <row r="1183" spans="7:9">
      <c r="G1183" s="1"/>
      <c r="H1183" s="2"/>
    </row>
    <row r="1184" spans="7:9">
      <c r="G1184" s="1"/>
      <c r="H1184" s="2"/>
    </row>
    <row r="1185" spans="7:8">
      <c r="G1185" s="1"/>
      <c r="H1185" s="2"/>
    </row>
    <row r="1195" spans="7:8">
      <c r="G1195" s="1"/>
    </row>
    <row r="1199" spans="7:8">
      <c r="G1199" s="1"/>
      <c r="H1199" s="2"/>
    </row>
    <row r="1200" spans="7:8">
      <c r="G1200" s="1"/>
      <c r="H1200" s="2"/>
    </row>
    <row r="1201" spans="7:9">
      <c r="G1201" s="1"/>
    </row>
    <row r="1202" spans="7:9">
      <c r="G1202" s="1"/>
    </row>
    <row r="1203" spans="7:9">
      <c r="G1203" s="1"/>
    </row>
    <row r="1212" spans="7:9">
      <c r="H1212" s="2"/>
    </row>
    <row r="1213" spans="7:9">
      <c r="H1213" s="2"/>
    </row>
    <row r="1214" spans="7:9">
      <c r="H1214" s="2"/>
    </row>
    <row r="1215" spans="7:9">
      <c r="H1215" s="2"/>
    </row>
    <row r="1216" spans="7:9">
      <c r="H1216" s="2"/>
      <c r="I1216" s="2"/>
    </row>
    <row r="1217" spans="7:9">
      <c r="G1217" s="1"/>
      <c r="H1217" s="2"/>
      <c r="I1217" s="2"/>
    </row>
    <row r="1218" spans="7:9">
      <c r="H1218" s="2"/>
    </row>
    <row r="1219" spans="7:9">
      <c r="G1219" s="1"/>
      <c r="H1219" s="2"/>
      <c r="I1219" s="2"/>
    </row>
    <row r="1220" spans="7:9">
      <c r="G1220" s="1"/>
      <c r="H1220" s="2"/>
      <c r="I1220" s="2"/>
    </row>
    <row r="1221" spans="7:9">
      <c r="H1221" s="2"/>
      <c r="I1221" s="2"/>
    </row>
    <row r="1222" spans="7:9">
      <c r="H1222" s="2"/>
      <c r="I1222" s="2"/>
    </row>
    <row r="1223" spans="7:9">
      <c r="H1223" s="2"/>
    </row>
    <row r="1224" spans="7:9">
      <c r="G1224" s="1"/>
      <c r="H1224" s="2"/>
      <c r="I1224" s="2"/>
    </row>
    <row r="1225" spans="7:9">
      <c r="G1225" s="1"/>
      <c r="H1225" s="2"/>
    </row>
    <row r="1226" spans="7:9">
      <c r="H1226" s="2"/>
      <c r="I1226" s="2"/>
    </row>
    <row r="1227" spans="7:9">
      <c r="G1227" s="1"/>
      <c r="H1227" s="2"/>
    </row>
    <row r="1228" spans="7:9">
      <c r="G1228" s="1"/>
      <c r="H1228" s="2"/>
      <c r="I1228" s="2"/>
    </row>
    <row r="1229" spans="7:9">
      <c r="G1229" s="1"/>
      <c r="H1229" s="2"/>
      <c r="I1229" s="2"/>
    </row>
    <row r="1230" spans="7:9">
      <c r="G1230" s="1"/>
      <c r="H1230" s="2"/>
      <c r="I1230" s="2"/>
    </row>
    <row r="1231" spans="7:9">
      <c r="G1231" s="1"/>
      <c r="H1231" s="2"/>
      <c r="I1231" s="2"/>
    </row>
    <row r="1232" spans="7:9">
      <c r="G1232" s="1"/>
      <c r="H1232" s="2"/>
      <c r="I1232" s="2"/>
    </row>
    <row r="1233" spans="7:9">
      <c r="G1233" s="1"/>
      <c r="H1233" s="2"/>
    </row>
    <row r="1234" spans="7:9">
      <c r="G1234" s="1"/>
      <c r="H1234" s="2"/>
      <c r="I1234" s="2"/>
    </row>
    <row r="1235" spans="7:9">
      <c r="G1235" s="1"/>
      <c r="H1235" s="2"/>
      <c r="I1235" s="2"/>
    </row>
    <row r="1236" spans="7:9">
      <c r="H1236" s="2"/>
    </row>
    <row r="1237" spans="7:9">
      <c r="G1237" s="1"/>
      <c r="H1237" s="2"/>
      <c r="I1237" s="2"/>
    </row>
    <row r="1238" spans="7:9">
      <c r="G1238" s="1"/>
      <c r="H1238" s="2"/>
      <c r="I1238" s="2"/>
    </row>
    <row r="1239" spans="7:9">
      <c r="G1239" s="1"/>
      <c r="H1239" s="2"/>
      <c r="I1239" s="2"/>
    </row>
    <row r="1240" spans="7:9">
      <c r="G1240" s="1"/>
      <c r="H1240" s="2"/>
    </row>
    <row r="1241" spans="7:9">
      <c r="G1241" s="1"/>
      <c r="H1241" s="2"/>
    </row>
    <row r="1242" spans="7:9">
      <c r="G1242" s="1"/>
      <c r="H1242" s="2"/>
      <c r="I1242" s="2"/>
    </row>
    <row r="1243" spans="7:9">
      <c r="G1243" s="1"/>
      <c r="H1243" s="2"/>
    </row>
    <row r="1244" spans="7:9">
      <c r="G1244" s="1"/>
      <c r="H1244" s="2"/>
    </row>
    <row r="1245" spans="7:9">
      <c r="G1245" s="1"/>
      <c r="H1245" s="2"/>
    </row>
    <row r="1246" spans="7:9">
      <c r="G1246" s="1"/>
      <c r="H1246" s="2"/>
    </row>
    <row r="1247" spans="7:9">
      <c r="G1247" s="1"/>
      <c r="H1247" s="2"/>
    </row>
    <row r="1248" spans="7:9">
      <c r="G1248" s="1"/>
      <c r="H1248" s="2"/>
    </row>
    <row r="1249" spans="7:9">
      <c r="G1249" s="1"/>
      <c r="H1249" s="2"/>
    </row>
    <row r="1250" spans="7:9">
      <c r="G1250" s="1"/>
      <c r="H1250" s="2"/>
      <c r="I1250" s="2"/>
    </row>
    <row r="1251" spans="7:9">
      <c r="H1251" s="2"/>
    </row>
    <row r="1252" spans="7:9">
      <c r="H1252" s="2"/>
    </row>
    <row r="1253" spans="7:9">
      <c r="G1253" s="1"/>
      <c r="H1253" s="2"/>
      <c r="I1253" s="2"/>
    </row>
    <row r="1254" spans="7:9">
      <c r="G1254" s="1"/>
      <c r="H1254" s="2"/>
    </row>
    <row r="1255" spans="7:9">
      <c r="G1255" s="1"/>
      <c r="H1255" s="2"/>
    </row>
    <row r="1256" spans="7:9">
      <c r="G1256" s="1"/>
      <c r="H1256" s="2"/>
    </row>
    <row r="1257" spans="7:9">
      <c r="G1257" s="1"/>
      <c r="H1257" s="2"/>
      <c r="I1257" s="2"/>
    </row>
    <row r="1258" spans="7:9">
      <c r="G1258" s="1"/>
      <c r="H1258" s="2"/>
    </row>
    <row r="1259" spans="7:9">
      <c r="G1259" s="1"/>
      <c r="H1259" s="2"/>
    </row>
    <row r="1260" spans="7:9">
      <c r="G1260" s="1"/>
      <c r="H1260" s="2"/>
    </row>
    <row r="1261" spans="7:9">
      <c r="G1261" s="1"/>
      <c r="H1261" s="2"/>
    </row>
    <row r="1262" spans="7:9">
      <c r="G1262" s="1"/>
      <c r="H1262" s="2"/>
    </row>
    <row r="1263" spans="7:9">
      <c r="G1263" s="1"/>
      <c r="H1263" s="2"/>
    </row>
    <row r="1264" spans="7:9">
      <c r="G1264" s="1"/>
      <c r="H1264" s="2"/>
    </row>
    <row r="1267" spans="7:7">
      <c r="G1267" s="1"/>
    </row>
    <row r="1309" spans="7:9">
      <c r="G1309" s="1"/>
      <c r="H1309" s="2"/>
      <c r="I1309" s="2"/>
    </row>
    <row r="1310" spans="7:9">
      <c r="G1310" s="1"/>
      <c r="H1310" s="2"/>
      <c r="I1310" s="2"/>
    </row>
    <row r="1311" spans="7:9">
      <c r="G1311" s="1"/>
      <c r="H1311" s="2"/>
      <c r="I1311" s="2"/>
    </row>
    <row r="1312" spans="7:9">
      <c r="G1312" s="1"/>
      <c r="H1312" s="2"/>
    </row>
    <row r="1313" spans="7:9">
      <c r="H1313" s="2"/>
    </row>
    <row r="1314" spans="7:9">
      <c r="H1314" s="2"/>
    </row>
    <row r="1315" spans="7:9">
      <c r="G1315" s="1"/>
      <c r="H1315" s="2"/>
      <c r="I1315" s="2"/>
    </row>
    <row r="1316" spans="7:9">
      <c r="G1316" s="1"/>
      <c r="H1316" s="2"/>
    </row>
    <row r="1317" spans="7:9">
      <c r="G1317" s="1"/>
      <c r="H1317" s="2"/>
    </row>
    <row r="1318" spans="7:9">
      <c r="G1318" s="1"/>
      <c r="H1318" s="2"/>
    </row>
    <row r="1319" spans="7:9">
      <c r="H1319" s="2"/>
    </row>
    <row r="1320" spans="7:9">
      <c r="H1320" s="2"/>
    </row>
    <row r="1323" spans="7:9">
      <c r="G1323" s="1"/>
    </row>
    <row r="1324" spans="7:9">
      <c r="G1324" s="1"/>
    </row>
    <row r="1341" spans="8:9">
      <c r="I1341" s="2"/>
    </row>
    <row r="1342" spans="8:9">
      <c r="I1342" s="2"/>
    </row>
    <row r="1344" spans="8:9">
      <c r="H1344" s="2"/>
      <c r="I1344" s="2"/>
    </row>
    <row r="1345" spans="7:9">
      <c r="G1345" s="1"/>
      <c r="H1345" s="2"/>
      <c r="I1345" s="2"/>
    </row>
    <row r="1346" spans="7:9">
      <c r="G1346" s="1"/>
      <c r="H1346" s="2"/>
      <c r="I1346" s="2"/>
    </row>
    <row r="1347" spans="7:9">
      <c r="G1347" s="1"/>
      <c r="H1347" s="2"/>
      <c r="I1347" s="2"/>
    </row>
    <row r="1348" spans="7:9">
      <c r="H1348" s="2"/>
      <c r="I1348" s="2"/>
    </row>
    <row r="1349" spans="7:9">
      <c r="H1349" s="2"/>
    </row>
    <row r="1350" spans="7:9">
      <c r="G1350" s="1"/>
      <c r="H1350" s="2"/>
      <c r="I1350" s="2"/>
    </row>
    <row r="1351" spans="7:9">
      <c r="G1351" s="1"/>
      <c r="H1351" s="2"/>
      <c r="I1351" s="2"/>
    </row>
    <row r="1352" spans="7:9">
      <c r="G1352" s="1"/>
      <c r="H1352" s="2"/>
      <c r="I1352" s="2"/>
    </row>
    <row r="1353" spans="7:9">
      <c r="H1353" s="2"/>
    </row>
    <row r="1354" spans="7:9">
      <c r="H1354" s="2"/>
      <c r="I1354" s="2"/>
    </row>
    <row r="1355" spans="7:9">
      <c r="G1355" s="1"/>
      <c r="H1355" s="2"/>
      <c r="I1355" s="2"/>
    </row>
    <row r="1356" spans="7:9">
      <c r="G1356" s="1"/>
      <c r="H1356" s="2"/>
      <c r="I1356" s="2"/>
    </row>
    <row r="1357" spans="7:9">
      <c r="G1357" s="1"/>
      <c r="H1357" s="2"/>
    </row>
    <row r="1358" spans="7:9">
      <c r="G1358" s="1"/>
      <c r="H1358" s="2"/>
      <c r="I1358" s="2"/>
    </row>
    <row r="1359" spans="7:9">
      <c r="G1359" s="1"/>
      <c r="H1359" s="2"/>
      <c r="I1359" s="2"/>
    </row>
    <row r="1360" spans="7:9">
      <c r="G1360" s="1"/>
      <c r="H1360" s="2"/>
    </row>
    <row r="1361" spans="7:9">
      <c r="G1361" s="1"/>
      <c r="H1361" s="2"/>
      <c r="I1361" s="2"/>
    </row>
    <row r="1362" spans="7:9">
      <c r="G1362" s="1"/>
      <c r="H1362" s="2"/>
    </row>
    <row r="1363" spans="7:9">
      <c r="H1363" s="2"/>
      <c r="I1363" s="2"/>
    </row>
    <row r="1364" spans="7:9">
      <c r="G1364" s="1"/>
      <c r="H1364" s="2"/>
      <c r="I1364" s="2"/>
    </row>
    <row r="1365" spans="7:9">
      <c r="G1365" s="1"/>
      <c r="H1365" s="2"/>
    </row>
    <row r="1366" spans="7:9">
      <c r="H1366" s="2"/>
      <c r="I1366" s="2"/>
    </row>
    <row r="1367" spans="7:9">
      <c r="H1367" s="2"/>
    </row>
    <row r="1368" spans="7:9">
      <c r="G1368" s="1"/>
      <c r="H1368" s="2"/>
    </row>
    <row r="1369" spans="7:9">
      <c r="G1369" s="1"/>
      <c r="H1369" s="2"/>
    </row>
    <row r="1370" spans="7:9">
      <c r="G1370" s="1"/>
      <c r="H1370" s="2"/>
    </row>
    <row r="1371" spans="7:9">
      <c r="G1371" s="1"/>
      <c r="H1371" s="2"/>
    </row>
    <row r="1372" spans="7:9">
      <c r="G1372" s="1"/>
      <c r="H1372" s="2"/>
    </row>
    <row r="1373" spans="7:9">
      <c r="G1373" s="1"/>
    </row>
    <row r="1416" spans="7:9">
      <c r="G1416" s="1"/>
      <c r="H1416" s="2"/>
      <c r="I1416" s="2"/>
    </row>
    <row r="1417" spans="7:9">
      <c r="H1417" s="2"/>
    </row>
    <row r="1418" spans="7:9">
      <c r="G1418" s="1"/>
      <c r="H1418" s="2"/>
      <c r="I1418" s="2"/>
    </row>
    <row r="1419" spans="7:9">
      <c r="H1419" s="2"/>
    </row>
    <row r="1420" spans="7:9">
      <c r="G1420" s="1"/>
      <c r="H1420" s="2"/>
      <c r="I1420" s="2"/>
    </row>
    <row r="1421" spans="7:9">
      <c r="G1421" s="1"/>
      <c r="H1421" s="2"/>
    </row>
    <row r="1422" spans="7:9">
      <c r="G1422" s="1"/>
      <c r="H1422" s="2"/>
    </row>
    <row r="1423" spans="7:9">
      <c r="G1423" s="1"/>
      <c r="H1423" s="2"/>
    </row>
    <row r="1424" spans="7:9">
      <c r="G1424" s="1"/>
      <c r="H1424" s="2"/>
    </row>
    <row r="1425" spans="7:8">
      <c r="G1425" s="1"/>
      <c r="H1425" s="2"/>
    </row>
    <row r="1443" spans="7:9">
      <c r="G1443" s="1"/>
      <c r="H1443" s="2"/>
    </row>
    <row r="1444" spans="7:9">
      <c r="G1444" s="1"/>
      <c r="H1444" s="2"/>
    </row>
    <row r="1445" spans="7:9">
      <c r="I1445" s="2"/>
    </row>
    <row r="1446" spans="7:9">
      <c r="I1446" s="2"/>
    </row>
    <row r="1447" spans="7:9">
      <c r="I1447" s="2"/>
    </row>
    <row r="1448" spans="7:9">
      <c r="I1448" s="2"/>
    </row>
    <row r="1449" spans="7:9">
      <c r="I1449" s="2"/>
    </row>
    <row r="1450" spans="7:9">
      <c r="H1450" s="2"/>
      <c r="I1450" s="2"/>
    </row>
    <row r="1451" spans="7:9">
      <c r="G1451" s="1"/>
      <c r="H1451" s="2"/>
      <c r="I1451" s="2"/>
    </row>
    <row r="1452" spans="7:9">
      <c r="G1452" s="1"/>
      <c r="H1452" s="2"/>
    </row>
    <row r="1453" spans="7:9">
      <c r="H1453" s="2"/>
      <c r="I1453" s="2"/>
    </row>
    <row r="1454" spans="7:9">
      <c r="H1454" s="2"/>
    </row>
    <row r="1455" spans="7:9">
      <c r="G1455" s="1"/>
      <c r="H1455" s="2"/>
      <c r="I1455" s="2"/>
    </row>
    <row r="1456" spans="7:9">
      <c r="G1456" s="1"/>
      <c r="H1456" s="2"/>
      <c r="I1456" s="2"/>
    </row>
    <row r="1457" spans="7:9">
      <c r="G1457" s="1"/>
      <c r="H1457" s="2"/>
      <c r="I1457" s="2"/>
    </row>
    <row r="1458" spans="7:9">
      <c r="G1458" s="1"/>
      <c r="H1458" s="2"/>
      <c r="I1458" s="2"/>
    </row>
    <row r="1459" spans="7:9">
      <c r="G1459" s="1"/>
      <c r="H1459" s="2"/>
      <c r="I1459" s="2"/>
    </row>
    <row r="1460" spans="7:9">
      <c r="G1460" s="1"/>
      <c r="H1460" s="2"/>
      <c r="I1460" s="2"/>
    </row>
    <row r="1461" spans="7:9">
      <c r="H1461" s="2"/>
      <c r="I1461" s="2"/>
    </row>
    <row r="1462" spans="7:9">
      <c r="G1462" s="1"/>
      <c r="H1462" s="2"/>
      <c r="I1462" s="2"/>
    </row>
    <row r="1463" spans="7:9">
      <c r="G1463" s="1"/>
      <c r="H1463" s="2"/>
      <c r="I1463" s="2"/>
    </row>
    <row r="1464" spans="7:9">
      <c r="G1464" s="1"/>
      <c r="H1464" s="2"/>
    </row>
    <row r="1465" spans="7:9">
      <c r="G1465" s="1"/>
      <c r="H1465" s="2"/>
      <c r="I1465" s="2"/>
    </row>
    <row r="1466" spans="7:9">
      <c r="H1466" s="2"/>
      <c r="I1466" s="2"/>
    </row>
    <row r="1467" spans="7:9">
      <c r="H1467" s="2"/>
      <c r="I1467" s="2"/>
    </row>
    <row r="1468" spans="7:9">
      <c r="H1468" s="2"/>
      <c r="I1468" s="2"/>
    </row>
    <row r="1469" spans="7:9">
      <c r="G1469" s="1"/>
      <c r="H1469" s="2"/>
    </row>
    <row r="1470" spans="7:9">
      <c r="G1470" s="1"/>
      <c r="H1470" s="2"/>
      <c r="I1470" s="2"/>
    </row>
    <row r="1471" spans="7:9">
      <c r="G1471" s="1"/>
      <c r="H1471" s="2"/>
      <c r="I1471" s="2"/>
    </row>
    <row r="1472" spans="7:9">
      <c r="H1472" s="2"/>
    </row>
    <row r="1473" spans="7:8">
      <c r="G1473" s="1"/>
      <c r="H1473" s="2"/>
    </row>
    <row r="1474" spans="7:8">
      <c r="G1474" s="1"/>
      <c r="H1474" s="2"/>
    </row>
    <row r="1475" spans="7:8">
      <c r="G1475" s="1"/>
      <c r="H1475" s="2"/>
    </row>
    <row r="1476" spans="7:8">
      <c r="G1476" s="1"/>
      <c r="H1476" s="2"/>
    </row>
    <row r="1477" spans="7:8">
      <c r="G1477" s="1"/>
      <c r="H1477" s="2"/>
    </row>
    <row r="1478" spans="7:8">
      <c r="G1478" s="1"/>
      <c r="H1478" s="2"/>
    </row>
    <row r="1479" spans="7:8">
      <c r="G1479" s="1"/>
      <c r="H1479" s="2"/>
    </row>
    <row r="1480" spans="7:8">
      <c r="G1480" s="1"/>
      <c r="H1480" s="2"/>
    </row>
    <row r="1481" spans="7:8">
      <c r="G1481" s="1"/>
      <c r="H1481" s="2"/>
    </row>
    <row r="1482" spans="7:8">
      <c r="G1482" s="1"/>
      <c r="H1482" s="2"/>
    </row>
    <row r="1483" spans="7:8">
      <c r="G1483" s="1"/>
      <c r="H1483" s="2"/>
    </row>
    <row r="1484" spans="7:8">
      <c r="G1484" s="1"/>
      <c r="H1484" s="2"/>
    </row>
    <row r="1485" spans="7:8">
      <c r="G1485" s="1"/>
      <c r="H1485" s="2"/>
    </row>
    <row r="1486" spans="7:8">
      <c r="G1486" s="1"/>
      <c r="H1486" s="2"/>
    </row>
    <row r="1487" spans="7:8">
      <c r="G1487" s="1"/>
      <c r="H1487" s="2"/>
    </row>
    <row r="1488" spans="7:8">
      <c r="G1488" s="1"/>
      <c r="H1488" s="2"/>
    </row>
    <row r="1489" spans="7:9">
      <c r="G1489" s="1"/>
      <c r="H1489" s="2"/>
    </row>
    <row r="1490" spans="7:9">
      <c r="G1490" s="1"/>
      <c r="H1490" s="2"/>
      <c r="I1490" s="2"/>
    </row>
    <row r="1491" spans="7:9">
      <c r="G1491" s="1"/>
      <c r="H1491" s="2"/>
    </row>
    <row r="1492" spans="7:9">
      <c r="G1492" s="1"/>
      <c r="H1492" s="2"/>
    </row>
    <row r="1493" spans="7:9">
      <c r="G1493" s="1"/>
      <c r="H1493" s="2"/>
    </row>
    <row r="1494" spans="7:9">
      <c r="G1494" s="1"/>
      <c r="H1494" s="2"/>
    </row>
    <row r="1495" spans="7:9">
      <c r="G1495" s="1"/>
      <c r="H1495" s="2"/>
    </row>
    <row r="1496" spans="7:9">
      <c r="G1496" s="1"/>
      <c r="H1496" s="2"/>
    </row>
    <row r="1497" spans="7:9">
      <c r="G1497" s="1"/>
      <c r="H1497" s="2"/>
    </row>
    <row r="1544" spans="7:9">
      <c r="I1544" s="2"/>
    </row>
    <row r="1545" spans="7:9">
      <c r="H1545" s="2"/>
    </row>
    <row r="1546" spans="7:9">
      <c r="G1546" s="1"/>
      <c r="H1546" s="2"/>
      <c r="I1546" s="2"/>
    </row>
    <row r="1547" spans="7:9">
      <c r="G1547" s="1"/>
      <c r="H1547" s="2"/>
    </row>
    <row r="1548" spans="7:9">
      <c r="G1548" s="1"/>
      <c r="H1548" s="2"/>
    </row>
    <row r="1549" spans="7:9">
      <c r="H1549" s="2"/>
    </row>
    <row r="1550" spans="7:9">
      <c r="H1550" s="2"/>
    </row>
    <row r="1551" spans="7:9">
      <c r="G1551" s="1"/>
      <c r="H1551" s="2"/>
      <c r="I1551" s="2"/>
    </row>
    <row r="1552" spans="7:9">
      <c r="G1552" s="1"/>
      <c r="H1552" s="2"/>
    </row>
    <row r="1553" spans="7:9">
      <c r="G1553" s="1"/>
      <c r="H1553" s="2"/>
    </row>
    <row r="1554" spans="7:9">
      <c r="G1554" s="1"/>
      <c r="H1554" s="2"/>
      <c r="I1554" s="2"/>
    </row>
    <row r="1555" spans="7:9">
      <c r="G1555" s="1"/>
      <c r="H1555" s="2"/>
    </row>
    <row r="1569" spans="7:8">
      <c r="G1569" s="1"/>
      <c r="H1569" s="2"/>
    </row>
  </sheetData>
  <autoFilter ref="A1:AG211" xr:uid="{4D1DDDF6-E77F-4EB2-8E7A-5BD84EBE2A53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A129-58B6-4D2A-BDA6-87606E7DBB4F}">
  <sheetPr codeName="Hoja11">
    <tabColor rgb="FF92D050"/>
  </sheetPr>
  <dimension ref="A1:AK49"/>
  <sheetViews>
    <sheetView topLeftCell="A21" zoomScale="70" zoomScaleNormal="70" workbookViewId="0">
      <selection activeCell="D27" sqref="D27"/>
    </sheetView>
  </sheetViews>
  <sheetFormatPr baseColWidth="10" defaultColWidth="11.44140625" defaultRowHeight="14.4"/>
  <cols>
    <col min="1" max="1" width="16.5546875" bestFit="1" customWidth="1"/>
    <col min="2" max="2" width="8" bestFit="1" customWidth="1"/>
    <col min="3" max="3" width="10.5546875" bestFit="1" customWidth="1"/>
    <col min="4" max="4" width="45.88671875" bestFit="1" customWidth="1"/>
    <col min="5" max="5" width="4.5546875" bestFit="1" customWidth="1"/>
    <col min="6" max="6" width="13.6640625" customWidth="1"/>
    <col min="7" max="7" width="13.6640625" style="21" customWidth="1"/>
    <col min="8" max="8" width="11" customWidth="1"/>
    <col min="9" max="9" width="8" bestFit="1" customWidth="1"/>
    <col min="10" max="10" width="10.5546875" bestFit="1" customWidth="1"/>
    <col min="11" max="11" width="45.88671875" bestFit="1" customWidth="1"/>
    <col min="12" max="12" width="6" bestFit="1" customWidth="1"/>
    <col min="13" max="13" width="11.44140625" bestFit="1" customWidth="1"/>
    <col min="14" max="14" width="11" style="21" bestFit="1" customWidth="1"/>
    <col min="16" max="16" width="14.109375" style="21" bestFit="1" customWidth="1"/>
    <col min="17" max="17" width="12.88671875" bestFit="1" customWidth="1"/>
    <col min="18" max="18" width="15.44140625" bestFit="1" customWidth="1"/>
    <col min="19" max="19" width="23.109375" bestFit="1" customWidth="1"/>
    <col min="23" max="23" width="14.44140625" bestFit="1" customWidth="1"/>
    <col min="24" max="24" width="14.109375" bestFit="1" customWidth="1"/>
    <col min="25" max="25" width="24.44140625" bestFit="1" customWidth="1"/>
    <col min="26" max="26" width="24.5546875" bestFit="1" customWidth="1"/>
    <col min="27" max="27" width="29.6640625" bestFit="1" customWidth="1"/>
  </cols>
  <sheetData>
    <row r="1" spans="1:37" ht="29.1" customHeight="1" thickBot="1">
      <c r="B1" s="162" t="s">
        <v>888</v>
      </c>
      <c r="C1" s="163"/>
      <c r="D1" s="163"/>
      <c r="E1" s="163"/>
      <c r="F1" s="163"/>
      <c r="G1" s="164"/>
      <c r="I1" s="162" t="s">
        <v>889</v>
      </c>
      <c r="J1" s="163"/>
      <c r="K1" s="163"/>
      <c r="L1" s="163"/>
      <c r="M1" s="163"/>
      <c r="N1" s="164"/>
      <c r="P1" s="162" t="s">
        <v>890</v>
      </c>
      <c r="Q1" s="163"/>
      <c r="R1" s="163"/>
      <c r="S1" s="164"/>
      <c r="W1" s="160" t="s">
        <v>891</v>
      </c>
      <c r="X1" s="165"/>
      <c r="Y1" s="165"/>
      <c r="Z1" s="165"/>
      <c r="AA1" s="161"/>
      <c r="AC1" s="134"/>
      <c r="AE1" s="31" t="s">
        <v>892</v>
      </c>
      <c r="AF1" s="166" t="s">
        <v>893</v>
      </c>
      <c r="AG1" s="167"/>
      <c r="AH1" s="168"/>
      <c r="AJ1" s="160" t="s">
        <v>894</v>
      </c>
      <c r="AK1" s="161"/>
    </row>
    <row r="2" spans="1:37" ht="15" thickBot="1">
      <c r="A2" s="19" t="s">
        <v>73</v>
      </c>
      <c r="B2" s="6" t="s">
        <v>13</v>
      </c>
      <c r="C2" s="7" t="s">
        <v>14</v>
      </c>
      <c r="D2" s="7" t="s">
        <v>15</v>
      </c>
      <c r="E2" s="7" t="s">
        <v>16</v>
      </c>
      <c r="F2" s="7" t="s">
        <v>17</v>
      </c>
      <c r="G2" s="22" t="s">
        <v>18</v>
      </c>
      <c r="I2" s="6" t="s">
        <v>13</v>
      </c>
      <c r="J2" s="7" t="s">
        <v>14</v>
      </c>
      <c r="K2" s="7" t="s">
        <v>15</v>
      </c>
      <c r="L2" s="7" t="s">
        <v>16</v>
      </c>
      <c r="M2" s="7" t="s">
        <v>17</v>
      </c>
      <c r="N2" s="22" t="s">
        <v>18</v>
      </c>
      <c r="P2" s="135" t="s">
        <v>895</v>
      </c>
      <c r="Q2" s="7" t="s">
        <v>896</v>
      </c>
      <c r="R2" s="7" t="s">
        <v>897</v>
      </c>
      <c r="S2" s="8" t="s">
        <v>898</v>
      </c>
      <c r="W2" s="32" t="s">
        <v>899</v>
      </c>
      <c r="X2" s="40" t="s">
        <v>900</v>
      </c>
      <c r="Y2" s="40" t="s">
        <v>901</v>
      </c>
      <c r="Z2" s="40" t="s">
        <v>902</v>
      </c>
      <c r="AA2" s="33" t="s">
        <v>903</v>
      </c>
      <c r="AB2" s="12" t="s">
        <v>904</v>
      </c>
      <c r="AC2" s="12" t="s">
        <v>905</v>
      </c>
      <c r="AF2" s="26" t="s">
        <v>906</v>
      </c>
      <c r="AG2" s="26" t="s">
        <v>907</v>
      </c>
      <c r="AH2" s="26" t="s">
        <v>33</v>
      </c>
      <c r="AJ2" s="32" t="s">
        <v>869</v>
      </c>
      <c r="AK2" s="33" t="s">
        <v>908</v>
      </c>
    </row>
    <row r="3" spans="1:37">
      <c r="A3" t="s">
        <v>399</v>
      </c>
      <c r="B3">
        <v>61</v>
      </c>
      <c r="C3" t="s">
        <v>272</v>
      </c>
      <c r="D3" t="s">
        <v>273</v>
      </c>
      <c r="E3">
        <v>4287</v>
      </c>
      <c r="F3" s="23">
        <v>45449</v>
      </c>
      <c r="G3" s="21">
        <v>-8651778</v>
      </c>
      <c r="I3">
        <v>33</v>
      </c>
      <c r="J3" t="s">
        <v>272</v>
      </c>
      <c r="K3" t="s">
        <v>273</v>
      </c>
      <c r="L3">
        <v>52828</v>
      </c>
      <c r="M3" s="1" t="s">
        <v>396</v>
      </c>
      <c r="N3" s="21">
        <v>8651778</v>
      </c>
      <c r="P3" s="21">
        <v>0</v>
      </c>
      <c r="Q3" t="s">
        <v>909</v>
      </c>
      <c r="R3" s="21">
        <v>6</v>
      </c>
      <c r="S3" t="s">
        <v>910</v>
      </c>
      <c r="W3" t="s">
        <v>873</v>
      </c>
      <c r="X3">
        <v>12</v>
      </c>
      <c r="Z3" t="s">
        <v>911</v>
      </c>
      <c r="AA3" t="s">
        <v>872</v>
      </c>
    </row>
    <row r="4" spans="1:37">
      <c r="A4" t="s">
        <v>408</v>
      </c>
      <c r="B4">
        <v>61</v>
      </c>
      <c r="C4" t="s">
        <v>81</v>
      </c>
      <c r="D4" t="s">
        <v>82</v>
      </c>
      <c r="E4">
        <v>4288</v>
      </c>
      <c r="F4" s="1">
        <v>45449</v>
      </c>
      <c r="G4" s="21">
        <v>-6953515</v>
      </c>
      <c r="I4">
        <v>33</v>
      </c>
      <c r="J4" t="s">
        <v>81</v>
      </c>
      <c r="K4" t="s">
        <v>82</v>
      </c>
      <c r="L4">
        <v>52861</v>
      </c>
      <c r="M4" s="1">
        <v>45449</v>
      </c>
      <c r="N4" s="21">
        <v>6953515</v>
      </c>
      <c r="P4" s="21">
        <v>0</v>
      </c>
      <c r="Q4" t="s">
        <v>909</v>
      </c>
      <c r="R4">
        <v>0</v>
      </c>
      <c r="S4" t="s">
        <v>910</v>
      </c>
      <c r="W4" t="s">
        <v>912</v>
      </c>
      <c r="X4">
        <v>12</v>
      </c>
      <c r="Z4" t="s">
        <v>911</v>
      </c>
      <c r="AA4" t="s">
        <v>872</v>
      </c>
    </row>
    <row r="5" spans="1:37">
      <c r="A5" t="s">
        <v>398</v>
      </c>
      <c r="B5">
        <v>61</v>
      </c>
      <c r="C5" t="s">
        <v>252</v>
      </c>
      <c r="D5" t="s">
        <v>253</v>
      </c>
      <c r="E5">
        <v>4289</v>
      </c>
      <c r="F5" s="1">
        <v>45449</v>
      </c>
      <c r="G5" s="21">
        <v>-7078727</v>
      </c>
      <c r="I5">
        <v>33</v>
      </c>
      <c r="J5" t="s">
        <v>252</v>
      </c>
      <c r="K5" t="s">
        <v>253</v>
      </c>
      <c r="L5">
        <v>52826</v>
      </c>
      <c r="M5" s="1" t="s">
        <v>396</v>
      </c>
      <c r="N5" s="21">
        <v>7078727</v>
      </c>
      <c r="P5" s="21">
        <v>0</v>
      </c>
      <c r="Q5" t="s">
        <v>909</v>
      </c>
      <c r="R5">
        <v>6</v>
      </c>
      <c r="S5" t="s">
        <v>910</v>
      </c>
      <c r="W5" t="s">
        <v>26</v>
      </c>
      <c r="X5">
        <v>12</v>
      </c>
      <c r="Z5" t="s">
        <v>913</v>
      </c>
    </row>
    <row r="6" spans="1:37">
      <c r="A6" t="s">
        <v>397</v>
      </c>
      <c r="B6">
        <v>61</v>
      </c>
      <c r="C6" t="s">
        <v>280</v>
      </c>
      <c r="D6" t="s">
        <v>281</v>
      </c>
      <c r="E6">
        <v>4290</v>
      </c>
      <c r="F6" s="1">
        <v>45450</v>
      </c>
      <c r="G6" s="21">
        <v>-1337093</v>
      </c>
      <c r="I6">
        <v>33</v>
      </c>
      <c r="J6" t="s">
        <v>280</v>
      </c>
      <c r="K6" t="s">
        <v>281</v>
      </c>
      <c r="L6">
        <v>52811</v>
      </c>
      <c r="M6" s="1" t="s">
        <v>396</v>
      </c>
      <c r="N6" s="21">
        <v>1337093</v>
      </c>
      <c r="P6" s="21">
        <v>0</v>
      </c>
      <c r="Q6" t="s">
        <v>909</v>
      </c>
      <c r="R6">
        <v>7</v>
      </c>
      <c r="S6" t="s">
        <v>910</v>
      </c>
      <c r="W6" t="s">
        <v>914</v>
      </c>
      <c r="X6">
        <v>12</v>
      </c>
      <c r="Z6" t="s">
        <v>911</v>
      </c>
      <c r="AA6" t="s">
        <v>872</v>
      </c>
    </row>
    <row r="7" spans="1:37">
      <c r="A7" t="s">
        <v>402</v>
      </c>
      <c r="B7">
        <v>61</v>
      </c>
      <c r="C7" t="s">
        <v>218</v>
      </c>
      <c r="D7" t="s">
        <v>219</v>
      </c>
      <c r="E7">
        <v>4291</v>
      </c>
      <c r="F7" s="1" t="s">
        <v>443</v>
      </c>
      <c r="G7" s="21">
        <v>-2455050</v>
      </c>
      <c r="I7">
        <v>33</v>
      </c>
      <c r="J7" t="s">
        <v>218</v>
      </c>
      <c r="K7" t="s">
        <v>219</v>
      </c>
      <c r="L7">
        <v>52835</v>
      </c>
      <c r="M7" s="1">
        <v>45447</v>
      </c>
      <c r="N7" s="21">
        <v>2455050</v>
      </c>
      <c r="P7" s="21">
        <v>0</v>
      </c>
      <c r="Q7" t="s">
        <v>909</v>
      </c>
      <c r="R7">
        <v>10</v>
      </c>
      <c r="S7" t="s">
        <v>910</v>
      </c>
      <c r="W7" t="s">
        <v>915</v>
      </c>
      <c r="X7">
        <v>12</v>
      </c>
      <c r="Z7" t="s">
        <v>911</v>
      </c>
      <c r="AA7" t="s">
        <v>872</v>
      </c>
    </row>
    <row r="8" spans="1:37">
      <c r="A8" t="s">
        <v>391</v>
      </c>
      <c r="B8">
        <v>61</v>
      </c>
      <c r="C8" t="s">
        <v>115</v>
      </c>
      <c r="D8" t="s">
        <v>116</v>
      </c>
      <c r="E8">
        <v>4292</v>
      </c>
      <c r="F8" s="1" t="s">
        <v>478</v>
      </c>
      <c r="G8" s="21">
        <v>-9302629</v>
      </c>
      <c r="I8">
        <v>33</v>
      </c>
      <c r="J8" t="s">
        <v>115</v>
      </c>
      <c r="K8" t="s">
        <v>116</v>
      </c>
      <c r="L8">
        <v>52562</v>
      </c>
      <c r="M8" s="1">
        <v>45418</v>
      </c>
      <c r="N8" s="21">
        <v>9302629</v>
      </c>
      <c r="P8" s="21">
        <v>0</v>
      </c>
      <c r="Q8" t="s">
        <v>909</v>
      </c>
      <c r="R8">
        <v>42</v>
      </c>
      <c r="S8" t="s">
        <v>910</v>
      </c>
      <c r="W8" t="s">
        <v>27</v>
      </c>
      <c r="X8">
        <v>12</v>
      </c>
      <c r="Z8" t="s">
        <v>913</v>
      </c>
    </row>
    <row r="9" spans="1:37">
      <c r="A9" t="s">
        <v>453</v>
      </c>
      <c r="B9">
        <v>61</v>
      </c>
      <c r="C9" t="s">
        <v>187</v>
      </c>
      <c r="D9" t="s">
        <v>188</v>
      </c>
      <c r="E9">
        <v>4293</v>
      </c>
      <c r="F9" s="1" t="s">
        <v>498</v>
      </c>
      <c r="G9" s="21">
        <v>-32061029</v>
      </c>
      <c r="I9">
        <v>33</v>
      </c>
      <c r="J9" t="s">
        <v>187</v>
      </c>
      <c r="K9" t="s">
        <v>188</v>
      </c>
      <c r="L9">
        <v>52936</v>
      </c>
      <c r="M9" s="1" t="s">
        <v>443</v>
      </c>
      <c r="N9" s="21">
        <v>32061029</v>
      </c>
      <c r="P9" s="21">
        <v>0</v>
      </c>
      <c r="Q9" t="s">
        <v>909</v>
      </c>
      <c r="R9">
        <v>5</v>
      </c>
      <c r="S9" t="s">
        <v>910</v>
      </c>
      <c r="W9" t="s">
        <v>916</v>
      </c>
      <c r="X9">
        <v>12</v>
      </c>
      <c r="Z9" t="s">
        <v>911</v>
      </c>
      <c r="AA9" t="s">
        <v>872</v>
      </c>
    </row>
    <row r="10" spans="1:37">
      <c r="A10" t="s">
        <v>439</v>
      </c>
      <c r="B10">
        <v>61</v>
      </c>
      <c r="C10" t="s">
        <v>167</v>
      </c>
      <c r="D10" t="s">
        <v>168</v>
      </c>
      <c r="E10">
        <v>4294</v>
      </c>
      <c r="F10" s="1" t="s">
        <v>498</v>
      </c>
      <c r="G10" s="21">
        <v>-6275867</v>
      </c>
      <c r="I10">
        <v>33</v>
      </c>
      <c r="J10" t="s">
        <v>167</v>
      </c>
      <c r="K10" t="s">
        <v>168</v>
      </c>
      <c r="L10">
        <v>52930</v>
      </c>
      <c r="M10" s="1" t="s">
        <v>433</v>
      </c>
      <c r="N10" s="21">
        <v>6275867</v>
      </c>
      <c r="P10" s="21">
        <v>0</v>
      </c>
      <c r="Q10" t="s">
        <v>909</v>
      </c>
      <c r="R10">
        <v>6</v>
      </c>
      <c r="S10" t="s">
        <v>910</v>
      </c>
      <c r="W10" t="s">
        <v>917</v>
      </c>
      <c r="X10">
        <v>12</v>
      </c>
      <c r="Z10" t="s">
        <v>911</v>
      </c>
      <c r="AA10" t="s">
        <v>872</v>
      </c>
    </row>
    <row r="11" spans="1:37">
      <c r="A11" t="s">
        <v>487</v>
      </c>
      <c r="B11">
        <v>61</v>
      </c>
      <c r="C11" t="s">
        <v>286</v>
      </c>
      <c r="D11" t="s">
        <v>287</v>
      </c>
      <c r="E11">
        <v>4295</v>
      </c>
      <c r="F11" s="1" t="s">
        <v>498</v>
      </c>
      <c r="G11" s="21">
        <v>-6378180</v>
      </c>
      <c r="I11">
        <v>33</v>
      </c>
      <c r="J11" t="s">
        <v>286</v>
      </c>
      <c r="K11" t="s">
        <v>287</v>
      </c>
      <c r="L11">
        <v>52958</v>
      </c>
      <c r="M11" s="1" t="s">
        <v>478</v>
      </c>
      <c r="N11" s="21">
        <v>6378180</v>
      </c>
      <c r="P11" s="21">
        <v>0</v>
      </c>
      <c r="Q11" t="s">
        <v>909</v>
      </c>
      <c r="R11">
        <v>2</v>
      </c>
      <c r="S11" t="s">
        <v>910</v>
      </c>
      <c r="W11" t="s">
        <v>28</v>
      </c>
      <c r="X11">
        <v>12</v>
      </c>
      <c r="Z11" t="s">
        <v>913</v>
      </c>
    </row>
    <row r="12" spans="1:37">
      <c r="A12" t="s">
        <v>636</v>
      </c>
      <c r="B12">
        <v>61</v>
      </c>
      <c r="C12" t="s">
        <v>347</v>
      </c>
      <c r="D12" t="s">
        <v>348</v>
      </c>
      <c r="E12">
        <v>4296</v>
      </c>
      <c r="F12" s="1" t="s">
        <v>597</v>
      </c>
      <c r="G12" s="21">
        <v>-37477856</v>
      </c>
      <c r="I12">
        <v>33</v>
      </c>
      <c r="J12" t="s">
        <v>347</v>
      </c>
      <c r="K12" t="s">
        <v>348</v>
      </c>
      <c r="L12">
        <v>53050</v>
      </c>
      <c r="M12" s="1" t="s">
        <v>597</v>
      </c>
      <c r="N12" s="21">
        <v>37477856</v>
      </c>
      <c r="P12" s="21">
        <v>0</v>
      </c>
      <c r="Q12" t="s">
        <v>909</v>
      </c>
      <c r="R12">
        <v>0</v>
      </c>
      <c r="S12" t="s">
        <v>910</v>
      </c>
      <c r="W12" t="s">
        <v>918</v>
      </c>
      <c r="X12">
        <v>12</v>
      </c>
      <c r="Z12" t="s">
        <v>911</v>
      </c>
      <c r="AA12" t="s">
        <v>879</v>
      </c>
    </row>
    <row r="13" spans="1:37">
      <c r="A13" t="s">
        <v>600</v>
      </c>
      <c r="B13">
        <v>61</v>
      </c>
      <c r="C13" t="s">
        <v>592</v>
      </c>
      <c r="D13" t="s">
        <v>593</v>
      </c>
      <c r="E13">
        <v>4297</v>
      </c>
      <c r="F13" s="1" t="s">
        <v>597</v>
      </c>
      <c r="G13" s="21">
        <v>-20228347</v>
      </c>
      <c r="I13">
        <v>33</v>
      </c>
      <c r="J13" t="s">
        <v>592</v>
      </c>
      <c r="K13" t="s">
        <v>593</v>
      </c>
      <c r="L13">
        <v>53028</v>
      </c>
      <c r="M13" s="1" t="s">
        <v>597</v>
      </c>
      <c r="N13" s="21">
        <v>20228347</v>
      </c>
      <c r="P13" s="21">
        <v>0</v>
      </c>
      <c r="Q13" t="s">
        <v>909</v>
      </c>
      <c r="R13">
        <v>0</v>
      </c>
      <c r="S13" t="s">
        <v>910</v>
      </c>
      <c r="W13" t="s">
        <v>878</v>
      </c>
      <c r="X13">
        <v>12</v>
      </c>
      <c r="Z13" t="s">
        <v>911</v>
      </c>
      <c r="AA13" t="s">
        <v>879</v>
      </c>
    </row>
    <row r="14" spans="1:37">
      <c r="A14" t="s">
        <v>596</v>
      </c>
      <c r="B14">
        <v>61</v>
      </c>
      <c r="C14" t="s">
        <v>592</v>
      </c>
      <c r="D14" t="s">
        <v>593</v>
      </c>
      <c r="E14">
        <v>4298</v>
      </c>
      <c r="F14" s="1" t="s">
        <v>597</v>
      </c>
      <c r="G14" s="21">
        <v>-18530823</v>
      </c>
      <c r="I14">
        <v>33</v>
      </c>
      <c r="J14" t="s">
        <v>592</v>
      </c>
      <c r="K14" t="s">
        <v>593</v>
      </c>
      <c r="L14">
        <v>53027</v>
      </c>
      <c r="M14" s="1" t="s">
        <v>569</v>
      </c>
      <c r="N14" s="21">
        <v>18530823</v>
      </c>
      <c r="P14" s="21">
        <v>0</v>
      </c>
      <c r="Q14" t="s">
        <v>909</v>
      </c>
      <c r="R14">
        <v>1</v>
      </c>
      <c r="S14" t="s">
        <v>910</v>
      </c>
      <c r="W14" t="s">
        <v>201</v>
      </c>
      <c r="X14">
        <v>12</v>
      </c>
      <c r="Z14" t="s">
        <v>911</v>
      </c>
      <c r="AA14" t="s">
        <v>880</v>
      </c>
    </row>
    <row r="15" spans="1:37">
      <c r="A15" t="s">
        <v>736</v>
      </c>
      <c r="B15">
        <v>61</v>
      </c>
      <c r="C15" t="s">
        <v>731</v>
      </c>
      <c r="D15" t="s">
        <v>732</v>
      </c>
      <c r="E15">
        <v>4299</v>
      </c>
      <c r="F15" s="1" t="s">
        <v>706</v>
      </c>
      <c r="G15" s="21">
        <v>-14789235</v>
      </c>
      <c r="I15">
        <v>33</v>
      </c>
      <c r="J15" t="s">
        <v>731</v>
      </c>
      <c r="K15" t="s">
        <v>732</v>
      </c>
      <c r="L15">
        <v>53110</v>
      </c>
      <c r="M15" s="1" t="s">
        <v>706</v>
      </c>
      <c r="N15" s="21">
        <v>14789235</v>
      </c>
      <c r="P15" s="21">
        <v>0</v>
      </c>
      <c r="Q15" t="s">
        <v>909</v>
      </c>
      <c r="R15">
        <v>0</v>
      </c>
      <c r="S15" t="s">
        <v>910</v>
      </c>
      <c r="W15" t="s">
        <v>107</v>
      </c>
      <c r="X15">
        <v>12</v>
      </c>
      <c r="Z15" t="s">
        <v>911</v>
      </c>
      <c r="AA15" t="s">
        <v>880</v>
      </c>
    </row>
    <row r="16" spans="1:37">
      <c r="A16" t="s">
        <v>653</v>
      </c>
      <c r="B16">
        <v>61</v>
      </c>
      <c r="C16" t="s">
        <v>371</v>
      </c>
      <c r="D16" t="s">
        <v>372</v>
      </c>
      <c r="E16">
        <v>4300</v>
      </c>
      <c r="F16" t="s">
        <v>706</v>
      </c>
      <c r="G16" s="21">
        <v>-4810587</v>
      </c>
      <c r="I16">
        <v>33</v>
      </c>
      <c r="J16" t="s">
        <v>371</v>
      </c>
      <c r="K16" t="s">
        <v>372</v>
      </c>
      <c r="L16">
        <v>53058</v>
      </c>
      <c r="M16" t="s">
        <v>643</v>
      </c>
      <c r="N16" s="21">
        <v>4810587</v>
      </c>
      <c r="P16" s="21">
        <v>0</v>
      </c>
      <c r="Q16" t="s">
        <v>909</v>
      </c>
      <c r="R16">
        <v>2</v>
      </c>
      <c r="S16" t="s">
        <v>910</v>
      </c>
    </row>
    <row r="17" spans="1:19">
      <c r="A17" t="s">
        <v>673</v>
      </c>
      <c r="B17">
        <v>61</v>
      </c>
      <c r="C17" t="s">
        <v>288</v>
      </c>
      <c r="D17" t="s">
        <v>289</v>
      </c>
      <c r="E17">
        <v>4301</v>
      </c>
      <c r="F17" t="s">
        <v>706</v>
      </c>
      <c r="G17" s="21">
        <v>-80737</v>
      </c>
      <c r="I17">
        <v>33</v>
      </c>
      <c r="J17" t="s">
        <v>288</v>
      </c>
      <c r="K17" t="s">
        <v>289</v>
      </c>
      <c r="L17">
        <v>53070</v>
      </c>
      <c r="M17" t="s">
        <v>643</v>
      </c>
      <c r="N17" s="21">
        <v>80737</v>
      </c>
      <c r="P17" s="21">
        <v>0</v>
      </c>
      <c r="Q17" t="s">
        <v>909</v>
      </c>
      <c r="R17">
        <v>2</v>
      </c>
      <c r="S17" t="s">
        <v>910</v>
      </c>
    </row>
    <row r="18" spans="1:19">
      <c r="A18" t="s">
        <v>551</v>
      </c>
      <c r="B18">
        <v>61</v>
      </c>
      <c r="C18" t="s">
        <v>218</v>
      </c>
      <c r="D18" t="s">
        <v>219</v>
      </c>
      <c r="E18">
        <v>4302</v>
      </c>
      <c r="F18" t="s">
        <v>706</v>
      </c>
      <c r="G18" s="21">
        <v>-1145351</v>
      </c>
      <c r="I18">
        <v>33</v>
      </c>
      <c r="J18" t="s">
        <v>218</v>
      </c>
      <c r="K18" t="s">
        <v>219</v>
      </c>
      <c r="L18">
        <v>53002</v>
      </c>
      <c r="M18" t="s">
        <v>528</v>
      </c>
      <c r="N18" s="21">
        <v>1145351</v>
      </c>
      <c r="P18" s="21">
        <v>0</v>
      </c>
      <c r="Q18" t="s">
        <v>909</v>
      </c>
      <c r="R18">
        <v>7</v>
      </c>
      <c r="S18" t="s">
        <v>910</v>
      </c>
    </row>
    <row r="19" spans="1:19">
      <c r="A19" t="s">
        <v>508</v>
      </c>
      <c r="B19">
        <v>61</v>
      </c>
      <c r="C19" t="s">
        <v>167</v>
      </c>
      <c r="D19" t="s">
        <v>168</v>
      </c>
      <c r="E19">
        <v>4303</v>
      </c>
      <c r="F19" t="s">
        <v>706</v>
      </c>
      <c r="G19" s="21">
        <v>-3276917</v>
      </c>
      <c r="I19">
        <v>33</v>
      </c>
      <c r="J19" t="s">
        <v>167</v>
      </c>
      <c r="K19" t="s">
        <v>168</v>
      </c>
      <c r="L19">
        <v>52971</v>
      </c>
      <c r="M19" s="1" t="s">
        <v>498</v>
      </c>
      <c r="N19" s="21">
        <v>3276917</v>
      </c>
      <c r="P19" s="21">
        <v>0</v>
      </c>
      <c r="Q19" t="s">
        <v>909</v>
      </c>
      <c r="R19">
        <v>9</v>
      </c>
      <c r="S19" t="s">
        <v>910</v>
      </c>
    </row>
    <row r="21" spans="1:19">
      <c r="M21" s="1"/>
    </row>
    <row r="39" spans="3:9">
      <c r="C39" t="s">
        <v>2</v>
      </c>
      <c r="D39" t="s">
        <v>919</v>
      </c>
      <c r="E39" t="s">
        <v>920</v>
      </c>
      <c r="F39" t="s">
        <v>921</v>
      </c>
      <c r="G39" s="21" t="s">
        <v>922</v>
      </c>
      <c r="H39" t="s">
        <v>923</v>
      </c>
      <c r="I39" t="s">
        <v>924</v>
      </c>
    </row>
    <row r="40" spans="3:9">
      <c r="C40" t="s">
        <v>189</v>
      </c>
      <c r="D40" t="s">
        <v>190</v>
      </c>
      <c r="E40">
        <v>0</v>
      </c>
      <c r="F40" s="21">
        <v>891632</v>
      </c>
      <c r="G40" s="21">
        <v>169410</v>
      </c>
      <c r="H40" s="21">
        <v>1061042</v>
      </c>
    </row>
    <row r="41" spans="3:9">
      <c r="C41" t="s">
        <v>343</v>
      </c>
      <c r="D41" t="s">
        <v>344</v>
      </c>
      <c r="E41">
        <v>0</v>
      </c>
      <c r="F41" s="21">
        <v>24613728</v>
      </c>
      <c r="G41" s="21">
        <v>4676608</v>
      </c>
      <c r="H41" s="21">
        <v>29290336</v>
      </c>
    </row>
    <row r="42" spans="3:9">
      <c r="C42" t="s">
        <v>282</v>
      </c>
      <c r="D42" t="s">
        <v>283</v>
      </c>
      <c r="E42">
        <v>0</v>
      </c>
      <c r="F42" s="21">
        <v>832964</v>
      </c>
      <c r="G42" s="21">
        <v>158262</v>
      </c>
      <c r="H42" s="21">
        <v>991226</v>
      </c>
    </row>
    <row r="43" spans="3:9">
      <c r="C43" t="s">
        <v>256</v>
      </c>
      <c r="D43" t="s">
        <v>257</v>
      </c>
      <c r="E43">
        <v>0</v>
      </c>
      <c r="F43" s="21">
        <v>881493</v>
      </c>
      <c r="G43" s="21">
        <v>167484</v>
      </c>
      <c r="H43" s="21">
        <v>1048977</v>
      </c>
    </row>
    <row r="44" spans="3:9">
      <c r="C44" t="s">
        <v>365</v>
      </c>
      <c r="D44" t="s">
        <v>366</v>
      </c>
      <c r="E44">
        <v>0</v>
      </c>
      <c r="F44" s="21">
        <v>0</v>
      </c>
      <c r="G44" s="21">
        <v>0</v>
      </c>
      <c r="H44" s="21">
        <v>0</v>
      </c>
    </row>
    <row r="45" spans="3:9">
      <c r="C45" t="s">
        <v>210</v>
      </c>
      <c r="D45" t="s">
        <v>211</v>
      </c>
      <c r="E45">
        <v>0</v>
      </c>
      <c r="F45" s="21">
        <v>703025</v>
      </c>
      <c r="G45" s="21">
        <v>133574</v>
      </c>
      <c r="H45" s="21">
        <v>836599</v>
      </c>
    </row>
    <row r="46" spans="3:9">
      <c r="C46" t="s">
        <v>220</v>
      </c>
      <c r="D46" t="s">
        <v>221</v>
      </c>
      <c r="E46">
        <v>0</v>
      </c>
      <c r="F46" s="21">
        <v>330703</v>
      </c>
      <c r="G46" s="21">
        <v>62834</v>
      </c>
      <c r="H46" s="21">
        <v>393537</v>
      </c>
    </row>
    <row r="47" spans="3:9">
      <c r="C47" t="s">
        <v>356</v>
      </c>
      <c r="D47" t="s">
        <v>357</v>
      </c>
      <c r="E47">
        <v>0</v>
      </c>
      <c r="F47" s="21">
        <v>127910528</v>
      </c>
      <c r="G47" s="21">
        <v>24303001</v>
      </c>
      <c r="H47" s="21">
        <v>152213529</v>
      </c>
    </row>
    <row r="48" spans="3:9">
      <c r="C48" t="s">
        <v>373</v>
      </c>
      <c r="D48" t="s">
        <v>374</v>
      </c>
      <c r="E48">
        <v>0</v>
      </c>
      <c r="F48" s="21">
        <v>185678</v>
      </c>
      <c r="G48" s="21">
        <v>35279</v>
      </c>
      <c r="H48" s="21">
        <v>220957</v>
      </c>
    </row>
    <row r="49" spans="3:8">
      <c r="C49" t="s">
        <v>195</v>
      </c>
      <c r="D49" t="s">
        <v>196</v>
      </c>
      <c r="E49">
        <v>0</v>
      </c>
      <c r="F49" s="21">
        <v>2316161</v>
      </c>
      <c r="G49" s="21">
        <v>440071</v>
      </c>
      <c r="H49" s="21">
        <v>2756232</v>
      </c>
    </row>
  </sheetData>
  <mergeCells count="6">
    <mergeCell ref="AJ1:AK1"/>
    <mergeCell ref="B1:G1"/>
    <mergeCell ref="I1:N1"/>
    <mergeCell ref="P1:S1"/>
    <mergeCell ref="W1:AA1"/>
    <mergeCell ref="AF1:AH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2B6F01-7D00-4A81-8D64-C06267A08CE8}">
          <x14:formula1>
            <xm:f>LC!$D$2:$D$100000</xm:f>
          </x14:formula1>
          <xm:sqref>AE1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FA3CF-C0BA-4A91-83E5-DE26A895F745}">
  <sheetPr codeName="Hoja2">
    <tabColor rgb="FF92D050"/>
  </sheetPr>
  <dimension ref="A1:AT1540"/>
  <sheetViews>
    <sheetView topLeftCell="AF1" zoomScale="96" zoomScaleNormal="55" workbookViewId="0">
      <selection activeCell="AT2" sqref="AT2"/>
    </sheetView>
  </sheetViews>
  <sheetFormatPr baseColWidth="10" defaultColWidth="11.44140625" defaultRowHeight="14.4"/>
  <cols>
    <col min="5" max="5" width="58.109375" bestFit="1" customWidth="1"/>
    <col min="7" max="7" width="16.88671875" bestFit="1" customWidth="1"/>
    <col min="11" max="11" width="13.109375" style="21" bestFit="1" customWidth="1"/>
    <col min="12" max="13" width="11" style="21" bestFit="1" customWidth="1"/>
    <col min="14" max="14" width="13.109375" style="21" bestFit="1" customWidth="1"/>
    <col min="45" max="45" width="15.109375" bestFit="1" customWidth="1"/>
  </cols>
  <sheetData>
    <row r="1" spans="1:46">
      <c r="A1" s="26" t="s">
        <v>31</v>
      </c>
      <c r="B1" s="26" t="s">
        <v>13</v>
      </c>
      <c r="C1" s="26" t="s">
        <v>32</v>
      </c>
      <c r="D1" s="26" t="s">
        <v>14</v>
      </c>
      <c r="E1" s="26" t="s">
        <v>15</v>
      </c>
      <c r="F1" s="26" t="s">
        <v>33</v>
      </c>
      <c r="G1" s="26" t="s">
        <v>17</v>
      </c>
      <c r="H1" s="26" t="s">
        <v>34</v>
      </c>
      <c r="I1" s="26" t="s">
        <v>35</v>
      </c>
      <c r="J1" s="26" t="s">
        <v>36</v>
      </c>
      <c r="K1" s="30" t="s">
        <v>37</v>
      </c>
      <c r="L1" s="30" t="s">
        <v>38</v>
      </c>
      <c r="M1" s="30" t="s">
        <v>39</v>
      </c>
      <c r="N1" s="30" t="s">
        <v>18</v>
      </c>
      <c r="O1" s="26" t="s">
        <v>40</v>
      </c>
      <c r="P1" s="26" t="s">
        <v>41</v>
      </c>
      <c r="Q1" s="26" t="s">
        <v>42</v>
      </c>
      <c r="R1" s="26" t="s">
        <v>43</v>
      </c>
      <c r="S1" s="26" t="s">
        <v>44</v>
      </c>
      <c r="T1" s="26" t="s">
        <v>45</v>
      </c>
      <c r="U1" s="26" t="s">
        <v>46</v>
      </c>
      <c r="V1" s="26" t="s">
        <v>47</v>
      </c>
      <c r="W1" s="26" t="s">
        <v>48</v>
      </c>
      <c r="X1" s="26" t="s">
        <v>49</v>
      </c>
      <c r="Y1" s="26" t="s">
        <v>50</v>
      </c>
      <c r="Z1" s="26" t="s">
        <v>51</v>
      </c>
      <c r="AA1" s="26" t="s">
        <v>52</v>
      </c>
      <c r="AB1" s="26" t="s">
        <v>53</v>
      </c>
      <c r="AC1" s="26" t="s">
        <v>54</v>
      </c>
      <c r="AD1" s="26" t="s">
        <v>55</v>
      </c>
      <c r="AE1" s="26" t="s">
        <v>56</v>
      </c>
      <c r="AF1" s="26" t="s">
        <v>57</v>
      </c>
      <c r="AG1" s="26" t="s">
        <v>58</v>
      </c>
      <c r="AH1" s="26" t="s">
        <v>925</v>
      </c>
      <c r="AI1" s="26" t="s">
        <v>59</v>
      </c>
      <c r="AJ1" s="26" t="s">
        <v>60</v>
      </c>
      <c r="AK1" s="26" t="s">
        <v>61</v>
      </c>
      <c r="AL1" s="26" t="s">
        <v>62</v>
      </c>
      <c r="AM1" s="26" t="s">
        <v>63</v>
      </c>
      <c r="AN1" s="26" t="s">
        <v>64</v>
      </c>
      <c r="AO1" s="26" t="s">
        <v>65</v>
      </c>
      <c r="AP1" s="26" t="s">
        <v>66</v>
      </c>
      <c r="AQ1" s="26" t="s">
        <v>67</v>
      </c>
      <c r="AR1" s="26" t="s">
        <v>926</v>
      </c>
      <c r="AS1" s="26" t="s">
        <v>73</v>
      </c>
      <c r="AT1" s="39" t="s">
        <v>869</v>
      </c>
    </row>
    <row r="2" spans="1:46">
      <c r="A2">
        <v>1</v>
      </c>
      <c r="B2">
        <v>33</v>
      </c>
      <c r="C2" t="s">
        <v>74</v>
      </c>
      <c r="D2" t="s">
        <v>375</v>
      </c>
      <c r="E2" t="s">
        <v>376</v>
      </c>
      <c r="F2">
        <v>52830</v>
      </c>
      <c r="G2" s="1">
        <v>45446</v>
      </c>
      <c r="H2" s="2">
        <v>45357.615081018521</v>
      </c>
      <c r="I2" s="2">
        <v>45418.500509259262</v>
      </c>
      <c r="J2" s="2"/>
      <c r="K2" s="21">
        <v>0</v>
      </c>
      <c r="L2" s="21">
        <v>687578</v>
      </c>
      <c r="M2" s="21">
        <v>130640</v>
      </c>
      <c r="N2" s="21">
        <v>818218</v>
      </c>
      <c r="O2">
        <v>0</v>
      </c>
      <c r="P2">
        <v>0</v>
      </c>
      <c r="Q2">
        <v>0</v>
      </c>
      <c r="R2">
        <v>0</v>
      </c>
      <c r="S2">
        <v>0</v>
      </c>
      <c r="T2" t="s">
        <v>77</v>
      </c>
      <c r="U2">
        <v>0</v>
      </c>
      <c r="V2">
        <v>0</v>
      </c>
      <c r="W2">
        <v>0</v>
      </c>
      <c r="X2">
        <v>0</v>
      </c>
      <c r="AC2">
        <v>0</v>
      </c>
      <c r="AE2">
        <v>0</v>
      </c>
      <c r="AF2">
        <v>2</v>
      </c>
      <c r="AG2">
        <v>0</v>
      </c>
      <c r="AH2">
        <v>0</v>
      </c>
      <c r="AI2">
        <v>0</v>
      </c>
      <c r="AM2">
        <v>0</v>
      </c>
      <c r="AR2" t="s">
        <v>872</v>
      </c>
      <c r="AS2" t="s">
        <v>3742</v>
      </c>
      <c r="AT2">
        <v>6</v>
      </c>
    </row>
    <row r="3" spans="1:46">
      <c r="A3">
        <v>2</v>
      </c>
      <c r="B3">
        <v>33</v>
      </c>
      <c r="C3" t="s">
        <v>74</v>
      </c>
      <c r="D3" t="s">
        <v>97</v>
      </c>
      <c r="E3" t="s">
        <v>98</v>
      </c>
      <c r="F3">
        <v>52831</v>
      </c>
      <c r="G3" s="1">
        <v>45446</v>
      </c>
      <c r="H3" s="2">
        <v>45357.615613425929</v>
      </c>
      <c r="I3" s="2"/>
      <c r="K3" s="21">
        <v>0</v>
      </c>
      <c r="L3" s="21">
        <v>535742</v>
      </c>
      <c r="M3" s="21">
        <v>101791</v>
      </c>
      <c r="N3" s="21">
        <v>637533</v>
      </c>
      <c r="O3">
        <v>0</v>
      </c>
      <c r="P3">
        <v>0</v>
      </c>
      <c r="Q3">
        <v>0</v>
      </c>
      <c r="R3">
        <v>0</v>
      </c>
      <c r="S3">
        <v>0</v>
      </c>
      <c r="T3" t="s">
        <v>77</v>
      </c>
      <c r="U3">
        <v>0</v>
      </c>
      <c r="V3">
        <v>0</v>
      </c>
      <c r="W3">
        <v>0</v>
      </c>
      <c r="X3">
        <v>0</v>
      </c>
      <c r="AC3">
        <v>0</v>
      </c>
      <c r="AE3">
        <v>0</v>
      </c>
      <c r="AF3">
        <v>2</v>
      </c>
      <c r="AG3">
        <v>0</v>
      </c>
      <c r="AH3">
        <v>0</v>
      </c>
      <c r="AI3">
        <v>0</v>
      </c>
      <c r="AM3">
        <v>0</v>
      </c>
      <c r="AR3" t="s">
        <v>872</v>
      </c>
      <c r="AS3" t="s">
        <v>927</v>
      </c>
      <c r="AT3">
        <v>6</v>
      </c>
    </row>
    <row r="4" spans="1:46">
      <c r="A4">
        <v>3</v>
      </c>
      <c r="B4">
        <v>33</v>
      </c>
      <c r="C4" t="s">
        <v>74</v>
      </c>
      <c r="D4" t="s">
        <v>99</v>
      </c>
      <c r="E4" t="s">
        <v>100</v>
      </c>
      <c r="F4">
        <v>52832</v>
      </c>
      <c r="G4" s="1">
        <v>45446</v>
      </c>
      <c r="H4" s="2">
        <v>45357.619872685187</v>
      </c>
      <c r="I4" s="2">
        <v>45388.115497685183</v>
      </c>
      <c r="J4" s="2"/>
      <c r="K4" s="21">
        <v>0</v>
      </c>
      <c r="L4" s="21">
        <v>9945121</v>
      </c>
      <c r="M4" s="21">
        <v>1889572</v>
      </c>
      <c r="N4" s="21">
        <v>11834693</v>
      </c>
      <c r="O4">
        <v>0</v>
      </c>
      <c r="P4">
        <v>0</v>
      </c>
      <c r="Q4">
        <v>0</v>
      </c>
      <c r="R4">
        <v>0</v>
      </c>
      <c r="S4">
        <v>0</v>
      </c>
      <c r="T4" t="s">
        <v>77</v>
      </c>
      <c r="U4">
        <v>0</v>
      </c>
      <c r="V4">
        <v>0</v>
      </c>
      <c r="W4">
        <v>0</v>
      </c>
      <c r="X4">
        <v>0</v>
      </c>
      <c r="AC4">
        <v>0</v>
      </c>
      <c r="AE4">
        <v>0</v>
      </c>
      <c r="AF4">
        <v>2</v>
      </c>
      <c r="AG4">
        <v>0</v>
      </c>
      <c r="AH4">
        <v>0</v>
      </c>
      <c r="AI4">
        <v>0</v>
      </c>
      <c r="AM4">
        <v>0</v>
      </c>
      <c r="AR4" t="s">
        <v>872</v>
      </c>
      <c r="AS4" t="s">
        <v>933</v>
      </c>
      <c r="AT4">
        <v>6</v>
      </c>
    </row>
    <row r="5" spans="1:46">
      <c r="A5">
        <v>4</v>
      </c>
      <c r="B5">
        <v>33</v>
      </c>
      <c r="C5" t="s">
        <v>74</v>
      </c>
      <c r="D5" t="s">
        <v>99</v>
      </c>
      <c r="E5" t="s">
        <v>100</v>
      </c>
      <c r="F5">
        <v>52833</v>
      </c>
      <c r="G5" s="1">
        <v>45446</v>
      </c>
      <c r="H5" s="2">
        <v>45357.621168981481</v>
      </c>
      <c r="I5" s="2">
        <v>45388.115833333337</v>
      </c>
      <c r="J5" s="2"/>
      <c r="K5" s="21">
        <v>0</v>
      </c>
      <c r="L5" s="21">
        <v>775587</v>
      </c>
      <c r="M5" s="21">
        <v>147362</v>
      </c>
      <c r="N5" s="21">
        <v>922949</v>
      </c>
      <c r="O5">
        <v>0</v>
      </c>
      <c r="P5">
        <v>0</v>
      </c>
      <c r="Q5">
        <v>0</v>
      </c>
      <c r="R5">
        <v>0</v>
      </c>
      <c r="S5">
        <v>0</v>
      </c>
      <c r="T5" t="s">
        <v>77</v>
      </c>
      <c r="U5">
        <v>0</v>
      </c>
      <c r="V5">
        <v>0</v>
      </c>
      <c r="W5">
        <v>0</v>
      </c>
      <c r="X5">
        <v>0</v>
      </c>
      <c r="AC5">
        <v>0</v>
      </c>
      <c r="AE5">
        <v>0</v>
      </c>
      <c r="AF5">
        <v>2</v>
      </c>
      <c r="AG5">
        <v>0</v>
      </c>
      <c r="AH5">
        <v>0</v>
      </c>
      <c r="AI5">
        <v>0</v>
      </c>
      <c r="AM5">
        <v>0</v>
      </c>
      <c r="AR5" t="s">
        <v>872</v>
      </c>
      <c r="AS5" t="s">
        <v>933</v>
      </c>
      <c r="AT5">
        <v>6</v>
      </c>
    </row>
    <row r="6" spans="1:46">
      <c r="A6">
        <v>5</v>
      </c>
      <c r="B6">
        <v>33</v>
      </c>
      <c r="C6" t="s">
        <v>74</v>
      </c>
      <c r="D6" t="s">
        <v>400</v>
      </c>
      <c r="E6" t="s">
        <v>401</v>
      </c>
      <c r="F6">
        <v>52834</v>
      </c>
      <c r="G6" s="1">
        <v>45447</v>
      </c>
      <c r="H6" s="2">
        <v>45388.739675925928</v>
      </c>
      <c r="I6" s="2">
        <v>45479.409710648149</v>
      </c>
      <c r="K6" s="21">
        <v>0</v>
      </c>
      <c r="L6" s="21">
        <v>7321628</v>
      </c>
      <c r="M6" s="21">
        <v>1391109</v>
      </c>
      <c r="N6" s="21">
        <v>8712737</v>
      </c>
      <c r="O6">
        <v>0</v>
      </c>
      <c r="P6">
        <v>0</v>
      </c>
      <c r="Q6">
        <v>0</v>
      </c>
      <c r="R6">
        <v>0</v>
      </c>
      <c r="S6">
        <v>0</v>
      </c>
      <c r="T6" t="s">
        <v>77</v>
      </c>
      <c r="U6">
        <v>0</v>
      </c>
      <c r="V6">
        <v>0</v>
      </c>
      <c r="W6">
        <v>0</v>
      </c>
      <c r="X6">
        <v>0</v>
      </c>
      <c r="AC6">
        <v>0</v>
      </c>
      <c r="AE6">
        <v>0</v>
      </c>
      <c r="AF6">
        <v>2</v>
      </c>
      <c r="AG6">
        <v>0</v>
      </c>
      <c r="AH6">
        <v>0</v>
      </c>
      <c r="AI6">
        <v>0</v>
      </c>
      <c r="AM6">
        <v>0</v>
      </c>
      <c r="AR6" t="s">
        <v>872</v>
      </c>
      <c r="AS6" t="s">
        <v>3743</v>
      </c>
      <c r="AT6">
        <v>6</v>
      </c>
    </row>
    <row r="7" spans="1:46">
      <c r="A7">
        <v>6</v>
      </c>
      <c r="B7">
        <v>33</v>
      </c>
      <c r="C7" t="s">
        <v>74</v>
      </c>
      <c r="D7" t="s">
        <v>218</v>
      </c>
      <c r="E7" t="s">
        <v>219</v>
      </c>
      <c r="F7">
        <v>52835</v>
      </c>
      <c r="G7" s="1">
        <v>45447</v>
      </c>
      <c r="H7" s="2">
        <v>45388.759780092594</v>
      </c>
      <c r="I7" s="2"/>
      <c r="J7" s="2">
        <v>45449.632025462961</v>
      </c>
      <c r="K7" s="21">
        <v>0</v>
      </c>
      <c r="L7" s="21">
        <v>2063067</v>
      </c>
      <c r="M7" s="21">
        <v>391983</v>
      </c>
      <c r="N7" s="21">
        <v>2455050</v>
      </c>
      <c r="O7">
        <v>0</v>
      </c>
      <c r="P7">
        <v>0</v>
      </c>
      <c r="Q7">
        <v>0</v>
      </c>
      <c r="R7">
        <v>0</v>
      </c>
      <c r="S7">
        <v>0</v>
      </c>
      <c r="T7" t="s">
        <v>77</v>
      </c>
      <c r="U7">
        <v>0</v>
      </c>
      <c r="V7">
        <v>0</v>
      </c>
      <c r="W7">
        <v>0</v>
      </c>
      <c r="X7">
        <v>0</v>
      </c>
      <c r="AC7">
        <v>0</v>
      </c>
      <c r="AE7">
        <v>0</v>
      </c>
      <c r="AF7">
        <v>2</v>
      </c>
      <c r="AG7">
        <v>0</v>
      </c>
      <c r="AH7">
        <v>0</v>
      </c>
      <c r="AI7">
        <v>0</v>
      </c>
      <c r="AM7">
        <v>0</v>
      </c>
      <c r="AR7" t="s">
        <v>872</v>
      </c>
      <c r="AS7" t="s">
        <v>937</v>
      </c>
      <c r="AT7">
        <v>6</v>
      </c>
    </row>
    <row r="8" spans="1:46">
      <c r="A8">
        <v>7</v>
      </c>
      <c r="B8">
        <v>33</v>
      </c>
      <c r="C8" t="s">
        <v>74</v>
      </c>
      <c r="D8" t="s">
        <v>250</v>
      </c>
      <c r="E8" t="s">
        <v>251</v>
      </c>
      <c r="F8">
        <v>52836</v>
      </c>
      <c r="G8" s="1">
        <v>45447</v>
      </c>
      <c r="H8" s="2">
        <v>45388.922476851854</v>
      </c>
      <c r="I8" s="2">
        <v>45602.496388888889</v>
      </c>
      <c r="K8" s="21">
        <v>0</v>
      </c>
      <c r="L8" s="21">
        <v>114226887</v>
      </c>
      <c r="M8" s="21">
        <v>21703109</v>
      </c>
      <c r="N8" s="21">
        <v>135929996</v>
      </c>
      <c r="O8">
        <v>0</v>
      </c>
      <c r="P8">
        <v>0</v>
      </c>
      <c r="Q8">
        <v>0</v>
      </c>
      <c r="R8">
        <v>0</v>
      </c>
      <c r="S8">
        <v>0</v>
      </c>
      <c r="T8" t="s">
        <v>77</v>
      </c>
      <c r="U8">
        <v>0</v>
      </c>
      <c r="V8">
        <v>0</v>
      </c>
      <c r="W8">
        <v>0</v>
      </c>
      <c r="X8">
        <v>0</v>
      </c>
      <c r="AC8">
        <v>0</v>
      </c>
      <c r="AE8">
        <v>0</v>
      </c>
      <c r="AF8">
        <v>2</v>
      </c>
      <c r="AG8">
        <v>0</v>
      </c>
      <c r="AH8">
        <v>0</v>
      </c>
      <c r="AI8">
        <v>0</v>
      </c>
      <c r="AM8">
        <v>0</v>
      </c>
      <c r="AR8" t="s">
        <v>872</v>
      </c>
      <c r="AS8" t="s">
        <v>1028</v>
      </c>
      <c r="AT8">
        <v>6</v>
      </c>
    </row>
    <row r="9" spans="1:46">
      <c r="A9">
        <v>8</v>
      </c>
      <c r="B9">
        <v>33</v>
      </c>
      <c r="C9" t="s">
        <v>74</v>
      </c>
      <c r="D9" t="s">
        <v>246</v>
      </c>
      <c r="E9" t="s">
        <v>247</v>
      </c>
      <c r="F9">
        <v>52837</v>
      </c>
      <c r="G9" s="1">
        <v>45448</v>
      </c>
      <c r="H9" s="2">
        <v>45418.407569444447</v>
      </c>
      <c r="I9" s="2"/>
      <c r="J9" s="2"/>
      <c r="K9" s="21">
        <v>0</v>
      </c>
      <c r="L9" s="21">
        <v>2285611</v>
      </c>
      <c r="M9" s="21">
        <v>434266</v>
      </c>
      <c r="N9" s="21">
        <v>2719877</v>
      </c>
      <c r="O9">
        <v>0</v>
      </c>
      <c r="P9">
        <v>0</v>
      </c>
      <c r="Q9">
        <v>0</v>
      </c>
      <c r="R9">
        <v>0</v>
      </c>
      <c r="S9">
        <v>0</v>
      </c>
      <c r="T9" t="s">
        <v>77</v>
      </c>
      <c r="U9">
        <v>0</v>
      </c>
      <c r="V9">
        <v>0</v>
      </c>
      <c r="W9">
        <v>0</v>
      </c>
      <c r="X9">
        <v>0</v>
      </c>
      <c r="AC9">
        <v>0</v>
      </c>
      <c r="AE9">
        <v>0</v>
      </c>
      <c r="AF9">
        <v>2</v>
      </c>
      <c r="AG9">
        <v>0</v>
      </c>
      <c r="AH9">
        <v>0</v>
      </c>
      <c r="AI9">
        <v>0</v>
      </c>
      <c r="AM9">
        <v>0</v>
      </c>
      <c r="AR9" t="s">
        <v>872</v>
      </c>
      <c r="AS9" t="s">
        <v>1000</v>
      </c>
      <c r="AT9">
        <v>6</v>
      </c>
    </row>
    <row r="10" spans="1:46">
      <c r="A10">
        <v>9</v>
      </c>
      <c r="B10">
        <v>33</v>
      </c>
      <c r="C10" t="s">
        <v>74</v>
      </c>
      <c r="D10" t="s">
        <v>230</v>
      </c>
      <c r="E10" t="s">
        <v>231</v>
      </c>
      <c r="F10">
        <v>52838</v>
      </c>
      <c r="G10" s="1">
        <v>45448</v>
      </c>
      <c r="H10" s="2">
        <v>45418.412662037037</v>
      </c>
      <c r="I10" s="2"/>
      <c r="J10" s="2"/>
      <c r="K10" s="21">
        <v>0</v>
      </c>
      <c r="L10" s="21">
        <v>460426</v>
      </c>
      <c r="M10" s="21">
        <v>87481</v>
      </c>
      <c r="N10" s="21">
        <v>547907</v>
      </c>
      <c r="O10">
        <v>0</v>
      </c>
      <c r="P10">
        <v>0</v>
      </c>
      <c r="Q10">
        <v>0</v>
      </c>
      <c r="R10">
        <v>0</v>
      </c>
      <c r="S10">
        <v>0</v>
      </c>
      <c r="T10" t="s">
        <v>77</v>
      </c>
      <c r="U10">
        <v>0</v>
      </c>
      <c r="V10">
        <v>0</v>
      </c>
      <c r="W10">
        <v>0</v>
      </c>
      <c r="X10">
        <v>0</v>
      </c>
      <c r="AC10">
        <v>0</v>
      </c>
      <c r="AE10">
        <v>0</v>
      </c>
      <c r="AF10">
        <v>2</v>
      </c>
      <c r="AG10">
        <v>0</v>
      </c>
      <c r="AH10">
        <v>0</v>
      </c>
      <c r="AI10">
        <v>0</v>
      </c>
      <c r="AM10">
        <v>0</v>
      </c>
      <c r="AR10" t="s">
        <v>872</v>
      </c>
      <c r="AS10" t="s">
        <v>3744</v>
      </c>
      <c r="AT10">
        <v>6</v>
      </c>
    </row>
    <row r="11" spans="1:46">
      <c r="A11">
        <v>10</v>
      </c>
      <c r="B11">
        <v>33</v>
      </c>
      <c r="C11" t="s">
        <v>74</v>
      </c>
      <c r="D11" t="s">
        <v>403</v>
      </c>
      <c r="E11" t="s">
        <v>404</v>
      </c>
      <c r="F11">
        <v>52839</v>
      </c>
      <c r="G11" s="1">
        <v>45448</v>
      </c>
      <c r="H11" s="2">
        <v>45418.610798611109</v>
      </c>
      <c r="I11" s="2">
        <v>45449.470451388886</v>
      </c>
      <c r="J11" s="2"/>
      <c r="K11" s="21">
        <v>0</v>
      </c>
      <c r="L11" s="21">
        <v>882735</v>
      </c>
      <c r="M11" s="21">
        <v>167719</v>
      </c>
      <c r="N11" s="21">
        <v>1050454</v>
      </c>
      <c r="O11">
        <v>0</v>
      </c>
      <c r="P11">
        <v>0</v>
      </c>
      <c r="Q11">
        <v>0</v>
      </c>
      <c r="R11">
        <v>0</v>
      </c>
      <c r="S11">
        <v>0</v>
      </c>
      <c r="T11" t="s">
        <v>77</v>
      </c>
      <c r="U11">
        <v>0</v>
      </c>
      <c r="V11">
        <v>0</v>
      </c>
      <c r="W11">
        <v>0</v>
      </c>
      <c r="X11">
        <v>0</v>
      </c>
      <c r="AC11">
        <v>0</v>
      </c>
      <c r="AE11">
        <v>0</v>
      </c>
      <c r="AF11">
        <v>2</v>
      </c>
      <c r="AG11">
        <v>0</v>
      </c>
      <c r="AH11">
        <v>0</v>
      </c>
      <c r="AI11">
        <v>0</v>
      </c>
      <c r="AM11">
        <v>0</v>
      </c>
      <c r="AR11" t="s">
        <v>872</v>
      </c>
      <c r="AS11" t="s">
        <v>3745</v>
      </c>
      <c r="AT11">
        <v>6</v>
      </c>
    </row>
    <row r="12" spans="1:46">
      <c r="A12">
        <v>11</v>
      </c>
      <c r="B12">
        <v>33</v>
      </c>
      <c r="C12" t="s">
        <v>74</v>
      </c>
      <c r="D12" t="s">
        <v>403</v>
      </c>
      <c r="E12" t="s">
        <v>404</v>
      </c>
      <c r="F12">
        <v>52840</v>
      </c>
      <c r="G12" s="1">
        <v>45448</v>
      </c>
      <c r="H12" s="2">
        <v>45418.6174537037</v>
      </c>
      <c r="I12" s="2">
        <v>45449.470451388886</v>
      </c>
      <c r="J12" s="2"/>
      <c r="K12" s="21">
        <v>0</v>
      </c>
      <c r="L12" s="21">
        <v>211857</v>
      </c>
      <c r="M12" s="21">
        <v>40253</v>
      </c>
      <c r="N12" s="21">
        <v>252110</v>
      </c>
      <c r="O12">
        <v>0</v>
      </c>
      <c r="P12">
        <v>0</v>
      </c>
      <c r="Q12">
        <v>0</v>
      </c>
      <c r="R12">
        <v>0</v>
      </c>
      <c r="S12">
        <v>0</v>
      </c>
      <c r="T12" t="s">
        <v>77</v>
      </c>
      <c r="U12">
        <v>0</v>
      </c>
      <c r="V12">
        <v>0</v>
      </c>
      <c r="W12">
        <v>0</v>
      </c>
      <c r="X12">
        <v>0</v>
      </c>
      <c r="AC12">
        <v>0</v>
      </c>
      <c r="AE12">
        <v>0</v>
      </c>
      <c r="AF12">
        <v>2</v>
      </c>
      <c r="AG12">
        <v>0</v>
      </c>
      <c r="AH12">
        <v>0</v>
      </c>
      <c r="AI12">
        <v>0</v>
      </c>
      <c r="AM12">
        <v>0</v>
      </c>
      <c r="AR12" t="s">
        <v>872</v>
      </c>
      <c r="AS12" t="s">
        <v>3745</v>
      </c>
      <c r="AT12">
        <v>6</v>
      </c>
    </row>
    <row r="13" spans="1:46">
      <c r="A13">
        <v>12</v>
      </c>
      <c r="B13">
        <v>33</v>
      </c>
      <c r="C13" t="s">
        <v>74</v>
      </c>
      <c r="D13" t="s">
        <v>403</v>
      </c>
      <c r="E13" t="s">
        <v>404</v>
      </c>
      <c r="F13">
        <v>52841</v>
      </c>
      <c r="G13" s="1">
        <v>45448</v>
      </c>
      <c r="H13" s="2">
        <v>45418.619560185187</v>
      </c>
      <c r="I13" s="2">
        <v>45449.470451388886</v>
      </c>
      <c r="K13" s="21">
        <v>0</v>
      </c>
      <c r="L13" s="21">
        <v>776807</v>
      </c>
      <c r="M13" s="21">
        <v>147593</v>
      </c>
      <c r="N13" s="21">
        <v>924400</v>
      </c>
      <c r="O13">
        <v>0</v>
      </c>
      <c r="P13">
        <v>0</v>
      </c>
      <c r="Q13">
        <v>0</v>
      </c>
      <c r="R13">
        <v>0</v>
      </c>
      <c r="S13">
        <v>0</v>
      </c>
      <c r="T13" t="s">
        <v>77</v>
      </c>
      <c r="U13">
        <v>0</v>
      </c>
      <c r="V13">
        <v>0</v>
      </c>
      <c r="W13">
        <v>0</v>
      </c>
      <c r="X13">
        <v>0</v>
      </c>
      <c r="AC13">
        <v>0</v>
      </c>
      <c r="AE13">
        <v>0</v>
      </c>
      <c r="AF13">
        <v>2</v>
      </c>
      <c r="AG13">
        <v>0</v>
      </c>
      <c r="AH13">
        <v>0</v>
      </c>
      <c r="AI13">
        <v>0</v>
      </c>
      <c r="AM13">
        <v>0</v>
      </c>
      <c r="AR13" t="s">
        <v>872</v>
      </c>
      <c r="AS13" t="s">
        <v>3745</v>
      </c>
      <c r="AT13">
        <v>6</v>
      </c>
    </row>
    <row r="14" spans="1:46">
      <c r="A14">
        <v>13</v>
      </c>
      <c r="B14">
        <v>33</v>
      </c>
      <c r="C14" t="s">
        <v>74</v>
      </c>
      <c r="D14" t="s">
        <v>103</v>
      </c>
      <c r="E14" t="s">
        <v>104</v>
      </c>
      <c r="F14">
        <v>52842</v>
      </c>
      <c r="G14" s="1">
        <v>45448</v>
      </c>
      <c r="H14" s="2">
        <v>45418.699189814812</v>
      </c>
      <c r="I14" s="2"/>
      <c r="J14" s="2"/>
      <c r="K14" s="21">
        <v>0</v>
      </c>
      <c r="L14" s="21">
        <v>86916</v>
      </c>
      <c r="M14" s="21">
        <v>16516</v>
      </c>
      <c r="N14" s="21">
        <v>103432</v>
      </c>
      <c r="O14">
        <v>0</v>
      </c>
      <c r="P14">
        <v>0</v>
      </c>
      <c r="Q14">
        <v>0</v>
      </c>
      <c r="R14">
        <v>0</v>
      </c>
      <c r="S14">
        <v>0</v>
      </c>
      <c r="T14" t="s">
        <v>77</v>
      </c>
      <c r="U14">
        <v>0</v>
      </c>
      <c r="V14">
        <v>0</v>
      </c>
      <c r="W14">
        <v>0</v>
      </c>
      <c r="X14">
        <v>0</v>
      </c>
      <c r="Y14">
        <v>0</v>
      </c>
      <c r="AC14">
        <v>0</v>
      </c>
      <c r="AE14">
        <v>0</v>
      </c>
      <c r="AF14">
        <v>2</v>
      </c>
      <c r="AG14">
        <v>0</v>
      </c>
      <c r="AH14">
        <v>0</v>
      </c>
      <c r="AI14">
        <v>0</v>
      </c>
      <c r="AM14">
        <v>0</v>
      </c>
      <c r="AR14" t="s">
        <v>872</v>
      </c>
      <c r="AS14" t="s">
        <v>928</v>
      </c>
      <c r="AT14">
        <v>6</v>
      </c>
    </row>
    <row r="15" spans="1:46">
      <c r="A15">
        <v>14</v>
      </c>
      <c r="B15">
        <v>33</v>
      </c>
      <c r="C15" t="s">
        <v>74</v>
      </c>
      <c r="D15" t="s">
        <v>95</v>
      </c>
      <c r="E15" t="s">
        <v>96</v>
      </c>
      <c r="F15">
        <v>52843</v>
      </c>
      <c r="G15" s="1">
        <v>45448</v>
      </c>
      <c r="H15" s="2">
        <v>45418.700474537036</v>
      </c>
      <c r="I15" s="2"/>
      <c r="K15" s="21">
        <v>0</v>
      </c>
      <c r="L15" s="21">
        <v>12385462</v>
      </c>
      <c r="M15" s="21">
        <v>2353238</v>
      </c>
      <c r="N15" s="21">
        <v>14738700</v>
      </c>
      <c r="O15">
        <v>0</v>
      </c>
      <c r="P15">
        <v>0</v>
      </c>
      <c r="Q15">
        <v>0</v>
      </c>
      <c r="R15">
        <v>0</v>
      </c>
      <c r="S15">
        <v>0</v>
      </c>
      <c r="T15" t="s">
        <v>77</v>
      </c>
      <c r="U15">
        <v>0</v>
      </c>
      <c r="V15">
        <v>0</v>
      </c>
      <c r="W15">
        <v>0</v>
      </c>
      <c r="X15">
        <v>0</v>
      </c>
      <c r="AC15">
        <v>0</v>
      </c>
      <c r="AE15">
        <v>0</v>
      </c>
      <c r="AF15">
        <v>2</v>
      </c>
      <c r="AG15">
        <v>0</v>
      </c>
      <c r="AH15">
        <v>0</v>
      </c>
      <c r="AI15">
        <v>0</v>
      </c>
      <c r="AM15">
        <v>0</v>
      </c>
      <c r="AR15" t="s">
        <v>872</v>
      </c>
      <c r="AS15" t="s">
        <v>940</v>
      </c>
      <c r="AT15">
        <v>6</v>
      </c>
    </row>
    <row r="16" spans="1:46">
      <c r="A16">
        <v>15</v>
      </c>
      <c r="B16">
        <v>33</v>
      </c>
      <c r="C16" t="s">
        <v>74</v>
      </c>
      <c r="D16" t="s">
        <v>105</v>
      </c>
      <c r="E16" t="s">
        <v>106</v>
      </c>
      <c r="F16">
        <v>52844</v>
      </c>
      <c r="G16" s="1">
        <v>45448</v>
      </c>
      <c r="H16" s="2">
        <v>45418.700891203705</v>
      </c>
      <c r="I16" s="2"/>
      <c r="K16" s="21">
        <v>0</v>
      </c>
      <c r="L16" s="21">
        <v>130372</v>
      </c>
      <c r="M16" s="21">
        <v>24772</v>
      </c>
      <c r="N16" s="21">
        <v>155144</v>
      </c>
      <c r="O16">
        <v>0</v>
      </c>
      <c r="P16">
        <v>0</v>
      </c>
      <c r="Q16">
        <v>0</v>
      </c>
      <c r="R16">
        <v>0</v>
      </c>
      <c r="S16">
        <v>0</v>
      </c>
      <c r="T16" t="s">
        <v>77</v>
      </c>
      <c r="U16">
        <v>0</v>
      </c>
      <c r="V16">
        <v>0</v>
      </c>
      <c r="W16">
        <v>0</v>
      </c>
      <c r="X16">
        <v>0</v>
      </c>
      <c r="Y16">
        <v>0</v>
      </c>
      <c r="AC16">
        <v>0</v>
      </c>
      <c r="AE16">
        <v>0</v>
      </c>
      <c r="AF16">
        <v>2</v>
      </c>
      <c r="AG16">
        <v>0</v>
      </c>
      <c r="AH16">
        <v>0</v>
      </c>
      <c r="AI16">
        <v>0</v>
      </c>
      <c r="AM16">
        <v>0</v>
      </c>
      <c r="AR16" t="s">
        <v>872</v>
      </c>
      <c r="AS16" t="s">
        <v>929</v>
      </c>
      <c r="AT16">
        <v>6</v>
      </c>
    </row>
    <row r="17" spans="1:46">
      <c r="A17">
        <v>16</v>
      </c>
      <c r="B17">
        <v>33</v>
      </c>
      <c r="C17" t="s">
        <v>74</v>
      </c>
      <c r="D17" t="s">
        <v>107</v>
      </c>
      <c r="E17" t="s">
        <v>108</v>
      </c>
      <c r="F17">
        <v>52845</v>
      </c>
      <c r="G17" s="1">
        <v>45448</v>
      </c>
      <c r="H17" s="2">
        <v>45418.701828703706</v>
      </c>
      <c r="I17" s="2"/>
      <c r="J17" s="2"/>
      <c r="K17" s="21">
        <v>0</v>
      </c>
      <c r="L17" s="21">
        <v>43456</v>
      </c>
      <c r="M17" s="21">
        <v>8256</v>
      </c>
      <c r="N17" s="21">
        <v>51712</v>
      </c>
      <c r="O17">
        <v>0</v>
      </c>
      <c r="P17">
        <v>0</v>
      </c>
      <c r="Q17">
        <v>0</v>
      </c>
      <c r="R17">
        <v>0</v>
      </c>
      <c r="S17">
        <v>0</v>
      </c>
      <c r="T17" t="s">
        <v>77</v>
      </c>
      <c r="U17">
        <v>0</v>
      </c>
      <c r="V17">
        <v>0</v>
      </c>
      <c r="W17">
        <v>0</v>
      </c>
      <c r="X17">
        <v>0</v>
      </c>
      <c r="Y17">
        <v>0</v>
      </c>
      <c r="AC17">
        <v>0</v>
      </c>
      <c r="AE17">
        <v>0</v>
      </c>
      <c r="AF17">
        <v>2</v>
      </c>
      <c r="AG17">
        <v>0</v>
      </c>
      <c r="AH17">
        <v>0</v>
      </c>
      <c r="AI17">
        <v>0</v>
      </c>
      <c r="AM17">
        <v>0</v>
      </c>
      <c r="AR17" t="s">
        <v>872</v>
      </c>
      <c r="AS17" t="s">
        <v>931</v>
      </c>
      <c r="AT17">
        <v>6</v>
      </c>
    </row>
    <row r="18" spans="1:46">
      <c r="A18">
        <v>17</v>
      </c>
      <c r="B18">
        <v>33</v>
      </c>
      <c r="C18" t="s">
        <v>74</v>
      </c>
      <c r="D18" t="s">
        <v>199</v>
      </c>
      <c r="E18" t="s">
        <v>200</v>
      </c>
      <c r="F18">
        <v>52846</v>
      </c>
      <c r="G18" s="1">
        <v>45448</v>
      </c>
      <c r="H18" s="2">
        <v>45418.702430555553</v>
      </c>
      <c r="I18" s="2"/>
      <c r="K18" s="21">
        <v>0</v>
      </c>
      <c r="L18" s="21">
        <v>27160</v>
      </c>
      <c r="M18" s="21">
        <v>5160</v>
      </c>
      <c r="N18" s="21">
        <v>32320</v>
      </c>
      <c r="O18">
        <v>0</v>
      </c>
      <c r="P18">
        <v>0</v>
      </c>
      <c r="Q18">
        <v>0</v>
      </c>
      <c r="R18">
        <v>0</v>
      </c>
      <c r="S18">
        <v>0</v>
      </c>
      <c r="T18" t="s">
        <v>77</v>
      </c>
      <c r="U18">
        <v>0</v>
      </c>
      <c r="V18">
        <v>0</v>
      </c>
      <c r="W18">
        <v>0</v>
      </c>
      <c r="X18">
        <v>0</v>
      </c>
      <c r="Y18">
        <v>0</v>
      </c>
      <c r="AC18">
        <v>0</v>
      </c>
      <c r="AE18">
        <v>0</v>
      </c>
      <c r="AF18">
        <v>2</v>
      </c>
      <c r="AG18">
        <v>0</v>
      </c>
      <c r="AH18">
        <v>0</v>
      </c>
      <c r="AI18">
        <v>0</v>
      </c>
      <c r="AM18">
        <v>0</v>
      </c>
      <c r="AR18" t="s">
        <v>872</v>
      </c>
      <c r="AS18" t="s">
        <v>996</v>
      </c>
      <c r="AT18">
        <v>6</v>
      </c>
    </row>
    <row r="19" spans="1:46">
      <c r="A19">
        <v>18</v>
      </c>
      <c r="B19">
        <v>33</v>
      </c>
      <c r="C19" t="s">
        <v>74</v>
      </c>
      <c r="D19" t="s">
        <v>129</v>
      </c>
      <c r="E19" t="s">
        <v>130</v>
      </c>
      <c r="F19">
        <v>52847</v>
      </c>
      <c r="G19" s="1">
        <v>45448</v>
      </c>
      <c r="H19" s="2">
        <v>45418.706504629627</v>
      </c>
      <c r="I19" s="2"/>
      <c r="K19" s="21">
        <v>0</v>
      </c>
      <c r="L19" s="21">
        <v>6790275</v>
      </c>
      <c r="M19" s="21">
        <v>1290152</v>
      </c>
      <c r="N19" s="21">
        <v>8080427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77</v>
      </c>
      <c r="U19">
        <v>0</v>
      </c>
      <c r="V19">
        <v>0</v>
      </c>
      <c r="W19">
        <v>0</v>
      </c>
      <c r="X19">
        <v>0</v>
      </c>
      <c r="AC19">
        <v>0</v>
      </c>
      <c r="AE19">
        <v>0</v>
      </c>
      <c r="AF19">
        <v>2</v>
      </c>
      <c r="AG19">
        <v>0</v>
      </c>
      <c r="AH19">
        <v>0</v>
      </c>
      <c r="AI19">
        <v>0</v>
      </c>
      <c r="AM19">
        <v>0</v>
      </c>
      <c r="AR19" t="s">
        <v>872</v>
      </c>
      <c r="AS19" t="s">
        <v>3746</v>
      </c>
      <c r="AT19">
        <v>6</v>
      </c>
    </row>
    <row r="20" spans="1:46">
      <c r="A20">
        <v>19</v>
      </c>
      <c r="B20">
        <v>33</v>
      </c>
      <c r="C20" t="s">
        <v>74</v>
      </c>
      <c r="D20" t="s">
        <v>405</v>
      </c>
      <c r="E20" t="s">
        <v>406</v>
      </c>
      <c r="F20">
        <v>52848</v>
      </c>
      <c r="G20" s="1">
        <v>45448</v>
      </c>
      <c r="H20" s="2">
        <v>45418.724004629628</v>
      </c>
      <c r="I20" s="2"/>
      <c r="K20" s="21">
        <v>0</v>
      </c>
      <c r="L20" s="21">
        <v>1955599</v>
      </c>
      <c r="M20" s="21">
        <v>371564</v>
      </c>
      <c r="N20" s="21">
        <v>2327163</v>
      </c>
      <c r="O20">
        <v>0</v>
      </c>
      <c r="P20">
        <v>0</v>
      </c>
      <c r="Q20">
        <v>0</v>
      </c>
      <c r="R20">
        <v>0</v>
      </c>
      <c r="S20">
        <v>0</v>
      </c>
      <c r="T20" t="s">
        <v>77</v>
      </c>
      <c r="U20">
        <v>0</v>
      </c>
      <c r="V20">
        <v>0</v>
      </c>
      <c r="W20">
        <v>0</v>
      </c>
      <c r="X20">
        <v>0</v>
      </c>
      <c r="AC20">
        <v>0</v>
      </c>
      <c r="AE20">
        <v>0</v>
      </c>
      <c r="AF20">
        <v>2</v>
      </c>
      <c r="AG20">
        <v>0</v>
      </c>
      <c r="AH20">
        <v>0</v>
      </c>
      <c r="AI20">
        <v>0</v>
      </c>
      <c r="AM20">
        <v>0</v>
      </c>
      <c r="AR20" t="s">
        <v>872</v>
      </c>
      <c r="AS20" t="s">
        <v>3747</v>
      </c>
      <c r="AT20">
        <v>6</v>
      </c>
    </row>
    <row r="21" spans="1:46">
      <c r="A21">
        <v>20</v>
      </c>
      <c r="B21">
        <v>33</v>
      </c>
      <c r="C21" t="s">
        <v>74</v>
      </c>
      <c r="D21" t="s">
        <v>85</v>
      </c>
      <c r="E21" t="s">
        <v>86</v>
      </c>
      <c r="F21">
        <v>52849</v>
      </c>
      <c r="G21" s="1">
        <v>45448</v>
      </c>
      <c r="H21" s="2">
        <v>45418.724826388891</v>
      </c>
      <c r="I21" s="2"/>
      <c r="K21" s="21">
        <v>0</v>
      </c>
      <c r="L21" s="21">
        <v>7889576</v>
      </c>
      <c r="M21" s="21">
        <v>1499019</v>
      </c>
      <c r="N21" s="21">
        <v>9388595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77</v>
      </c>
      <c r="U21">
        <v>0</v>
      </c>
      <c r="V21">
        <v>0</v>
      </c>
      <c r="W21">
        <v>0</v>
      </c>
      <c r="X21">
        <v>0</v>
      </c>
      <c r="Y21">
        <v>0</v>
      </c>
      <c r="AC21">
        <v>0</v>
      </c>
      <c r="AE21">
        <v>0</v>
      </c>
      <c r="AF21">
        <v>2</v>
      </c>
      <c r="AG21">
        <v>0</v>
      </c>
      <c r="AH21">
        <v>0</v>
      </c>
      <c r="AI21">
        <v>0</v>
      </c>
      <c r="AM21">
        <v>0</v>
      </c>
      <c r="AR21" t="s">
        <v>872</v>
      </c>
      <c r="AS21" t="s">
        <v>950</v>
      </c>
      <c r="AT21">
        <v>6</v>
      </c>
    </row>
    <row r="22" spans="1:46">
      <c r="A22">
        <v>21</v>
      </c>
      <c r="B22">
        <v>33</v>
      </c>
      <c r="C22" t="s">
        <v>74</v>
      </c>
      <c r="D22" t="s">
        <v>87</v>
      </c>
      <c r="E22" t="s">
        <v>88</v>
      </c>
      <c r="F22">
        <v>52850</v>
      </c>
      <c r="G22" s="1">
        <v>45448</v>
      </c>
      <c r="H22" s="2">
        <v>45418.725439814814</v>
      </c>
      <c r="I22" s="2"/>
      <c r="K22" s="21">
        <v>0</v>
      </c>
      <c r="L22" s="21">
        <v>477918</v>
      </c>
      <c r="M22" s="21">
        <v>90804</v>
      </c>
      <c r="N22" s="21">
        <v>568722</v>
      </c>
      <c r="O22">
        <v>0</v>
      </c>
      <c r="P22">
        <v>0</v>
      </c>
      <c r="Q22">
        <v>0</v>
      </c>
      <c r="R22">
        <v>0</v>
      </c>
      <c r="S22">
        <v>0</v>
      </c>
      <c r="T22" t="s">
        <v>77</v>
      </c>
      <c r="U22">
        <v>0</v>
      </c>
      <c r="V22">
        <v>0</v>
      </c>
      <c r="W22">
        <v>0</v>
      </c>
      <c r="X22">
        <v>0</v>
      </c>
      <c r="Y22">
        <v>0</v>
      </c>
      <c r="AC22">
        <v>0</v>
      </c>
      <c r="AE22">
        <v>0</v>
      </c>
      <c r="AF22">
        <v>2</v>
      </c>
      <c r="AG22">
        <v>0</v>
      </c>
      <c r="AH22">
        <v>0</v>
      </c>
      <c r="AI22">
        <v>0</v>
      </c>
      <c r="AM22">
        <v>0</v>
      </c>
      <c r="AR22" t="s">
        <v>872</v>
      </c>
      <c r="AS22" t="s">
        <v>951</v>
      </c>
      <c r="AT22">
        <v>6</v>
      </c>
    </row>
    <row r="23" spans="1:46">
      <c r="A23">
        <v>22</v>
      </c>
      <c r="B23">
        <v>33</v>
      </c>
      <c r="C23" t="s">
        <v>74</v>
      </c>
      <c r="D23" t="s">
        <v>89</v>
      </c>
      <c r="E23" t="s">
        <v>90</v>
      </c>
      <c r="F23">
        <v>52851</v>
      </c>
      <c r="G23" s="1">
        <v>45448</v>
      </c>
      <c r="H23" s="2">
        <v>45418.726134259261</v>
      </c>
      <c r="I23" s="2"/>
      <c r="K23" s="21">
        <v>0</v>
      </c>
      <c r="L23" s="21">
        <v>1495707</v>
      </c>
      <c r="M23" s="21">
        <v>284184</v>
      </c>
      <c r="N23" s="21">
        <v>1779891</v>
      </c>
      <c r="O23">
        <v>0</v>
      </c>
      <c r="P23">
        <v>0</v>
      </c>
      <c r="Q23">
        <v>0</v>
      </c>
      <c r="R23">
        <v>0</v>
      </c>
      <c r="S23">
        <v>0</v>
      </c>
      <c r="T23" t="s">
        <v>77</v>
      </c>
      <c r="U23">
        <v>0</v>
      </c>
      <c r="V23">
        <v>0</v>
      </c>
      <c r="W23">
        <v>0</v>
      </c>
      <c r="X23">
        <v>0</v>
      </c>
      <c r="Y23">
        <v>0</v>
      </c>
      <c r="AC23">
        <v>0</v>
      </c>
      <c r="AE23">
        <v>0</v>
      </c>
      <c r="AF23">
        <v>2</v>
      </c>
      <c r="AG23">
        <v>0</v>
      </c>
      <c r="AH23">
        <v>0</v>
      </c>
      <c r="AI23">
        <v>0</v>
      </c>
      <c r="AM23">
        <v>0</v>
      </c>
      <c r="AR23" t="s">
        <v>872</v>
      </c>
      <c r="AS23" t="s">
        <v>952</v>
      </c>
      <c r="AT23">
        <v>6</v>
      </c>
    </row>
    <row r="24" spans="1:46">
      <c r="A24">
        <v>23</v>
      </c>
      <c r="B24">
        <v>33</v>
      </c>
      <c r="C24" t="s">
        <v>74</v>
      </c>
      <c r="D24" t="s">
        <v>91</v>
      </c>
      <c r="E24" t="s">
        <v>92</v>
      </c>
      <c r="F24">
        <v>52852</v>
      </c>
      <c r="G24" s="1">
        <v>45448</v>
      </c>
      <c r="H24" s="2">
        <v>45418.726840277777</v>
      </c>
      <c r="I24" s="2" t="s">
        <v>407</v>
      </c>
      <c r="J24" s="2"/>
      <c r="K24" s="21">
        <v>0</v>
      </c>
      <c r="L24" s="21">
        <v>1087693</v>
      </c>
      <c r="M24" s="21">
        <v>206661</v>
      </c>
      <c r="N24" s="21">
        <v>1294354</v>
      </c>
      <c r="O24">
        <v>0</v>
      </c>
      <c r="P24">
        <v>0</v>
      </c>
      <c r="Q24">
        <v>0</v>
      </c>
      <c r="R24">
        <v>0</v>
      </c>
      <c r="S24">
        <v>0</v>
      </c>
      <c r="T24" t="s">
        <v>77</v>
      </c>
      <c r="U24">
        <v>0</v>
      </c>
      <c r="V24">
        <v>0</v>
      </c>
      <c r="W24">
        <v>0</v>
      </c>
      <c r="X24">
        <v>0</v>
      </c>
      <c r="Y24">
        <v>0</v>
      </c>
      <c r="AC24">
        <v>0</v>
      </c>
      <c r="AE24">
        <v>0</v>
      </c>
      <c r="AF24">
        <v>2</v>
      </c>
      <c r="AG24">
        <v>0</v>
      </c>
      <c r="AH24">
        <v>0</v>
      </c>
      <c r="AI24">
        <v>0</v>
      </c>
      <c r="AM24">
        <v>0</v>
      </c>
      <c r="AR24" t="s">
        <v>872</v>
      </c>
      <c r="AS24" t="s">
        <v>953</v>
      </c>
      <c r="AT24">
        <v>6</v>
      </c>
    </row>
    <row r="25" spans="1:46">
      <c r="A25">
        <v>24</v>
      </c>
      <c r="B25">
        <v>33</v>
      </c>
      <c r="C25" t="s">
        <v>74</v>
      </c>
      <c r="D25" t="s">
        <v>93</v>
      </c>
      <c r="E25" t="s">
        <v>94</v>
      </c>
      <c r="F25">
        <v>52853</v>
      </c>
      <c r="G25" s="1">
        <v>45448</v>
      </c>
      <c r="H25" s="2">
        <v>45418.727488425924</v>
      </c>
      <c r="I25" s="2">
        <v>45449.384166666663</v>
      </c>
      <c r="K25" s="21">
        <v>0</v>
      </c>
      <c r="L25" s="21">
        <v>732019</v>
      </c>
      <c r="M25" s="21">
        <v>139084</v>
      </c>
      <c r="N25" s="21">
        <v>871103</v>
      </c>
      <c r="O25">
        <v>0</v>
      </c>
      <c r="P25">
        <v>0</v>
      </c>
      <c r="Q25">
        <v>0</v>
      </c>
      <c r="R25">
        <v>0</v>
      </c>
      <c r="S25">
        <v>0</v>
      </c>
      <c r="T25" t="s">
        <v>77</v>
      </c>
      <c r="U25">
        <v>0</v>
      </c>
      <c r="V25">
        <v>0</v>
      </c>
      <c r="W25">
        <v>0</v>
      </c>
      <c r="X25">
        <v>0</v>
      </c>
      <c r="Y25">
        <v>0</v>
      </c>
      <c r="AC25">
        <v>0</v>
      </c>
      <c r="AE25">
        <v>0</v>
      </c>
      <c r="AF25">
        <v>2</v>
      </c>
      <c r="AG25">
        <v>0</v>
      </c>
      <c r="AH25">
        <v>0</v>
      </c>
      <c r="AI25">
        <v>0</v>
      </c>
      <c r="AM25">
        <v>0</v>
      </c>
      <c r="AR25" t="s">
        <v>872</v>
      </c>
      <c r="AS25" t="s">
        <v>954</v>
      </c>
      <c r="AT25">
        <v>6</v>
      </c>
    </row>
    <row r="26" spans="1:46">
      <c r="A26">
        <v>25</v>
      </c>
      <c r="B26">
        <v>33</v>
      </c>
      <c r="C26" t="s">
        <v>74</v>
      </c>
      <c r="D26" t="s">
        <v>115</v>
      </c>
      <c r="E26" t="s">
        <v>116</v>
      </c>
      <c r="F26">
        <v>52854</v>
      </c>
      <c r="G26" s="1">
        <v>45448</v>
      </c>
      <c r="H26" s="2">
        <v>45418.728668981479</v>
      </c>
      <c r="I26" s="2"/>
      <c r="K26" s="21">
        <v>0</v>
      </c>
      <c r="L26" s="21">
        <v>8296783</v>
      </c>
      <c r="M26" s="21">
        <v>1576389</v>
      </c>
      <c r="N26" s="21">
        <v>9873172</v>
      </c>
      <c r="O26">
        <v>0</v>
      </c>
      <c r="P26">
        <v>0</v>
      </c>
      <c r="Q26">
        <v>0</v>
      </c>
      <c r="R26">
        <v>0</v>
      </c>
      <c r="S26">
        <v>0</v>
      </c>
      <c r="T26" t="s">
        <v>77</v>
      </c>
      <c r="U26">
        <v>0</v>
      </c>
      <c r="V26">
        <v>0</v>
      </c>
      <c r="W26">
        <v>0</v>
      </c>
      <c r="X26">
        <v>0</v>
      </c>
      <c r="Y26">
        <v>0</v>
      </c>
      <c r="AC26">
        <v>0</v>
      </c>
      <c r="AE26">
        <v>0</v>
      </c>
      <c r="AF26">
        <v>2</v>
      </c>
      <c r="AG26">
        <v>0</v>
      </c>
      <c r="AH26">
        <v>0</v>
      </c>
      <c r="AI26">
        <v>0</v>
      </c>
      <c r="AM26">
        <v>0</v>
      </c>
      <c r="AR26" t="s">
        <v>872</v>
      </c>
      <c r="AS26" t="s">
        <v>955</v>
      </c>
      <c r="AT26">
        <v>6</v>
      </c>
    </row>
    <row r="27" spans="1:46">
      <c r="A27">
        <v>26</v>
      </c>
      <c r="B27">
        <v>33</v>
      </c>
      <c r="C27" t="s">
        <v>74</v>
      </c>
      <c r="D27" t="s">
        <v>24</v>
      </c>
      <c r="E27" t="s">
        <v>25</v>
      </c>
      <c r="F27">
        <v>52855</v>
      </c>
      <c r="G27" s="1">
        <v>45448</v>
      </c>
      <c r="H27" s="2">
        <v>45418.731689814813</v>
      </c>
      <c r="I27" s="2"/>
      <c r="J27" s="2"/>
      <c r="K27" s="21">
        <v>0</v>
      </c>
      <c r="L27" s="21">
        <v>5964754</v>
      </c>
      <c r="M27" s="21">
        <v>1133303</v>
      </c>
      <c r="N27" s="21">
        <v>7098057</v>
      </c>
      <c r="O27">
        <v>0</v>
      </c>
      <c r="P27">
        <v>0</v>
      </c>
      <c r="Q27">
        <v>0</v>
      </c>
      <c r="R27">
        <v>0</v>
      </c>
      <c r="S27">
        <v>0</v>
      </c>
      <c r="T27" t="s">
        <v>77</v>
      </c>
      <c r="U27">
        <v>0</v>
      </c>
      <c r="V27">
        <v>0</v>
      </c>
      <c r="W27">
        <v>0</v>
      </c>
      <c r="X27">
        <v>0</v>
      </c>
      <c r="AC27">
        <v>0</v>
      </c>
      <c r="AE27">
        <v>0</v>
      </c>
      <c r="AF27">
        <v>2</v>
      </c>
      <c r="AG27">
        <v>0</v>
      </c>
      <c r="AH27">
        <v>0</v>
      </c>
      <c r="AI27">
        <v>0</v>
      </c>
      <c r="AM27">
        <v>0</v>
      </c>
      <c r="AR27" t="s">
        <v>872</v>
      </c>
      <c r="AS27" t="s">
        <v>995</v>
      </c>
      <c r="AT27">
        <v>6</v>
      </c>
    </row>
    <row r="28" spans="1:46">
      <c r="A28">
        <v>27</v>
      </c>
      <c r="B28">
        <v>33</v>
      </c>
      <c r="C28" t="s">
        <v>74</v>
      </c>
      <c r="D28" t="s">
        <v>24</v>
      </c>
      <c r="E28" t="s">
        <v>25</v>
      </c>
      <c r="F28">
        <v>52856</v>
      </c>
      <c r="G28" s="1">
        <v>45448</v>
      </c>
      <c r="H28" s="2">
        <v>45418.734282407408</v>
      </c>
      <c r="I28" s="2"/>
      <c r="K28" s="21">
        <v>0</v>
      </c>
      <c r="L28" s="21">
        <v>10299678</v>
      </c>
      <c r="M28" s="21">
        <v>1956939</v>
      </c>
      <c r="N28" s="21">
        <v>12256617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77</v>
      </c>
      <c r="U28">
        <v>0</v>
      </c>
      <c r="V28">
        <v>0</v>
      </c>
      <c r="W28">
        <v>0</v>
      </c>
      <c r="X28">
        <v>0</v>
      </c>
      <c r="AC28">
        <v>0</v>
      </c>
      <c r="AE28">
        <v>0</v>
      </c>
      <c r="AF28">
        <v>2</v>
      </c>
      <c r="AG28">
        <v>0</v>
      </c>
      <c r="AH28">
        <v>0</v>
      </c>
      <c r="AI28">
        <v>0</v>
      </c>
      <c r="AM28">
        <v>0</v>
      </c>
      <c r="AR28" t="s">
        <v>872</v>
      </c>
      <c r="AS28" t="s">
        <v>995</v>
      </c>
      <c r="AT28">
        <v>6</v>
      </c>
    </row>
    <row r="29" spans="1:46">
      <c r="A29">
        <v>28</v>
      </c>
      <c r="B29">
        <v>33</v>
      </c>
      <c r="C29" t="s">
        <v>74</v>
      </c>
      <c r="D29" t="s">
        <v>24</v>
      </c>
      <c r="E29" t="s">
        <v>25</v>
      </c>
      <c r="F29">
        <v>52857</v>
      </c>
      <c r="G29" s="1">
        <v>45448</v>
      </c>
      <c r="H29" s="2">
        <v>45418.735648148147</v>
      </c>
      <c r="I29" s="2"/>
      <c r="K29" s="21">
        <v>0</v>
      </c>
      <c r="L29" s="21">
        <v>236594</v>
      </c>
      <c r="M29" s="21">
        <v>44953</v>
      </c>
      <c r="N29" s="21">
        <v>281547</v>
      </c>
      <c r="O29">
        <v>0</v>
      </c>
      <c r="P29">
        <v>0</v>
      </c>
      <c r="Q29">
        <v>0</v>
      </c>
      <c r="R29">
        <v>0</v>
      </c>
      <c r="S29">
        <v>0</v>
      </c>
      <c r="T29" t="s">
        <v>77</v>
      </c>
      <c r="U29">
        <v>0</v>
      </c>
      <c r="V29">
        <v>0</v>
      </c>
      <c r="W29">
        <v>0</v>
      </c>
      <c r="X29">
        <v>0</v>
      </c>
      <c r="AC29">
        <v>0</v>
      </c>
      <c r="AE29">
        <v>0</v>
      </c>
      <c r="AF29">
        <v>2</v>
      </c>
      <c r="AG29">
        <v>0</v>
      </c>
      <c r="AH29">
        <v>0</v>
      </c>
      <c r="AI29">
        <v>0</v>
      </c>
      <c r="AM29">
        <v>0</v>
      </c>
      <c r="AR29" t="s">
        <v>872</v>
      </c>
      <c r="AS29" t="s">
        <v>995</v>
      </c>
      <c r="AT29">
        <v>6</v>
      </c>
    </row>
    <row r="30" spans="1:46">
      <c r="A30">
        <v>29</v>
      </c>
      <c r="B30">
        <v>33</v>
      </c>
      <c r="C30" t="s">
        <v>74</v>
      </c>
      <c r="D30" t="s">
        <v>111</v>
      </c>
      <c r="E30" t="s">
        <v>112</v>
      </c>
      <c r="F30">
        <v>52858</v>
      </c>
      <c r="G30" s="1">
        <v>45449</v>
      </c>
      <c r="H30" s="2">
        <v>45449.414201388892</v>
      </c>
      <c r="I30" s="2"/>
      <c r="K30" s="21">
        <v>0</v>
      </c>
      <c r="L30" s="21">
        <v>1195797</v>
      </c>
      <c r="M30" s="21">
        <v>227201</v>
      </c>
      <c r="N30" s="21">
        <v>1422998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77</v>
      </c>
      <c r="U30">
        <v>0</v>
      </c>
      <c r="V30">
        <v>0</v>
      </c>
      <c r="W30">
        <v>0</v>
      </c>
      <c r="X30">
        <v>0</v>
      </c>
      <c r="AC30">
        <v>0</v>
      </c>
      <c r="AE30">
        <v>0</v>
      </c>
      <c r="AF30">
        <v>2</v>
      </c>
      <c r="AG30">
        <v>0</v>
      </c>
      <c r="AH30">
        <v>0</v>
      </c>
      <c r="AI30">
        <v>0</v>
      </c>
      <c r="AM30">
        <v>0</v>
      </c>
      <c r="AR30" t="s">
        <v>872</v>
      </c>
      <c r="AS30" t="s">
        <v>942</v>
      </c>
      <c r="AT30">
        <v>6</v>
      </c>
    </row>
    <row r="31" spans="1:46">
      <c r="A31">
        <v>30</v>
      </c>
      <c r="B31">
        <v>33</v>
      </c>
      <c r="C31" t="s">
        <v>74</v>
      </c>
      <c r="D31" t="s">
        <v>119</v>
      </c>
      <c r="E31" t="s">
        <v>120</v>
      </c>
      <c r="F31">
        <v>52859</v>
      </c>
      <c r="G31" s="1">
        <v>45449</v>
      </c>
      <c r="H31" s="2">
        <v>45449.430219907408</v>
      </c>
      <c r="I31" s="2"/>
      <c r="K31" s="21">
        <v>0</v>
      </c>
      <c r="L31" s="21">
        <v>283203</v>
      </c>
      <c r="M31" s="21">
        <v>53809</v>
      </c>
      <c r="N31" s="21">
        <v>337012</v>
      </c>
      <c r="O31">
        <v>0</v>
      </c>
      <c r="P31">
        <v>0</v>
      </c>
      <c r="Q31">
        <v>0</v>
      </c>
      <c r="R31">
        <v>0</v>
      </c>
      <c r="S31">
        <v>0</v>
      </c>
      <c r="T31" t="s">
        <v>77</v>
      </c>
      <c r="U31">
        <v>0</v>
      </c>
      <c r="V31">
        <v>0</v>
      </c>
      <c r="W31">
        <v>0</v>
      </c>
      <c r="X31">
        <v>0</v>
      </c>
      <c r="AC31">
        <v>0</v>
      </c>
      <c r="AE31">
        <v>0</v>
      </c>
      <c r="AF31">
        <v>2</v>
      </c>
      <c r="AG31">
        <v>0</v>
      </c>
      <c r="AH31">
        <v>0</v>
      </c>
      <c r="AI31">
        <v>0</v>
      </c>
      <c r="AM31">
        <v>0</v>
      </c>
      <c r="AR31" t="s">
        <v>872</v>
      </c>
      <c r="AS31" t="s">
        <v>943</v>
      </c>
      <c r="AT31">
        <v>6</v>
      </c>
    </row>
    <row r="32" spans="1:46">
      <c r="A32">
        <v>31</v>
      </c>
      <c r="B32">
        <v>33</v>
      </c>
      <c r="C32" t="s">
        <v>74</v>
      </c>
      <c r="D32" t="s">
        <v>352</v>
      </c>
      <c r="E32" t="s">
        <v>353</v>
      </c>
      <c r="F32">
        <v>52860</v>
      </c>
      <c r="G32" s="1">
        <v>45449</v>
      </c>
      <c r="H32" s="2">
        <v>45449.434178240743</v>
      </c>
      <c r="I32" s="2"/>
      <c r="K32" s="21">
        <v>0</v>
      </c>
      <c r="L32" s="21">
        <v>128688</v>
      </c>
      <c r="M32" s="21">
        <v>24451</v>
      </c>
      <c r="N32" s="21">
        <v>153139</v>
      </c>
      <c r="O32">
        <v>0</v>
      </c>
      <c r="P32">
        <v>0</v>
      </c>
      <c r="Q32">
        <v>0</v>
      </c>
      <c r="R32">
        <v>0</v>
      </c>
      <c r="S32">
        <v>0</v>
      </c>
      <c r="T32" t="s">
        <v>77</v>
      </c>
      <c r="U32">
        <v>0</v>
      </c>
      <c r="V32">
        <v>0</v>
      </c>
      <c r="W32">
        <v>0</v>
      </c>
      <c r="X32">
        <v>0</v>
      </c>
      <c r="AC32">
        <v>0</v>
      </c>
      <c r="AE32">
        <v>0</v>
      </c>
      <c r="AF32">
        <v>2</v>
      </c>
      <c r="AG32">
        <v>0</v>
      </c>
      <c r="AH32">
        <v>0</v>
      </c>
      <c r="AI32">
        <v>0</v>
      </c>
      <c r="AM32">
        <v>0</v>
      </c>
      <c r="AR32" t="s">
        <v>872</v>
      </c>
      <c r="AS32" t="s">
        <v>1027</v>
      </c>
      <c r="AT32">
        <v>6</v>
      </c>
    </row>
    <row r="33" spans="1:46">
      <c r="A33">
        <v>32</v>
      </c>
      <c r="B33">
        <v>33</v>
      </c>
      <c r="C33" t="s">
        <v>74</v>
      </c>
      <c r="D33" t="s">
        <v>81</v>
      </c>
      <c r="E33" t="s">
        <v>82</v>
      </c>
      <c r="F33">
        <v>52861</v>
      </c>
      <c r="G33" s="1">
        <v>45449</v>
      </c>
      <c r="H33" s="2">
        <v>45449.443159722221</v>
      </c>
      <c r="I33" s="2">
        <v>45602.60434027778</v>
      </c>
      <c r="J33" s="2"/>
      <c r="K33" s="21">
        <v>0</v>
      </c>
      <c r="L33" s="21">
        <v>5843290</v>
      </c>
      <c r="M33" s="21">
        <v>1110225</v>
      </c>
      <c r="N33" s="21">
        <v>6953515</v>
      </c>
      <c r="O33">
        <v>0</v>
      </c>
      <c r="P33">
        <v>0</v>
      </c>
      <c r="Q33">
        <v>0</v>
      </c>
      <c r="R33">
        <v>0</v>
      </c>
      <c r="S33">
        <v>0</v>
      </c>
      <c r="T33" t="s">
        <v>77</v>
      </c>
      <c r="U33">
        <v>0</v>
      </c>
      <c r="V33">
        <v>0</v>
      </c>
      <c r="W33">
        <v>0</v>
      </c>
      <c r="X33">
        <v>0</v>
      </c>
      <c r="AC33">
        <v>0</v>
      </c>
      <c r="AE33">
        <v>0</v>
      </c>
      <c r="AF33">
        <v>2</v>
      </c>
      <c r="AG33">
        <v>0</v>
      </c>
      <c r="AH33">
        <v>0</v>
      </c>
      <c r="AI33">
        <v>0</v>
      </c>
      <c r="AM33">
        <v>0</v>
      </c>
      <c r="AR33" t="s">
        <v>872</v>
      </c>
      <c r="AS33" t="s">
        <v>1036</v>
      </c>
      <c r="AT33">
        <v>6</v>
      </c>
    </row>
    <row r="34" spans="1:46">
      <c r="A34">
        <v>33</v>
      </c>
      <c r="B34">
        <v>33</v>
      </c>
      <c r="C34" t="s">
        <v>74</v>
      </c>
      <c r="D34" t="s">
        <v>278</v>
      </c>
      <c r="E34" t="s">
        <v>279</v>
      </c>
      <c r="F34">
        <v>52862</v>
      </c>
      <c r="G34" s="1">
        <v>45449</v>
      </c>
      <c r="H34" s="2">
        <v>45449.447256944448</v>
      </c>
      <c r="I34" s="2"/>
      <c r="K34" s="21">
        <v>0</v>
      </c>
      <c r="L34" s="21">
        <v>13502155</v>
      </c>
      <c r="M34" s="21">
        <v>2565409</v>
      </c>
      <c r="N34" s="21">
        <v>16067564</v>
      </c>
      <c r="O34">
        <v>0</v>
      </c>
      <c r="P34">
        <v>0</v>
      </c>
      <c r="Q34">
        <v>0</v>
      </c>
      <c r="R34">
        <v>0</v>
      </c>
      <c r="S34">
        <v>0</v>
      </c>
      <c r="T34" t="s">
        <v>77</v>
      </c>
      <c r="U34">
        <v>0</v>
      </c>
      <c r="V34">
        <v>0</v>
      </c>
      <c r="W34">
        <v>0</v>
      </c>
      <c r="X34">
        <v>0</v>
      </c>
      <c r="AC34">
        <v>0</v>
      </c>
      <c r="AE34">
        <v>0</v>
      </c>
      <c r="AF34">
        <v>2</v>
      </c>
      <c r="AG34">
        <v>0</v>
      </c>
      <c r="AH34">
        <v>0</v>
      </c>
      <c r="AI34">
        <v>0</v>
      </c>
      <c r="AM34">
        <v>0</v>
      </c>
      <c r="AR34" t="s">
        <v>872</v>
      </c>
      <c r="AS34" t="s">
        <v>3748</v>
      </c>
      <c r="AT34">
        <v>6</v>
      </c>
    </row>
    <row r="35" spans="1:46">
      <c r="A35">
        <v>34</v>
      </c>
      <c r="B35">
        <v>33</v>
      </c>
      <c r="C35" t="s">
        <v>74</v>
      </c>
      <c r="D35" t="s">
        <v>81</v>
      </c>
      <c r="E35" t="s">
        <v>82</v>
      </c>
      <c r="F35">
        <v>52863</v>
      </c>
      <c r="G35" s="1">
        <v>45449</v>
      </c>
      <c r="H35" s="2">
        <v>45449.606064814812</v>
      </c>
      <c r="I35" s="2">
        <v>45449.854560185187</v>
      </c>
      <c r="K35" s="21">
        <v>0</v>
      </c>
      <c r="L35" s="21">
        <v>5843290</v>
      </c>
      <c r="M35" s="21">
        <v>1110225</v>
      </c>
      <c r="N35" s="21">
        <v>6953515</v>
      </c>
      <c r="O35">
        <v>0</v>
      </c>
      <c r="P35">
        <v>0</v>
      </c>
      <c r="Q35">
        <v>0</v>
      </c>
      <c r="R35">
        <v>0</v>
      </c>
      <c r="S35">
        <v>0</v>
      </c>
      <c r="T35" t="s">
        <v>77</v>
      </c>
      <c r="U35">
        <v>0</v>
      </c>
      <c r="V35">
        <v>0</v>
      </c>
      <c r="W35">
        <v>0</v>
      </c>
      <c r="X35">
        <v>0</v>
      </c>
      <c r="AC35">
        <v>0</v>
      </c>
      <c r="AE35">
        <v>0</v>
      </c>
      <c r="AF35">
        <v>2</v>
      </c>
      <c r="AG35">
        <v>0</v>
      </c>
      <c r="AH35">
        <v>0</v>
      </c>
      <c r="AI35">
        <v>0</v>
      </c>
      <c r="AM35">
        <v>0</v>
      </c>
      <c r="AR35" t="s">
        <v>872</v>
      </c>
      <c r="AS35" t="s">
        <v>1036</v>
      </c>
      <c r="AT35">
        <v>6</v>
      </c>
    </row>
    <row r="36" spans="1:46">
      <c r="A36">
        <v>35</v>
      </c>
      <c r="B36">
        <v>33</v>
      </c>
      <c r="C36" t="s">
        <v>74</v>
      </c>
      <c r="D36" t="s">
        <v>244</v>
      </c>
      <c r="E36" t="s">
        <v>245</v>
      </c>
      <c r="F36">
        <v>52864</v>
      </c>
      <c r="G36" s="1">
        <v>45449</v>
      </c>
      <c r="H36" s="2">
        <v>45449.606747685182</v>
      </c>
      <c r="I36" s="2"/>
      <c r="K36" s="21">
        <v>0</v>
      </c>
      <c r="L36" s="21">
        <v>1017637</v>
      </c>
      <c r="M36" s="21">
        <v>193351</v>
      </c>
      <c r="N36" s="21">
        <v>1210988</v>
      </c>
      <c r="O36">
        <v>0</v>
      </c>
      <c r="P36">
        <v>0</v>
      </c>
      <c r="Q36">
        <v>0</v>
      </c>
      <c r="R36">
        <v>0</v>
      </c>
      <c r="S36">
        <v>0</v>
      </c>
      <c r="T36" t="s">
        <v>77</v>
      </c>
      <c r="U36">
        <v>0</v>
      </c>
      <c r="V36">
        <v>0</v>
      </c>
      <c r="W36">
        <v>0</v>
      </c>
      <c r="X36">
        <v>0</v>
      </c>
      <c r="Y36">
        <v>0</v>
      </c>
      <c r="AC36">
        <v>0</v>
      </c>
      <c r="AE36">
        <v>0</v>
      </c>
      <c r="AF36">
        <v>2</v>
      </c>
      <c r="AG36">
        <v>0</v>
      </c>
      <c r="AH36">
        <v>0</v>
      </c>
      <c r="AI36">
        <v>0</v>
      </c>
      <c r="AM36">
        <v>0</v>
      </c>
      <c r="AR36" t="s">
        <v>872</v>
      </c>
      <c r="AS36" t="s">
        <v>3749</v>
      </c>
      <c r="AT36">
        <v>6</v>
      </c>
    </row>
    <row r="37" spans="1:46">
      <c r="A37">
        <v>36</v>
      </c>
      <c r="B37">
        <v>33</v>
      </c>
      <c r="C37" t="s">
        <v>74</v>
      </c>
      <c r="D37" t="s">
        <v>248</v>
      </c>
      <c r="E37" t="s">
        <v>249</v>
      </c>
      <c r="F37">
        <v>52865</v>
      </c>
      <c r="G37" s="1">
        <v>45449</v>
      </c>
      <c r="H37" s="2">
        <v>45449.740995370368</v>
      </c>
      <c r="I37" s="2">
        <v>45479.650358796294</v>
      </c>
      <c r="K37" s="21">
        <v>0</v>
      </c>
      <c r="L37" s="21">
        <v>135938</v>
      </c>
      <c r="M37" s="21">
        <v>25828</v>
      </c>
      <c r="N37" s="21">
        <v>161766</v>
      </c>
      <c r="O37">
        <v>0</v>
      </c>
      <c r="P37">
        <v>0</v>
      </c>
      <c r="Q37">
        <v>0</v>
      </c>
      <c r="R37">
        <v>0</v>
      </c>
      <c r="S37">
        <v>0</v>
      </c>
      <c r="T37" t="s">
        <v>77</v>
      </c>
      <c r="U37">
        <v>0</v>
      </c>
      <c r="V37">
        <v>0</v>
      </c>
      <c r="W37">
        <v>0</v>
      </c>
      <c r="X37">
        <v>0</v>
      </c>
      <c r="AC37">
        <v>0</v>
      </c>
      <c r="AE37">
        <v>0</v>
      </c>
      <c r="AF37">
        <v>2</v>
      </c>
      <c r="AG37">
        <v>0</v>
      </c>
      <c r="AH37">
        <v>0</v>
      </c>
      <c r="AI37">
        <v>0</v>
      </c>
      <c r="AM37">
        <v>0</v>
      </c>
      <c r="AR37" t="s">
        <v>872</v>
      </c>
      <c r="AS37" t="s">
        <v>3750</v>
      </c>
      <c r="AT37">
        <v>6</v>
      </c>
    </row>
    <row r="38" spans="1:46">
      <c r="A38">
        <v>37</v>
      </c>
      <c r="B38">
        <v>33</v>
      </c>
      <c r="C38" t="s">
        <v>74</v>
      </c>
      <c r="D38" t="s">
        <v>165</v>
      </c>
      <c r="E38" t="s">
        <v>166</v>
      </c>
      <c r="F38">
        <v>52866</v>
      </c>
      <c r="G38" s="1">
        <v>45449</v>
      </c>
      <c r="H38" s="2">
        <v>45449.742627314816</v>
      </c>
      <c r="I38" s="2">
        <v>45602.459305555552</v>
      </c>
      <c r="K38" s="21">
        <v>0</v>
      </c>
      <c r="L38" s="21">
        <v>156600</v>
      </c>
      <c r="M38" s="21">
        <v>29754</v>
      </c>
      <c r="N38" s="21">
        <v>186354</v>
      </c>
      <c r="O38">
        <v>0</v>
      </c>
      <c r="P38">
        <v>0</v>
      </c>
      <c r="Q38">
        <v>0</v>
      </c>
      <c r="R38">
        <v>0</v>
      </c>
      <c r="S38">
        <v>0</v>
      </c>
      <c r="T38" t="s">
        <v>77</v>
      </c>
      <c r="U38">
        <v>0</v>
      </c>
      <c r="V38">
        <v>0</v>
      </c>
      <c r="W38">
        <v>0</v>
      </c>
      <c r="X38">
        <v>0</v>
      </c>
      <c r="AC38">
        <v>0</v>
      </c>
      <c r="AE38">
        <v>0</v>
      </c>
      <c r="AF38">
        <v>2</v>
      </c>
      <c r="AG38">
        <v>0</v>
      </c>
      <c r="AH38">
        <v>0</v>
      </c>
      <c r="AI38">
        <v>0</v>
      </c>
      <c r="AM38">
        <v>0</v>
      </c>
      <c r="AR38" t="s">
        <v>872</v>
      </c>
      <c r="AS38" t="s">
        <v>3751</v>
      </c>
      <c r="AT38">
        <v>6</v>
      </c>
    </row>
    <row r="39" spans="1:46">
      <c r="A39">
        <v>38</v>
      </c>
      <c r="B39">
        <v>33</v>
      </c>
      <c r="C39" t="s">
        <v>74</v>
      </c>
      <c r="D39" t="s">
        <v>350</v>
      </c>
      <c r="E39" t="s">
        <v>351</v>
      </c>
      <c r="F39">
        <v>52867</v>
      </c>
      <c r="G39" s="1">
        <v>45449</v>
      </c>
      <c r="H39" s="2">
        <v>45449.743333333332</v>
      </c>
      <c r="I39" s="2"/>
      <c r="K39" s="21">
        <v>0</v>
      </c>
      <c r="L39" s="21">
        <v>3289959</v>
      </c>
      <c r="M39" s="21">
        <v>625093</v>
      </c>
      <c r="N39" s="21">
        <v>3915052</v>
      </c>
      <c r="O39">
        <v>0</v>
      </c>
      <c r="P39">
        <v>0</v>
      </c>
      <c r="Q39">
        <v>0</v>
      </c>
      <c r="R39">
        <v>0</v>
      </c>
      <c r="S39">
        <v>0</v>
      </c>
      <c r="T39" t="s">
        <v>77</v>
      </c>
      <c r="U39">
        <v>0</v>
      </c>
      <c r="V39">
        <v>0</v>
      </c>
      <c r="W39">
        <v>0</v>
      </c>
      <c r="X39">
        <v>0</v>
      </c>
      <c r="Y39">
        <v>0</v>
      </c>
      <c r="AC39">
        <v>0</v>
      </c>
      <c r="AE39">
        <v>0</v>
      </c>
      <c r="AF39">
        <v>2</v>
      </c>
      <c r="AG39">
        <v>0</v>
      </c>
      <c r="AH39">
        <v>0</v>
      </c>
      <c r="AI39">
        <v>0</v>
      </c>
      <c r="AM39">
        <v>0</v>
      </c>
      <c r="AR39" t="s">
        <v>872</v>
      </c>
      <c r="AS39" t="s">
        <v>1015</v>
      </c>
      <c r="AT39">
        <v>6</v>
      </c>
    </row>
    <row r="40" spans="1:46">
      <c r="A40">
        <v>39</v>
      </c>
      <c r="B40">
        <v>33</v>
      </c>
      <c r="C40" t="s">
        <v>74</v>
      </c>
      <c r="D40" t="s">
        <v>314</v>
      </c>
      <c r="E40" t="s">
        <v>315</v>
      </c>
      <c r="F40">
        <v>52868</v>
      </c>
      <c r="G40" s="1">
        <v>45449</v>
      </c>
      <c r="H40" s="2">
        <v>45449.745393518519</v>
      </c>
      <c r="I40" s="2">
        <v>45449.759606481479</v>
      </c>
      <c r="K40" s="21">
        <v>0</v>
      </c>
      <c r="L40" s="21">
        <v>2789475</v>
      </c>
      <c r="M40" s="21">
        <v>530000</v>
      </c>
      <c r="N40" s="21">
        <v>3319475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77</v>
      </c>
      <c r="U40">
        <v>0</v>
      </c>
      <c r="V40">
        <v>0</v>
      </c>
      <c r="W40">
        <v>0</v>
      </c>
      <c r="X40">
        <v>0</v>
      </c>
      <c r="AC40">
        <v>0</v>
      </c>
      <c r="AE40">
        <v>0</v>
      </c>
      <c r="AF40">
        <v>2</v>
      </c>
      <c r="AG40">
        <v>0</v>
      </c>
      <c r="AH40">
        <v>0</v>
      </c>
      <c r="AI40">
        <v>0</v>
      </c>
      <c r="AM40">
        <v>0</v>
      </c>
      <c r="AR40" t="s">
        <v>872</v>
      </c>
      <c r="AS40" t="s">
        <v>3752</v>
      </c>
      <c r="AT40">
        <v>6</v>
      </c>
    </row>
    <row r="41" spans="1:46">
      <c r="A41">
        <v>40</v>
      </c>
      <c r="B41">
        <v>33</v>
      </c>
      <c r="C41" t="s">
        <v>74</v>
      </c>
      <c r="D41" t="s">
        <v>350</v>
      </c>
      <c r="E41" t="s">
        <v>351</v>
      </c>
      <c r="F41">
        <v>52869</v>
      </c>
      <c r="G41" s="1">
        <v>45449</v>
      </c>
      <c r="H41" s="2">
        <v>45449.746168981481</v>
      </c>
      <c r="I41" s="2"/>
      <c r="K41" s="21">
        <v>0</v>
      </c>
      <c r="L41" s="21">
        <v>3269433</v>
      </c>
      <c r="M41" s="21">
        <v>621192</v>
      </c>
      <c r="N41" s="21">
        <v>3890625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77</v>
      </c>
      <c r="U41">
        <v>0</v>
      </c>
      <c r="V41">
        <v>0</v>
      </c>
      <c r="W41">
        <v>0</v>
      </c>
      <c r="X41">
        <v>0</v>
      </c>
      <c r="Y41">
        <v>0</v>
      </c>
      <c r="AC41">
        <v>0</v>
      </c>
      <c r="AE41">
        <v>0</v>
      </c>
      <c r="AF41">
        <v>2</v>
      </c>
      <c r="AG41">
        <v>0</v>
      </c>
      <c r="AH41">
        <v>0</v>
      </c>
      <c r="AI41">
        <v>0</v>
      </c>
      <c r="AM41">
        <v>0</v>
      </c>
      <c r="AR41" t="s">
        <v>872</v>
      </c>
      <c r="AS41" t="s">
        <v>1015</v>
      </c>
      <c r="AT41">
        <v>6</v>
      </c>
    </row>
    <row r="42" spans="1:46">
      <c r="A42">
        <v>41</v>
      </c>
      <c r="B42">
        <v>33</v>
      </c>
      <c r="C42" t="s">
        <v>74</v>
      </c>
      <c r="D42" t="s">
        <v>202</v>
      </c>
      <c r="E42" t="s">
        <v>203</v>
      </c>
      <c r="F42">
        <v>52870</v>
      </c>
      <c r="G42" s="1">
        <v>45449</v>
      </c>
      <c r="H42" s="2">
        <v>45449.755162037036</v>
      </c>
      <c r="I42" s="2" t="s">
        <v>409</v>
      </c>
      <c r="J42" s="2"/>
      <c r="K42" s="21">
        <v>0</v>
      </c>
      <c r="L42" s="21">
        <v>358262</v>
      </c>
      <c r="M42" s="21">
        <v>68070</v>
      </c>
      <c r="N42" s="21">
        <v>426332</v>
      </c>
      <c r="O42">
        <v>0</v>
      </c>
      <c r="P42">
        <v>0</v>
      </c>
      <c r="Q42">
        <v>0</v>
      </c>
      <c r="R42">
        <v>0</v>
      </c>
      <c r="S42">
        <v>0</v>
      </c>
      <c r="T42" t="s">
        <v>77</v>
      </c>
      <c r="U42">
        <v>0</v>
      </c>
      <c r="V42">
        <v>0</v>
      </c>
      <c r="W42">
        <v>0</v>
      </c>
      <c r="X42">
        <v>0</v>
      </c>
      <c r="AC42">
        <v>0</v>
      </c>
      <c r="AE42">
        <v>0</v>
      </c>
      <c r="AF42">
        <v>2</v>
      </c>
      <c r="AG42">
        <v>0</v>
      </c>
      <c r="AH42">
        <v>0</v>
      </c>
      <c r="AI42">
        <v>0</v>
      </c>
      <c r="AM42">
        <v>0</v>
      </c>
      <c r="AR42" t="s">
        <v>872</v>
      </c>
      <c r="AS42" t="s">
        <v>935</v>
      </c>
      <c r="AT42">
        <v>6</v>
      </c>
    </row>
    <row r="43" spans="1:46">
      <c r="A43">
        <v>42</v>
      </c>
      <c r="B43">
        <v>33</v>
      </c>
      <c r="C43" t="s">
        <v>74</v>
      </c>
      <c r="D43" t="s">
        <v>385</v>
      </c>
      <c r="E43" t="s">
        <v>386</v>
      </c>
      <c r="F43">
        <v>52871</v>
      </c>
      <c r="G43" s="1">
        <v>45450</v>
      </c>
      <c r="H43" s="2">
        <v>45479.436550925922</v>
      </c>
      <c r="I43" s="2">
        <v>45632.527187500003</v>
      </c>
      <c r="K43" s="21">
        <v>0</v>
      </c>
      <c r="L43" s="21">
        <v>137478</v>
      </c>
      <c r="M43" s="21">
        <v>26121</v>
      </c>
      <c r="N43" s="21">
        <v>163599</v>
      </c>
      <c r="O43">
        <v>0</v>
      </c>
      <c r="P43">
        <v>0</v>
      </c>
      <c r="Q43">
        <v>0</v>
      </c>
      <c r="R43">
        <v>0</v>
      </c>
      <c r="S43">
        <v>0</v>
      </c>
      <c r="T43" t="s">
        <v>77</v>
      </c>
      <c r="U43">
        <v>0</v>
      </c>
      <c r="V43">
        <v>0</v>
      </c>
      <c r="W43">
        <v>0</v>
      </c>
      <c r="X43">
        <v>0</v>
      </c>
      <c r="Y43">
        <v>0</v>
      </c>
      <c r="AC43">
        <v>0</v>
      </c>
      <c r="AE43">
        <v>0</v>
      </c>
      <c r="AF43">
        <v>2</v>
      </c>
      <c r="AG43">
        <v>0</v>
      </c>
      <c r="AH43">
        <v>0</v>
      </c>
      <c r="AI43">
        <v>0</v>
      </c>
      <c r="AM43">
        <v>0</v>
      </c>
      <c r="AR43" t="s">
        <v>872</v>
      </c>
      <c r="AS43" t="s">
        <v>3753</v>
      </c>
      <c r="AT43">
        <v>6</v>
      </c>
    </row>
    <row r="44" spans="1:46">
      <c r="A44">
        <v>43</v>
      </c>
      <c r="B44">
        <v>33</v>
      </c>
      <c r="C44" t="s">
        <v>74</v>
      </c>
      <c r="D44" t="s">
        <v>127</v>
      </c>
      <c r="E44" t="s">
        <v>128</v>
      </c>
      <c r="F44">
        <v>52872</v>
      </c>
      <c r="G44" s="1">
        <v>45450</v>
      </c>
      <c r="H44" s="2">
        <v>45479.438333333332</v>
      </c>
      <c r="I44" s="2"/>
      <c r="K44" s="21">
        <v>0</v>
      </c>
      <c r="L44" s="21">
        <v>1873707</v>
      </c>
      <c r="M44" s="21">
        <v>356005</v>
      </c>
      <c r="N44" s="21">
        <v>2229712</v>
      </c>
      <c r="O44">
        <v>0</v>
      </c>
      <c r="P44">
        <v>0</v>
      </c>
      <c r="Q44">
        <v>0</v>
      </c>
      <c r="R44">
        <v>0</v>
      </c>
      <c r="S44">
        <v>0</v>
      </c>
      <c r="T44" t="s">
        <v>77</v>
      </c>
      <c r="U44">
        <v>0</v>
      </c>
      <c r="V44">
        <v>0</v>
      </c>
      <c r="W44">
        <v>0</v>
      </c>
      <c r="X44">
        <v>0</v>
      </c>
      <c r="AC44">
        <v>0</v>
      </c>
      <c r="AE44">
        <v>0</v>
      </c>
      <c r="AF44">
        <v>2</v>
      </c>
      <c r="AG44">
        <v>0</v>
      </c>
      <c r="AH44">
        <v>0</v>
      </c>
      <c r="AI44">
        <v>0</v>
      </c>
      <c r="AM44">
        <v>0</v>
      </c>
      <c r="AR44" t="s">
        <v>872</v>
      </c>
      <c r="AS44" t="s">
        <v>987</v>
      </c>
      <c r="AT44">
        <v>6</v>
      </c>
    </row>
    <row r="45" spans="1:46">
      <c r="A45">
        <v>44</v>
      </c>
      <c r="B45">
        <v>33</v>
      </c>
      <c r="C45" t="s">
        <v>74</v>
      </c>
      <c r="D45" t="s">
        <v>280</v>
      </c>
      <c r="E45" t="s">
        <v>281</v>
      </c>
      <c r="F45">
        <v>52873</v>
      </c>
      <c r="G45" s="1">
        <v>45450</v>
      </c>
      <c r="H45" s="2">
        <v>45479.589675925927</v>
      </c>
      <c r="I45" s="2"/>
      <c r="J45" s="2"/>
      <c r="K45" s="21">
        <v>0</v>
      </c>
      <c r="L45" s="21">
        <v>1055395</v>
      </c>
      <c r="M45" s="21">
        <v>200526</v>
      </c>
      <c r="N45" s="21">
        <v>1255921</v>
      </c>
      <c r="O45">
        <v>0</v>
      </c>
      <c r="P45">
        <v>0</v>
      </c>
      <c r="Q45">
        <v>0</v>
      </c>
      <c r="R45">
        <v>0</v>
      </c>
      <c r="S45">
        <v>0</v>
      </c>
      <c r="T45" t="s">
        <v>77</v>
      </c>
      <c r="U45">
        <v>0</v>
      </c>
      <c r="V45">
        <v>0</v>
      </c>
      <c r="W45">
        <v>0</v>
      </c>
      <c r="X45">
        <v>0</v>
      </c>
      <c r="Y45">
        <v>0</v>
      </c>
      <c r="AC45">
        <v>0</v>
      </c>
      <c r="AE45">
        <v>0</v>
      </c>
      <c r="AF45">
        <v>2</v>
      </c>
      <c r="AG45">
        <v>0</v>
      </c>
      <c r="AH45">
        <v>0</v>
      </c>
      <c r="AI45">
        <v>0</v>
      </c>
      <c r="AM45">
        <v>0</v>
      </c>
      <c r="AR45" t="s">
        <v>872</v>
      </c>
      <c r="AS45" t="s">
        <v>1025</v>
      </c>
      <c r="AT45">
        <v>6</v>
      </c>
    </row>
    <row r="46" spans="1:46">
      <c r="A46">
        <v>45</v>
      </c>
      <c r="B46">
        <v>33</v>
      </c>
      <c r="C46" t="s">
        <v>74</v>
      </c>
      <c r="D46" t="s">
        <v>24</v>
      </c>
      <c r="E46" t="s">
        <v>25</v>
      </c>
      <c r="F46">
        <v>52874</v>
      </c>
      <c r="G46" s="1">
        <v>45450</v>
      </c>
      <c r="H46" s="2">
        <v>45479.592743055553</v>
      </c>
      <c r="I46" s="2"/>
      <c r="J46" s="2"/>
      <c r="K46" s="21">
        <v>0</v>
      </c>
      <c r="L46" s="21">
        <v>5899087</v>
      </c>
      <c r="M46" s="21">
        <v>1120827</v>
      </c>
      <c r="N46" s="21">
        <v>7019914</v>
      </c>
      <c r="O46">
        <v>0</v>
      </c>
      <c r="P46">
        <v>0</v>
      </c>
      <c r="Q46">
        <v>0</v>
      </c>
      <c r="R46">
        <v>0</v>
      </c>
      <c r="S46">
        <v>0</v>
      </c>
      <c r="T46" t="s">
        <v>77</v>
      </c>
      <c r="U46">
        <v>0</v>
      </c>
      <c r="V46">
        <v>0</v>
      </c>
      <c r="W46">
        <v>0</v>
      </c>
      <c r="X46">
        <v>0</v>
      </c>
      <c r="AC46">
        <v>0</v>
      </c>
      <c r="AE46">
        <v>0</v>
      </c>
      <c r="AF46">
        <v>2</v>
      </c>
      <c r="AG46">
        <v>0</v>
      </c>
      <c r="AH46">
        <v>0</v>
      </c>
      <c r="AI46">
        <v>0</v>
      </c>
      <c r="AM46">
        <v>0</v>
      </c>
      <c r="AR46" t="s">
        <v>872</v>
      </c>
      <c r="AS46" t="s">
        <v>995</v>
      </c>
      <c r="AT46">
        <v>6</v>
      </c>
    </row>
    <row r="47" spans="1:46">
      <c r="A47">
        <v>46</v>
      </c>
      <c r="B47">
        <v>33</v>
      </c>
      <c r="C47" t="s">
        <v>74</v>
      </c>
      <c r="D47" t="s">
        <v>410</v>
      </c>
      <c r="E47" t="s">
        <v>411</v>
      </c>
      <c r="F47">
        <v>52875</v>
      </c>
      <c r="G47" s="1">
        <v>45450</v>
      </c>
      <c r="H47" s="2">
        <v>45479.595821759256</v>
      </c>
      <c r="I47" s="2">
        <v>45479.971608796295</v>
      </c>
      <c r="K47" s="21">
        <v>0</v>
      </c>
      <c r="L47" s="21">
        <v>2500032</v>
      </c>
      <c r="M47" s="21">
        <v>475006</v>
      </c>
      <c r="N47" s="21">
        <v>2975038</v>
      </c>
      <c r="O47">
        <v>0</v>
      </c>
      <c r="P47">
        <v>0</v>
      </c>
      <c r="Q47">
        <v>0</v>
      </c>
      <c r="R47">
        <v>0</v>
      </c>
      <c r="S47">
        <v>0</v>
      </c>
      <c r="T47" t="s">
        <v>77</v>
      </c>
      <c r="U47">
        <v>0</v>
      </c>
      <c r="V47">
        <v>0</v>
      </c>
      <c r="W47">
        <v>0</v>
      </c>
      <c r="X47">
        <v>0</v>
      </c>
      <c r="AC47">
        <v>0</v>
      </c>
      <c r="AE47">
        <v>0</v>
      </c>
      <c r="AF47">
        <v>2</v>
      </c>
      <c r="AG47">
        <v>0</v>
      </c>
      <c r="AH47">
        <v>0</v>
      </c>
      <c r="AI47">
        <v>0</v>
      </c>
      <c r="AM47">
        <v>0</v>
      </c>
      <c r="AR47" t="s">
        <v>872</v>
      </c>
      <c r="AS47" t="s">
        <v>3754</v>
      </c>
      <c r="AT47">
        <v>6</v>
      </c>
    </row>
    <row r="48" spans="1:46">
      <c r="A48">
        <v>47</v>
      </c>
      <c r="B48">
        <v>33</v>
      </c>
      <c r="C48" t="s">
        <v>74</v>
      </c>
      <c r="D48" t="s">
        <v>329</v>
      </c>
      <c r="E48" t="s">
        <v>330</v>
      </c>
      <c r="F48">
        <v>52876</v>
      </c>
      <c r="G48" s="1">
        <v>45450</v>
      </c>
      <c r="H48" s="2">
        <v>45479.657314814816</v>
      </c>
      <c r="I48" s="2"/>
      <c r="K48" s="21">
        <v>0</v>
      </c>
      <c r="L48" s="21">
        <v>1638810</v>
      </c>
      <c r="M48" s="21">
        <v>311374</v>
      </c>
      <c r="N48" s="21">
        <v>1950184</v>
      </c>
      <c r="O48">
        <v>0</v>
      </c>
      <c r="P48">
        <v>0</v>
      </c>
      <c r="Q48">
        <v>0</v>
      </c>
      <c r="R48">
        <v>0</v>
      </c>
      <c r="S48">
        <v>0</v>
      </c>
      <c r="T48" t="s">
        <v>77</v>
      </c>
      <c r="U48">
        <v>0</v>
      </c>
      <c r="V48">
        <v>0</v>
      </c>
      <c r="W48">
        <v>0</v>
      </c>
      <c r="X48">
        <v>0</v>
      </c>
      <c r="AC48">
        <v>0</v>
      </c>
      <c r="AE48">
        <v>0</v>
      </c>
      <c r="AF48">
        <v>2</v>
      </c>
      <c r="AG48">
        <v>0</v>
      </c>
      <c r="AH48">
        <v>0</v>
      </c>
      <c r="AI48">
        <v>0</v>
      </c>
      <c r="AM48">
        <v>0</v>
      </c>
      <c r="AR48" t="s">
        <v>872</v>
      </c>
      <c r="AS48" t="s">
        <v>965</v>
      </c>
      <c r="AT48">
        <v>6</v>
      </c>
    </row>
    <row r="49" spans="1:46">
      <c r="A49">
        <v>48</v>
      </c>
      <c r="B49">
        <v>33</v>
      </c>
      <c r="C49" t="s">
        <v>74</v>
      </c>
      <c r="D49" t="s">
        <v>329</v>
      </c>
      <c r="E49" t="s">
        <v>330</v>
      </c>
      <c r="F49">
        <v>52877</v>
      </c>
      <c r="G49" s="1">
        <v>45450</v>
      </c>
      <c r="H49" s="2">
        <v>45479.657986111109</v>
      </c>
      <c r="I49" s="2"/>
      <c r="K49" s="21">
        <v>0</v>
      </c>
      <c r="L49" s="21">
        <v>1638810</v>
      </c>
      <c r="M49" s="21">
        <v>311374</v>
      </c>
      <c r="N49" s="21">
        <v>1950184</v>
      </c>
      <c r="O49">
        <v>0</v>
      </c>
      <c r="P49">
        <v>0</v>
      </c>
      <c r="Q49">
        <v>0</v>
      </c>
      <c r="R49">
        <v>0</v>
      </c>
      <c r="S49">
        <v>0</v>
      </c>
      <c r="T49" t="s">
        <v>77</v>
      </c>
      <c r="U49">
        <v>0</v>
      </c>
      <c r="V49">
        <v>0</v>
      </c>
      <c r="W49">
        <v>0</v>
      </c>
      <c r="X49">
        <v>0</v>
      </c>
      <c r="AC49">
        <v>0</v>
      </c>
      <c r="AE49">
        <v>0</v>
      </c>
      <c r="AF49">
        <v>2</v>
      </c>
      <c r="AG49">
        <v>0</v>
      </c>
      <c r="AH49">
        <v>0</v>
      </c>
      <c r="AI49">
        <v>0</v>
      </c>
      <c r="AM49">
        <v>0</v>
      </c>
      <c r="AR49" t="s">
        <v>872</v>
      </c>
      <c r="AS49" t="s">
        <v>965</v>
      </c>
      <c r="AT49">
        <v>6</v>
      </c>
    </row>
    <row r="50" spans="1:46">
      <c r="A50">
        <v>49</v>
      </c>
      <c r="B50">
        <v>33</v>
      </c>
      <c r="C50" t="s">
        <v>74</v>
      </c>
      <c r="D50" t="s">
        <v>412</v>
      </c>
      <c r="E50" t="s">
        <v>413</v>
      </c>
      <c r="F50">
        <v>52878</v>
      </c>
      <c r="G50" s="1">
        <v>45450</v>
      </c>
      <c r="H50" s="2">
        <v>45479.747118055559</v>
      </c>
      <c r="I50" s="2">
        <v>45571.496990740743</v>
      </c>
      <c r="K50" s="21">
        <v>0</v>
      </c>
      <c r="L50" s="21">
        <v>85342</v>
      </c>
      <c r="M50" s="21">
        <v>16215</v>
      </c>
      <c r="N50" s="21">
        <v>101557</v>
      </c>
      <c r="O50">
        <v>0</v>
      </c>
      <c r="P50">
        <v>0</v>
      </c>
      <c r="Q50">
        <v>0</v>
      </c>
      <c r="R50">
        <v>0</v>
      </c>
      <c r="S50">
        <v>0</v>
      </c>
      <c r="T50" t="s">
        <v>77</v>
      </c>
      <c r="U50">
        <v>0</v>
      </c>
      <c r="V50">
        <v>0</v>
      </c>
      <c r="W50">
        <v>0</v>
      </c>
      <c r="X50">
        <v>0</v>
      </c>
      <c r="Y50">
        <v>0</v>
      </c>
      <c r="AC50">
        <v>0</v>
      </c>
      <c r="AE50">
        <v>0</v>
      </c>
      <c r="AF50">
        <v>2</v>
      </c>
      <c r="AG50">
        <v>0</v>
      </c>
      <c r="AH50">
        <v>0</v>
      </c>
      <c r="AI50">
        <v>0</v>
      </c>
      <c r="AM50">
        <v>0</v>
      </c>
      <c r="AR50" t="s">
        <v>872</v>
      </c>
      <c r="AS50" t="s">
        <v>3755</v>
      </c>
      <c r="AT50">
        <v>6</v>
      </c>
    </row>
    <row r="51" spans="1:46">
      <c r="A51">
        <v>50</v>
      </c>
      <c r="B51">
        <v>33</v>
      </c>
      <c r="C51" t="s">
        <v>74</v>
      </c>
      <c r="D51" t="s">
        <v>414</v>
      </c>
      <c r="E51" t="s">
        <v>415</v>
      </c>
      <c r="F51">
        <v>52879</v>
      </c>
      <c r="G51" s="1">
        <v>45450</v>
      </c>
      <c r="H51" s="2">
        <v>45479.749050925922</v>
      </c>
      <c r="I51" s="2">
        <v>45571.315578703703</v>
      </c>
      <c r="K51" s="21">
        <v>0</v>
      </c>
      <c r="L51" s="21">
        <v>3277620</v>
      </c>
      <c r="M51" s="21">
        <v>622748</v>
      </c>
      <c r="N51" s="21">
        <v>3900368</v>
      </c>
      <c r="O51">
        <v>0</v>
      </c>
      <c r="P51">
        <v>0</v>
      </c>
      <c r="Q51">
        <v>0</v>
      </c>
      <c r="R51">
        <v>0</v>
      </c>
      <c r="S51">
        <v>0</v>
      </c>
      <c r="T51" t="s">
        <v>77</v>
      </c>
      <c r="U51">
        <v>0</v>
      </c>
      <c r="V51">
        <v>0</v>
      </c>
      <c r="W51">
        <v>0</v>
      </c>
      <c r="X51">
        <v>0</v>
      </c>
      <c r="AC51">
        <v>0</v>
      </c>
      <c r="AE51">
        <v>0</v>
      </c>
      <c r="AF51">
        <v>2</v>
      </c>
      <c r="AG51">
        <v>0</v>
      </c>
      <c r="AH51">
        <v>0</v>
      </c>
      <c r="AI51">
        <v>0</v>
      </c>
      <c r="AM51">
        <v>0</v>
      </c>
      <c r="AR51" t="s">
        <v>872</v>
      </c>
      <c r="AS51" t="s">
        <v>3756</v>
      </c>
      <c r="AT51">
        <v>6</v>
      </c>
    </row>
    <row r="52" spans="1:46">
      <c r="A52">
        <v>51</v>
      </c>
      <c r="B52">
        <v>33</v>
      </c>
      <c r="C52" t="s">
        <v>74</v>
      </c>
      <c r="D52" t="s">
        <v>312</v>
      </c>
      <c r="E52" t="s">
        <v>313</v>
      </c>
      <c r="F52">
        <v>52880</v>
      </c>
      <c r="G52" s="1">
        <v>45450</v>
      </c>
      <c r="H52" s="2">
        <v>45479.750613425924</v>
      </c>
      <c r="I52" s="2"/>
      <c r="K52" s="21">
        <v>0</v>
      </c>
      <c r="L52" s="21">
        <v>65552</v>
      </c>
      <c r="M52" s="21">
        <v>12455</v>
      </c>
      <c r="N52" s="21">
        <v>78007</v>
      </c>
      <c r="O52">
        <v>0</v>
      </c>
      <c r="P52">
        <v>0</v>
      </c>
      <c r="Q52">
        <v>0</v>
      </c>
      <c r="R52">
        <v>0</v>
      </c>
      <c r="S52">
        <v>0</v>
      </c>
      <c r="T52" t="s">
        <v>77</v>
      </c>
      <c r="U52">
        <v>0</v>
      </c>
      <c r="V52">
        <v>0</v>
      </c>
      <c r="W52">
        <v>0</v>
      </c>
      <c r="X52">
        <v>0</v>
      </c>
      <c r="AC52">
        <v>0</v>
      </c>
      <c r="AE52">
        <v>0</v>
      </c>
      <c r="AF52">
        <v>2</v>
      </c>
      <c r="AG52">
        <v>0</v>
      </c>
      <c r="AH52">
        <v>0</v>
      </c>
      <c r="AI52">
        <v>0</v>
      </c>
      <c r="AM52">
        <v>0</v>
      </c>
      <c r="AR52" t="s">
        <v>872</v>
      </c>
      <c r="AS52" t="s">
        <v>999</v>
      </c>
      <c r="AT52">
        <v>6</v>
      </c>
    </row>
    <row r="53" spans="1:46">
      <c r="A53">
        <v>52</v>
      </c>
      <c r="B53">
        <v>33</v>
      </c>
      <c r="C53" t="s">
        <v>74</v>
      </c>
      <c r="D53" t="s">
        <v>416</v>
      </c>
      <c r="E53" t="s">
        <v>417</v>
      </c>
      <c r="F53">
        <v>52881</v>
      </c>
      <c r="G53" s="1">
        <v>45450</v>
      </c>
      <c r="H53" s="2">
        <v>45479.752858796295</v>
      </c>
      <c r="I53" s="2"/>
      <c r="K53" s="21">
        <v>0</v>
      </c>
      <c r="L53" s="21">
        <v>651362</v>
      </c>
      <c r="M53" s="21">
        <v>123759</v>
      </c>
      <c r="N53" s="21">
        <v>775121</v>
      </c>
      <c r="O53">
        <v>0</v>
      </c>
      <c r="P53">
        <v>0</v>
      </c>
      <c r="Q53">
        <v>0</v>
      </c>
      <c r="R53">
        <v>0</v>
      </c>
      <c r="S53">
        <v>0</v>
      </c>
      <c r="T53" t="s">
        <v>77</v>
      </c>
      <c r="U53">
        <v>0</v>
      </c>
      <c r="V53">
        <v>0</v>
      </c>
      <c r="W53">
        <v>0</v>
      </c>
      <c r="X53">
        <v>0</v>
      </c>
      <c r="Y53">
        <v>0</v>
      </c>
      <c r="AC53">
        <v>0</v>
      </c>
      <c r="AE53">
        <v>0</v>
      </c>
      <c r="AF53">
        <v>2</v>
      </c>
      <c r="AG53">
        <v>0</v>
      </c>
      <c r="AH53">
        <v>0</v>
      </c>
      <c r="AI53">
        <v>0</v>
      </c>
      <c r="AM53">
        <v>0</v>
      </c>
      <c r="AR53" t="s">
        <v>872</v>
      </c>
      <c r="AS53" t="s">
        <v>3757</v>
      </c>
      <c r="AT53">
        <v>6</v>
      </c>
    </row>
    <row r="54" spans="1:46">
      <c r="A54">
        <v>53</v>
      </c>
      <c r="B54">
        <v>33</v>
      </c>
      <c r="C54" t="s">
        <v>74</v>
      </c>
      <c r="D54" t="s">
        <v>171</v>
      </c>
      <c r="E54" t="s">
        <v>172</v>
      </c>
      <c r="F54">
        <v>52882</v>
      </c>
      <c r="G54" s="1">
        <v>45450</v>
      </c>
      <c r="H54" s="2">
        <v>45479.754976851851</v>
      </c>
      <c r="I54" s="2"/>
      <c r="K54" s="21">
        <v>0</v>
      </c>
      <c r="L54" s="21">
        <v>419535</v>
      </c>
      <c r="M54" s="21">
        <v>79712</v>
      </c>
      <c r="N54" s="21">
        <v>499247</v>
      </c>
      <c r="O54">
        <v>0</v>
      </c>
      <c r="P54">
        <v>0</v>
      </c>
      <c r="Q54">
        <v>0</v>
      </c>
      <c r="R54">
        <v>0</v>
      </c>
      <c r="S54">
        <v>0</v>
      </c>
      <c r="T54" t="s">
        <v>77</v>
      </c>
      <c r="U54">
        <v>0</v>
      </c>
      <c r="V54">
        <v>0</v>
      </c>
      <c r="W54">
        <v>0</v>
      </c>
      <c r="X54">
        <v>0</v>
      </c>
      <c r="AC54">
        <v>0</v>
      </c>
      <c r="AE54">
        <v>0</v>
      </c>
      <c r="AF54">
        <v>2</v>
      </c>
      <c r="AG54">
        <v>0</v>
      </c>
      <c r="AH54">
        <v>0</v>
      </c>
      <c r="AI54">
        <v>0</v>
      </c>
      <c r="AM54">
        <v>0</v>
      </c>
      <c r="AR54" t="s">
        <v>872</v>
      </c>
      <c r="AS54" t="s">
        <v>1014</v>
      </c>
      <c r="AT54">
        <v>6</v>
      </c>
    </row>
    <row r="55" spans="1:46">
      <c r="A55">
        <v>54</v>
      </c>
      <c r="B55">
        <v>33</v>
      </c>
      <c r="C55" t="s">
        <v>74</v>
      </c>
      <c r="D55" t="s">
        <v>171</v>
      </c>
      <c r="E55" t="s">
        <v>172</v>
      </c>
      <c r="F55">
        <v>52883</v>
      </c>
      <c r="G55" s="1">
        <v>45450</v>
      </c>
      <c r="H55" s="2">
        <v>45479.756099537037</v>
      </c>
      <c r="I55" s="2"/>
      <c r="K55" s="21">
        <v>0</v>
      </c>
      <c r="L55" s="21">
        <v>419535</v>
      </c>
      <c r="M55" s="21">
        <v>79712</v>
      </c>
      <c r="N55" s="21">
        <v>499247</v>
      </c>
      <c r="O55">
        <v>0</v>
      </c>
      <c r="P55">
        <v>0</v>
      </c>
      <c r="Q55">
        <v>0</v>
      </c>
      <c r="R55">
        <v>0</v>
      </c>
      <c r="S55">
        <v>0</v>
      </c>
      <c r="T55" t="s">
        <v>77</v>
      </c>
      <c r="U55">
        <v>0</v>
      </c>
      <c r="V55">
        <v>0</v>
      </c>
      <c r="W55">
        <v>0</v>
      </c>
      <c r="X55">
        <v>0</v>
      </c>
      <c r="AC55">
        <v>0</v>
      </c>
      <c r="AE55">
        <v>0</v>
      </c>
      <c r="AF55">
        <v>2</v>
      </c>
      <c r="AG55">
        <v>0</v>
      </c>
      <c r="AH55">
        <v>0</v>
      </c>
      <c r="AI55">
        <v>0</v>
      </c>
      <c r="AM55">
        <v>0</v>
      </c>
      <c r="AR55" t="s">
        <v>872</v>
      </c>
      <c r="AS55" t="s">
        <v>1014</v>
      </c>
      <c r="AT55">
        <v>6</v>
      </c>
    </row>
    <row r="56" spans="1:46">
      <c r="A56">
        <v>55</v>
      </c>
      <c r="B56">
        <v>33</v>
      </c>
      <c r="C56" t="s">
        <v>74</v>
      </c>
      <c r="D56" t="s">
        <v>232</v>
      </c>
      <c r="E56" t="s">
        <v>233</v>
      </c>
      <c r="F56">
        <v>52884</v>
      </c>
      <c r="G56" s="1">
        <v>45450</v>
      </c>
      <c r="H56" s="2">
        <v>45479.759594907409</v>
      </c>
      <c r="I56" s="2">
        <v>45632.372488425928</v>
      </c>
      <c r="K56" s="21">
        <v>0</v>
      </c>
      <c r="L56" s="21">
        <v>2753201</v>
      </c>
      <c r="M56" s="21">
        <v>523109</v>
      </c>
      <c r="N56" s="21">
        <v>3276310</v>
      </c>
      <c r="O56">
        <v>0</v>
      </c>
      <c r="P56">
        <v>0</v>
      </c>
      <c r="Q56">
        <v>0</v>
      </c>
      <c r="R56">
        <v>0</v>
      </c>
      <c r="S56">
        <v>0</v>
      </c>
      <c r="T56" t="s">
        <v>77</v>
      </c>
      <c r="U56">
        <v>0</v>
      </c>
      <c r="V56">
        <v>0</v>
      </c>
      <c r="W56">
        <v>0</v>
      </c>
      <c r="X56">
        <v>0</v>
      </c>
      <c r="AC56">
        <v>0</v>
      </c>
      <c r="AE56">
        <v>0</v>
      </c>
      <c r="AF56">
        <v>2</v>
      </c>
      <c r="AG56">
        <v>0</v>
      </c>
      <c r="AH56">
        <v>0</v>
      </c>
      <c r="AI56">
        <v>0</v>
      </c>
      <c r="AM56">
        <v>0</v>
      </c>
      <c r="AR56" t="s">
        <v>872</v>
      </c>
      <c r="AS56" t="s">
        <v>3758</v>
      </c>
      <c r="AT56">
        <v>6</v>
      </c>
    </row>
    <row r="57" spans="1:46">
      <c r="A57">
        <v>56</v>
      </c>
      <c r="B57">
        <v>33</v>
      </c>
      <c r="C57" t="s">
        <v>74</v>
      </c>
      <c r="D57" t="s">
        <v>175</v>
      </c>
      <c r="E57" t="s">
        <v>176</v>
      </c>
      <c r="F57">
        <v>52885</v>
      </c>
      <c r="G57" s="1">
        <v>45450</v>
      </c>
      <c r="H57" s="2">
        <v>45479.760775462964</v>
      </c>
      <c r="I57" s="2">
        <v>45602.444895833331</v>
      </c>
      <c r="K57" s="21">
        <v>0</v>
      </c>
      <c r="L57" s="21">
        <v>3044290</v>
      </c>
      <c r="M57" s="21">
        <v>578415</v>
      </c>
      <c r="N57" s="21">
        <v>3622705</v>
      </c>
      <c r="O57">
        <v>0</v>
      </c>
      <c r="P57">
        <v>0</v>
      </c>
      <c r="Q57">
        <v>0</v>
      </c>
      <c r="R57">
        <v>0</v>
      </c>
      <c r="S57">
        <v>0</v>
      </c>
      <c r="T57" t="s">
        <v>77</v>
      </c>
      <c r="U57">
        <v>0</v>
      </c>
      <c r="V57">
        <v>0</v>
      </c>
      <c r="W57">
        <v>0</v>
      </c>
      <c r="X57">
        <v>0</v>
      </c>
      <c r="Y57">
        <v>0</v>
      </c>
      <c r="AC57">
        <v>0</v>
      </c>
      <c r="AE57">
        <v>0</v>
      </c>
      <c r="AF57">
        <v>2</v>
      </c>
      <c r="AG57">
        <v>0</v>
      </c>
      <c r="AH57">
        <v>0</v>
      </c>
      <c r="AI57">
        <v>0</v>
      </c>
      <c r="AM57">
        <v>0</v>
      </c>
      <c r="AR57" t="s">
        <v>872</v>
      </c>
      <c r="AS57" t="s">
        <v>957</v>
      </c>
      <c r="AT57">
        <v>6</v>
      </c>
    </row>
    <row r="58" spans="1:46">
      <c r="A58">
        <v>57</v>
      </c>
      <c r="B58">
        <v>33</v>
      </c>
      <c r="C58" t="s">
        <v>74</v>
      </c>
      <c r="D58" t="s">
        <v>173</v>
      </c>
      <c r="E58" t="s">
        <v>174</v>
      </c>
      <c r="F58">
        <v>52886</v>
      </c>
      <c r="G58" s="1">
        <v>45450</v>
      </c>
      <c r="H58" s="2">
        <v>45479.76153935185</v>
      </c>
      <c r="I58" s="2"/>
      <c r="K58" s="21">
        <v>0</v>
      </c>
      <c r="L58" s="21">
        <v>117821</v>
      </c>
      <c r="M58" s="21">
        <v>22386</v>
      </c>
      <c r="N58" s="21">
        <v>140207</v>
      </c>
      <c r="O58">
        <v>0</v>
      </c>
      <c r="P58">
        <v>0</v>
      </c>
      <c r="Q58">
        <v>0</v>
      </c>
      <c r="R58">
        <v>0</v>
      </c>
      <c r="S58">
        <v>0</v>
      </c>
      <c r="T58" t="s">
        <v>77</v>
      </c>
      <c r="U58">
        <v>0</v>
      </c>
      <c r="V58">
        <v>0</v>
      </c>
      <c r="W58">
        <v>0</v>
      </c>
      <c r="X58">
        <v>0</v>
      </c>
      <c r="Y58">
        <v>0</v>
      </c>
      <c r="AC58">
        <v>0</v>
      </c>
      <c r="AE58">
        <v>0</v>
      </c>
      <c r="AF58">
        <v>2</v>
      </c>
      <c r="AG58">
        <v>0</v>
      </c>
      <c r="AH58">
        <v>0</v>
      </c>
      <c r="AI58">
        <v>0</v>
      </c>
      <c r="AM58">
        <v>0</v>
      </c>
      <c r="AR58" t="s">
        <v>872</v>
      </c>
      <c r="AS58" t="s">
        <v>958</v>
      </c>
      <c r="AT58">
        <v>6</v>
      </c>
    </row>
    <row r="59" spans="1:46">
      <c r="A59">
        <v>58</v>
      </c>
      <c r="B59">
        <v>33</v>
      </c>
      <c r="C59" t="s">
        <v>74</v>
      </c>
      <c r="D59" t="s">
        <v>177</v>
      </c>
      <c r="E59" t="s">
        <v>178</v>
      </c>
      <c r="F59">
        <v>52887</v>
      </c>
      <c r="G59" s="1">
        <v>45450</v>
      </c>
      <c r="H59" s="2">
        <v>45479.762071759258</v>
      </c>
      <c r="I59" s="2"/>
      <c r="K59" s="21">
        <v>0</v>
      </c>
      <c r="L59" s="21">
        <v>125952</v>
      </c>
      <c r="M59" s="21">
        <v>23931</v>
      </c>
      <c r="N59" s="21">
        <v>149883</v>
      </c>
      <c r="O59">
        <v>0</v>
      </c>
      <c r="P59">
        <v>0</v>
      </c>
      <c r="Q59">
        <v>0</v>
      </c>
      <c r="R59">
        <v>0</v>
      </c>
      <c r="S59">
        <v>0</v>
      </c>
      <c r="T59" t="s">
        <v>77</v>
      </c>
      <c r="U59">
        <v>0</v>
      </c>
      <c r="V59">
        <v>0</v>
      </c>
      <c r="W59">
        <v>0</v>
      </c>
      <c r="X59">
        <v>0</v>
      </c>
      <c r="Y59">
        <v>0</v>
      </c>
      <c r="AC59">
        <v>0</v>
      </c>
      <c r="AE59">
        <v>0</v>
      </c>
      <c r="AF59">
        <v>2</v>
      </c>
      <c r="AG59">
        <v>0</v>
      </c>
      <c r="AH59">
        <v>0</v>
      </c>
      <c r="AI59">
        <v>0</v>
      </c>
      <c r="AM59">
        <v>0</v>
      </c>
      <c r="AR59" t="s">
        <v>872</v>
      </c>
      <c r="AS59" t="s">
        <v>956</v>
      </c>
      <c r="AT59">
        <v>6</v>
      </c>
    </row>
    <row r="60" spans="1:46">
      <c r="A60">
        <v>59</v>
      </c>
      <c r="B60">
        <v>33</v>
      </c>
      <c r="C60" t="s">
        <v>74</v>
      </c>
      <c r="D60" t="s">
        <v>418</v>
      </c>
      <c r="E60" t="s">
        <v>419</v>
      </c>
      <c r="F60">
        <v>52888</v>
      </c>
      <c r="G60" s="1">
        <v>45450</v>
      </c>
      <c r="H60" s="2">
        <v>45479.763368055559</v>
      </c>
      <c r="I60" s="2">
        <v>45602.507245370369</v>
      </c>
      <c r="K60" s="21">
        <v>0</v>
      </c>
      <c r="L60" s="21">
        <v>917734</v>
      </c>
      <c r="M60" s="21">
        <v>174369</v>
      </c>
      <c r="N60" s="21">
        <v>1092103</v>
      </c>
      <c r="O60">
        <v>0</v>
      </c>
      <c r="P60">
        <v>0</v>
      </c>
      <c r="Q60">
        <v>0</v>
      </c>
      <c r="R60">
        <v>0</v>
      </c>
      <c r="S60">
        <v>0</v>
      </c>
      <c r="T60" t="s">
        <v>77</v>
      </c>
      <c r="U60">
        <v>0</v>
      </c>
      <c r="V60">
        <v>0</v>
      </c>
      <c r="W60">
        <v>0</v>
      </c>
      <c r="X60">
        <v>0</v>
      </c>
      <c r="AC60">
        <v>0</v>
      </c>
      <c r="AE60">
        <v>0</v>
      </c>
      <c r="AF60">
        <v>2</v>
      </c>
      <c r="AG60">
        <v>0</v>
      </c>
      <c r="AH60">
        <v>0</v>
      </c>
      <c r="AI60">
        <v>0</v>
      </c>
      <c r="AM60">
        <v>0</v>
      </c>
      <c r="AR60" t="s">
        <v>872</v>
      </c>
      <c r="AS60" t="s">
        <v>3759</v>
      </c>
      <c r="AT60">
        <v>6</v>
      </c>
    </row>
    <row r="61" spans="1:46">
      <c r="A61">
        <v>60</v>
      </c>
      <c r="B61">
        <v>33</v>
      </c>
      <c r="C61" t="s">
        <v>74</v>
      </c>
      <c r="D61" t="s">
        <v>133</v>
      </c>
      <c r="E61" t="s">
        <v>134</v>
      </c>
      <c r="F61">
        <v>52889</v>
      </c>
      <c r="G61" s="1">
        <v>45450</v>
      </c>
      <c r="H61" s="2">
        <v>45479.780856481484</v>
      </c>
      <c r="I61" s="2">
        <v>45571.409583333334</v>
      </c>
      <c r="K61" s="21">
        <v>0</v>
      </c>
      <c r="L61" s="21">
        <v>1304460</v>
      </c>
      <c r="M61" s="21">
        <v>247847</v>
      </c>
      <c r="N61" s="21">
        <v>1552307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77</v>
      </c>
      <c r="U61">
        <v>0</v>
      </c>
      <c r="V61">
        <v>0</v>
      </c>
      <c r="W61">
        <v>0</v>
      </c>
      <c r="X61">
        <v>0</v>
      </c>
      <c r="AC61">
        <v>0</v>
      </c>
      <c r="AE61">
        <v>0</v>
      </c>
      <c r="AF61">
        <v>2</v>
      </c>
      <c r="AG61">
        <v>0</v>
      </c>
      <c r="AH61">
        <v>0</v>
      </c>
      <c r="AI61">
        <v>0</v>
      </c>
      <c r="AM61">
        <v>0</v>
      </c>
      <c r="AR61" t="s">
        <v>872</v>
      </c>
      <c r="AS61" t="s">
        <v>979</v>
      </c>
      <c r="AT61">
        <v>6</v>
      </c>
    </row>
    <row r="62" spans="1:46">
      <c r="A62">
        <v>61</v>
      </c>
      <c r="B62">
        <v>33</v>
      </c>
      <c r="C62" t="s">
        <v>74</v>
      </c>
      <c r="D62" t="s">
        <v>133</v>
      </c>
      <c r="E62" t="s">
        <v>134</v>
      </c>
      <c r="F62">
        <v>52890</v>
      </c>
      <c r="G62" s="1">
        <v>45450</v>
      </c>
      <c r="H62" s="2">
        <v>45479.782627314817</v>
      </c>
      <c r="I62" s="2">
        <v>45571.409583333334</v>
      </c>
      <c r="J62" s="2"/>
      <c r="K62" s="21">
        <v>0</v>
      </c>
      <c r="L62" s="21">
        <v>995847</v>
      </c>
      <c r="M62" s="21">
        <v>189211</v>
      </c>
      <c r="N62" s="21">
        <v>1185058</v>
      </c>
      <c r="O62">
        <v>0</v>
      </c>
      <c r="P62">
        <v>0</v>
      </c>
      <c r="Q62">
        <v>0</v>
      </c>
      <c r="R62">
        <v>0</v>
      </c>
      <c r="S62">
        <v>0</v>
      </c>
      <c r="T62" t="s">
        <v>77</v>
      </c>
      <c r="U62">
        <v>0</v>
      </c>
      <c r="V62">
        <v>0</v>
      </c>
      <c r="W62">
        <v>0</v>
      </c>
      <c r="X62">
        <v>0</v>
      </c>
      <c r="AC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M62">
        <v>0</v>
      </c>
      <c r="AR62" t="s">
        <v>872</v>
      </c>
      <c r="AS62" t="s">
        <v>979</v>
      </c>
      <c r="AT62">
        <v>6</v>
      </c>
    </row>
    <row r="63" spans="1:46">
      <c r="A63">
        <v>62</v>
      </c>
      <c r="B63">
        <v>33</v>
      </c>
      <c r="C63" t="s">
        <v>74</v>
      </c>
      <c r="D63" t="s">
        <v>339</v>
      </c>
      <c r="E63" t="s">
        <v>340</v>
      </c>
      <c r="F63">
        <v>52891</v>
      </c>
      <c r="G63" s="1">
        <v>45450</v>
      </c>
      <c r="H63" s="2">
        <v>45479.78398148148</v>
      </c>
      <c r="I63" s="2"/>
      <c r="K63" s="21">
        <v>0</v>
      </c>
      <c r="L63" s="21">
        <v>651045</v>
      </c>
      <c r="M63" s="21">
        <v>123700</v>
      </c>
      <c r="N63" s="21">
        <v>774745</v>
      </c>
      <c r="O63">
        <v>0</v>
      </c>
      <c r="P63">
        <v>0</v>
      </c>
      <c r="Q63">
        <v>0</v>
      </c>
      <c r="R63">
        <v>0</v>
      </c>
      <c r="S63">
        <v>0</v>
      </c>
      <c r="T63" t="s">
        <v>77</v>
      </c>
      <c r="U63">
        <v>0</v>
      </c>
      <c r="V63">
        <v>0</v>
      </c>
      <c r="W63">
        <v>0</v>
      </c>
      <c r="X63">
        <v>0</v>
      </c>
      <c r="AC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M63">
        <v>0</v>
      </c>
      <c r="AR63" t="s">
        <v>872</v>
      </c>
      <c r="AS63" t="s">
        <v>991</v>
      </c>
      <c r="AT63">
        <v>6</v>
      </c>
    </row>
    <row r="64" spans="1:46">
      <c r="A64">
        <v>63</v>
      </c>
      <c r="B64">
        <v>33</v>
      </c>
      <c r="C64" t="s">
        <v>74</v>
      </c>
      <c r="D64" t="s">
        <v>113</v>
      </c>
      <c r="E64" t="s">
        <v>114</v>
      </c>
      <c r="F64">
        <v>52892</v>
      </c>
      <c r="G64" s="1">
        <v>45453</v>
      </c>
      <c r="H64" s="2">
        <v>45571.711597222224</v>
      </c>
      <c r="I64" s="2"/>
      <c r="K64" s="21">
        <v>0</v>
      </c>
      <c r="L64" s="21">
        <v>6728689</v>
      </c>
      <c r="M64" s="21">
        <v>1278451</v>
      </c>
      <c r="N64" s="21">
        <v>8007140</v>
      </c>
      <c r="O64">
        <v>0</v>
      </c>
      <c r="P64">
        <v>0</v>
      </c>
      <c r="Q64">
        <v>0</v>
      </c>
      <c r="R64">
        <v>0</v>
      </c>
      <c r="S64">
        <v>0</v>
      </c>
      <c r="T64" t="s">
        <v>77</v>
      </c>
      <c r="U64">
        <v>0</v>
      </c>
      <c r="V64">
        <v>0</v>
      </c>
      <c r="W64">
        <v>0</v>
      </c>
      <c r="X64">
        <v>0</v>
      </c>
      <c r="AC64">
        <v>0</v>
      </c>
      <c r="AE64">
        <v>0</v>
      </c>
      <c r="AF64">
        <v>2</v>
      </c>
      <c r="AG64">
        <v>0</v>
      </c>
      <c r="AH64">
        <v>0</v>
      </c>
      <c r="AI64">
        <v>0</v>
      </c>
      <c r="AM64">
        <v>0</v>
      </c>
      <c r="AR64" t="s">
        <v>872</v>
      </c>
      <c r="AS64" t="s">
        <v>978</v>
      </c>
      <c r="AT64">
        <v>6</v>
      </c>
    </row>
    <row r="65" spans="1:46">
      <c r="A65">
        <v>64</v>
      </c>
      <c r="B65">
        <v>33</v>
      </c>
      <c r="C65" t="s">
        <v>74</v>
      </c>
      <c r="D65" t="s">
        <v>113</v>
      </c>
      <c r="E65" t="s">
        <v>114</v>
      </c>
      <c r="F65">
        <v>52893</v>
      </c>
      <c r="G65" s="1">
        <v>45453</v>
      </c>
      <c r="H65" s="2">
        <v>45571.720694444448</v>
      </c>
      <c r="I65" s="2"/>
      <c r="K65" s="21">
        <v>0</v>
      </c>
      <c r="L65" s="21">
        <v>12280311</v>
      </c>
      <c r="M65" s="21">
        <v>2333259</v>
      </c>
      <c r="N65" s="21">
        <v>14613570</v>
      </c>
      <c r="O65">
        <v>0</v>
      </c>
      <c r="P65">
        <v>0</v>
      </c>
      <c r="Q65">
        <v>0</v>
      </c>
      <c r="R65">
        <v>0</v>
      </c>
      <c r="S65">
        <v>0</v>
      </c>
      <c r="T65" t="s">
        <v>77</v>
      </c>
      <c r="U65">
        <v>0</v>
      </c>
      <c r="V65">
        <v>0</v>
      </c>
      <c r="W65">
        <v>0</v>
      </c>
      <c r="X65">
        <v>0</v>
      </c>
      <c r="AC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M65">
        <v>0</v>
      </c>
      <c r="AR65" t="s">
        <v>872</v>
      </c>
      <c r="AS65" t="s">
        <v>978</v>
      </c>
      <c r="AT65">
        <v>6</v>
      </c>
    </row>
    <row r="66" spans="1:46">
      <c r="A66">
        <v>65</v>
      </c>
      <c r="B66">
        <v>33</v>
      </c>
      <c r="C66" t="s">
        <v>74</v>
      </c>
      <c r="D66" t="s">
        <v>123</v>
      </c>
      <c r="E66" t="s">
        <v>124</v>
      </c>
      <c r="F66">
        <v>52894</v>
      </c>
      <c r="G66" s="1">
        <v>45454</v>
      </c>
      <c r="H66" s="2">
        <v>45602.39707175926</v>
      </c>
      <c r="I66" s="2">
        <v>45602.726412037038</v>
      </c>
      <c r="K66" s="21">
        <v>0</v>
      </c>
      <c r="L66" s="21">
        <v>369296</v>
      </c>
      <c r="M66" s="21">
        <v>70167</v>
      </c>
      <c r="N66" s="21">
        <v>439463</v>
      </c>
      <c r="O66">
        <v>0</v>
      </c>
      <c r="P66">
        <v>0</v>
      </c>
      <c r="Q66">
        <v>0</v>
      </c>
      <c r="R66">
        <v>0</v>
      </c>
      <c r="S66">
        <v>0</v>
      </c>
      <c r="T66" t="s">
        <v>77</v>
      </c>
      <c r="U66">
        <v>0</v>
      </c>
      <c r="V66">
        <v>0</v>
      </c>
      <c r="W66">
        <v>0</v>
      </c>
      <c r="X66">
        <v>0</v>
      </c>
      <c r="Y66">
        <v>0</v>
      </c>
      <c r="AC66">
        <v>0</v>
      </c>
      <c r="AE66">
        <v>0</v>
      </c>
      <c r="AF66">
        <v>2</v>
      </c>
      <c r="AG66">
        <v>0</v>
      </c>
      <c r="AH66">
        <v>0</v>
      </c>
      <c r="AI66">
        <v>0</v>
      </c>
      <c r="AM66">
        <v>0</v>
      </c>
      <c r="AR66" t="s">
        <v>872</v>
      </c>
      <c r="AS66" t="s">
        <v>947</v>
      </c>
      <c r="AT66">
        <v>6</v>
      </c>
    </row>
    <row r="67" spans="1:46">
      <c r="A67">
        <v>66</v>
      </c>
      <c r="B67">
        <v>33</v>
      </c>
      <c r="C67" t="s">
        <v>74</v>
      </c>
      <c r="D67" t="s">
        <v>420</v>
      </c>
      <c r="E67" t="s">
        <v>421</v>
      </c>
      <c r="F67">
        <v>52895</v>
      </c>
      <c r="G67" s="1">
        <v>45454</v>
      </c>
      <c r="H67" s="2">
        <v>45602.639918981484</v>
      </c>
      <c r="I67" s="2"/>
      <c r="K67" s="21">
        <v>0</v>
      </c>
      <c r="L67" s="21">
        <v>265893</v>
      </c>
      <c r="M67" s="21">
        <v>50520</v>
      </c>
      <c r="N67" s="21">
        <v>316413</v>
      </c>
      <c r="O67">
        <v>0</v>
      </c>
      <c r="P67">
        <v>0</v>
      </c>
      <c r="Q67">
        <v>0</v>
      </c>
      <c r="R67">
        <v>0</v>
      </c>
      <c r="S67">
        <v>0</v>
      </c>
      <c r="T67" t="s">
        <v>77</v>
      </c>
      <c r="U67">
        <v>0</v>
      </c>
      <c r="V67">
        <v>0</v>
      </c>
      <c r="W67">
        <v>0</v>
      </c>
      <c r="X67">
        <v>0</v>
      </c>
      <c r="Y67">
        <v>0</v>
      </c>
      <c r="AC67">
        <v>0</v>
      </c>
      <c r="AE67">
        <v>0</v>
      </c>
      <c r="AF67">
        <v>2</v>
      </c>
      <c r="AG67">
        <v>0</v>
      </c>
      <c r="AH67">
        <v>0</v>
      </c>
      <c r="AI67">
        <v>0</v>
      </c>
      <c r="AM67">
        <v>0</v>
      </c>
      <c r="AR67" t="s">
        <v>872</v>
      </c>
      <c r="AS67" t="s">
        <v>3760</v>
      </c>
      <c r="AT67">
        <v>6</v>
      </c>
    </row>
    <row r="68" spans="1:46">
      <c r="A68">
        <v>67</v>
      </c>
      <c r="B68">
        <v>33</v>
      </c>
      <c r="C68" t="s">
        <v>74</v>
      </c>
      <c r="D68" t="s">
        <v>163</v>
      </c>
      <c r="E68" t="s">
        <v>164</v>
      </c>
      <c r="F68">
        <v>52896</v>
      </c>
      <c r="G68" s="1">
        <v>45454</v>
      </c>
      <c r="H68" s="2">
        <v>45602.643043981479</v>
      </c>
      <c r="I68" s="2">
        <v>45632.47216435185</v>
      </c>
      <c r="K68" s="21">
        <v>0</v>
      </c>
      <c r="L68" s="21">
        <v>3960793</v>
      </c>
      <c r="M68" s="21">
        <v>752551</v>
      </c>
      <c r="N68" s="21">
        <v>4713344</v>
      </c>
      <c r="O68">
        <v>0</v>
      </c>
      <c r="P68">
        <v>0</v>
      </c>
      <c r="Q68">
        <v>0</v>
      </c>
      <c r="R68">
        <v>0</v>
      </c>
      <c r="S68">
        <v>0</v>
      </c>
      <c r="T68" t="s">
        <v>77</v>
      </c>
      <c r="U68">
        <v>0</v>
      </c>
      <c r="V68">
        <v>0</v>
      </c>
      <c r="W68">
        <v>0</v>
      </c>
      <c r="X68">
        <v>0</v>
      </c>
      <c r="Y68">
        <v>0</v>
      </c>
      <c r="AC68">
        <v>0</v>
      </c>
      <c r="AE68">
        <v>0</v>
      </c>
      <c r="AF68">
        <v>2</v>
      </c>
      <c r="AG68">
        <v>0</v>
      </c>
      <c r="AH68">
        <v>0</v>
      </c>
      <c r="AI68">
        <v>0</v>
      </c>
      <c r="AM68">
        <v>0</v>
      </c>
      <c r="AR68" t="s">
        <v>872</v>
      </c>
      <c r="AS68" t="s">
        <v>959</v>
      </c>
      <c r="AT68">
        <v>6</v>
      </c>
    </row>
    <row r="69" spans="1:46">
      <c r="A69">
        <v>68</v>
      </c>
      <c r="B69">
        <v>33</v>
      </c>
      <c r="C69" t="s">
        <v>74</v>
      </c>
      <c r="D69" t="s">
        <v>161</v>
      </c>
      <c r="E69" t="s">
        <v>162</v>
      </c>
      <c r="F69">
        <v>52897</v>
      </c>
      <c r="G69" s="1">
        <v>45454</v>
      </c>
      <c r="H69" s="2">
        <v>45602.643750000003</v>
      </c>
      <c r="I69" s="2" t="s">
        <v>422</v>
      </c>
      <c r="K69" s="21">
        <v>0</v>
      </c>
      <c r="L69" s="21">
        <v>1322181</v>
      </c>
      <c r="M69" s="21">
        <v>251215</v>
      </c>
      <c r="N69" s="21">
        <v>1573396</v>
      </c>
      <c r="O69">
        <v>0</v>
      </c>
      <c r="P69">
        <v>0</v>
      </c>
      <c r="Q69">
        <v>0</v>
      </c>
      <c r="R69">
        <v>0</v>
      </c>
      <c r="S69">
        <v>0</v>
      </c>
      <c r="T69" t="s">
        <v>77</v>
      </c>
      <c r="U69">
        <v>0</v>
      </c>
      <c r="V69">
        <v>0</v>
      </c>
      <c r="W69">
        <v>0</v>
      </c>
      <c r="X69">
        <v>0</v>
      </c>
      <c r="Y69">
        <v>0</v>
      </c>
      <c r="AC69">
        <v>0</v>
      </c>
      <c r="AE69">
        <v>0</v>
      </c>
      <c r="AF69">
        <v>2</v>
      </c>
      <c r="AG69">
        <v>0</v>
      </c>
      <c r="AH69">
        <v>0</v>
      </c>
      <c r="AI69">
        <v>0</v>
      </c>
      <c r="AM69">
        <v>0</v>
      </c>
      <c r="AR69" t="s">
        <v>872</v>
      </c>
      <c r="AS69" t="s">
        <v>960</v>
      </c>
      <c r="AT69">
        <v>6</v>
      </c>
    </row>
    <row r="70" spans="1:46">
      <c r="A70">
        <v>69</v>
      </c>
      <c r="B70">
        <v>33</v>
      </c>
      <c r="C70" t="s">
        <v>74</v>
      </c>
      <c r="D70" t="s">
        <v>159</v>
      </c>
      <c r="E70" t="s">
        <v>160</v>
      </c>
      <c r="F70">
        <v>52898</v>
      </c>
      <c r="G70" s="1">
        <v>45454</v>
      </c>
      <c r="H70" s="2">
        <v>45602.662291666667</v>
      </c>
      <c r="I70" s="2" t="s">
        <v>423</v>
      </c>
      <c r="K70" s="21">
        <v>0</v>
      </c>
      <c r="L70" s="21">
        <v>1659931</v>
      </c>
      <c r="M70" s="21">
        <v>315387</v>
      </c>
      <c r="N70" s="21">
        <v>1975318</v>
      </c>
      <c r="O70">
        <v>0</v>
      </c>
      <c r="P70">
        <v>0</v>
      </c>
      <c r="Q70">
        <v>0</v>
      </c>
      <c r="R70">
        <v>0</v>
      </c>
      <c r="S70">
        <v>0</v>
      </c>
      <c r="T70" t="s">
        <v>77</v>
      </c>
      <c r="U70">
        <v>0</v>
      </c>
      <c r="V70">
        <v>0</v>
      </c>
      <c r="W70">
        <v>0</v>
      </c>
      <c r="X70">
        <v>0</v>
      </c>
      <c r="Y70">
        <v>0</v>
      </c>
      <c r="AC70">
        <v>0</v>
      </c>
      <c r="AE70">
        <v>0</v>
      </c>
      <c r="AF70">
        <v>2</v>
      </c>
      <c r="AG70">
        <v>0</v>
      </c>
      <c r="AH70">
        <v>0</v>
      </c>
      <c r="AI70">
        <v>0</v>
      </c>
      <c r="AM70">
        <v>0</v>
      </c>
      <c r="AR70" t="s">
        <v>872</v>
      </c>
      <c r="AS70" t="s">
        <v>961</v>
      </c>
      <c r="AT70">
        <v>6</v>
      </c>
    </row>
    <row r="71" spans="1:46">
      <c r="A71">
        <v>70</v>
      </c>
      <c r="B71">
        <v>33</v>
      </c>
      <c r="C71" t="s">
        <v>74</v>
      </c>
      <c r="D71" t="s">
        <v>81</v>
      </c>
      <c r="E71" t="s">
        <v>82</v>
      </c>
      <c r="F71">
        <v>52899</v>
      </c>
      <c r="G71" s="1">
        <v>45454</v>
      </c>
      <c r="H71" s="2">
        <v>45602.664305555554</v>
      </c>
      <c r="I71" s="2">
        <v>45602.938078703701</v>
      </c>
      <c r="K71" s="21">
        <v>0</v>
      </c>
      <c r="L71" s="21">
        <v>6685532</v>
      </c>
      <c r="M71" s="21">
        <v>1270251</v>
      </c>
      <c r="N71" s="21">
        <v>7955783</v>
      </c>
      <c r="O71">
        <v>0</v>
      </c>
      <c r="P71">
        <v>0</v>
      </c>
      <c r="Q71">
        <v>0</v>
      </c>
      <c r="R71">
        <v>0</v>
      </c>
      <c r="S71">
        <v>0</v>
      </c>
      <c r="T71" t="s">
        <v>77</v>
      </c>
      <c r="U71">
        <v>0</v>
      </c>
      <c r="V71">
        <v>0</v>
      </c>
      <c r="W71">
        <v>0</v>
      </c>
      <c r="X71">
        <v>0</v>
      </c>
      <c r="AC71">
        <v>0</v>
      </c>
      <c r="AE71">
        <v>0</v>
      </c>
      <c r="AF71">
        <v>2</v>
      </c>
      <c r="AG71">
        <v>0</v>
      </c>
      <c r="AH71">
        <v>0</v>
      </c>
      <c r="AI71">
        <v>0</v>
      </c>
      <c r="AM71">
        <v>0</v>
      </c>
      <c r="AR71" t="s">
        <v>872</v>
      </c>
      <c r="AS71" t="s">
        <v>1036</v>
      </c>
      <c r="AT71">
        <v>6</v>
      </c>
    </row>
    <row r="72" spans="1:46">
      <c r="A72">
        <v>71</v>
      </c>
      <c r="B72">
        <v>33</v>
      </c>
      <c r="C72" t="s">
        <v>74</v>
      </c>
      <c r="D72" t="s">
        <v>157</v>
      </c>
      <c r="E72" t="s">
        <v>158</v>
      </c>
      <c r="F72">
        <v>52900</v>
      </c>
      <c r="G72" s="1">
        <v>45454</v>
      </c>
      <c r="H72" s="2">
        <v>45602.673784722225</v>
      </c>
      <c r="I72" s="2"/>
      <c r="J72" s="2"/>
      <c r="K72" s="21">
        <v>0</v>
      </c>
      <c r="L72" s="21">
        <v>3923</v>
      </c>
      <c r="M72" s="21">
        <v>746</v>
      </c>
      <c r="N72" s="21">
        <v>4669</v>
      </c>
      <c r="O72">
        <v>0</v>
      </c>
      <c r="P72">
        <v>0</v>
      </c>
      <c r="Q72">
        <v>0</v>
      </c>
      <c r="R72">
        <v>0</v>
      </c>
      <c r="S72">
        <v>0</v>
      </c>
      <c r="T72" t="s">
        <v>77</v>
      </c>
      <c r="U72">
        <v>0</v>
      </c>
      <c r="V72">
        <v>0</v>
      </c>
      <c r="W72">
        <v>0</v>
      </c>
      <c r="X72">
        <v>0</v>
      </c>
      <c r="Y72">
        <v>0</v>
      </c>
      <c r="AC72">
        <v>0</v>
      </c>
      <c r="AE72">
        <v>0</v>
      </c>
      <c r="AF72">
        <v>2</v>
      </c>
      <c r="AG72">
        <v>0</v>
      </c>
      <c r="AH72">
        <v>0</v>
      </c>
      <c r="AI72">
        <v>0</v>
      </c>
      <c r="AM72">
        <v>0</v>
      </c>
      <c r="AR72" t="s">
        <v>872</v>
      </c>
      <c r="AS72" t="s">
        <v>962</v>
      </c>
      <c r="AT72">
        <v>6</v>
      </c>
    </row>
    <row r="73" spans="1:46">
      <c r="A73">
        <v>72</v>
      </c>
      <c r="B73">
        <v>33</v>
      </c>
      <c r="C73" t="s">
        <v>74</v>
      </c>
      <c r="D73" t="s">
        <v>156</v>
      </c>
      <c r="E73" t="s">
        <v>349</v>
      </c>
      <c r="F73">
        <v>52901</v>
      </c>
      <c r="G73" s="1">
        <v>45454</v>
      </c>
      <c r="H73" s="2">
        <v>45602.675092592595</v>
      </c>
      <c r="I73" s="2" t="s">
        <v>424</v>
      </c>
      <c r="K73" s="21">
        <v>0</v>
      </c>
      <c r="L73" s="21">
        <v>16139418</v>
      </c>
      <c r="M73" s="21">
        <v>3066488</v>
      </c>
      <c r="N73" s="21">
        <v>19205906</v>
      </c>
      <c r="O73">
        <v>0</v>
      </c>
      <c r="P73">
        <v>0</v>
      </c>
      <c r="Q73">
        <v>0</v>
      </c>
      <c r="R73">
        <v>0</v>
      </c>
      <c r="S73">
        <v>0</v>
      </c>
      <c r="T73" t="s">
        <v>77</v>
      </c>
      <c r="U73">
        <v>0</v>
      </c>
      <c r="V73">
        <v>0</v>
      </c>
      <c r="W73">
        <v>0</v>
      </c>
      <c r="X73">
        <v>0</v>
      </c>
      <c r="Y73">
        <v>0</v>
      </c>
      <c r="AC73">
        <v>0</v>
      </c>
      <c r="AE73">
        <v>0</v>
      </c>
      <c r="AF73">
        <v>2</v>
      </c>
      <c r="AG73">
        <v>0</v>
      </c>
      <c r="AH73">
        <v>0</v>
      </c>
      <c r="AI73">
        <v>0</v>
      </c>
      <c r="AM73">
        <v>0</v>
      </c>
      <c r="AR73" t="s">
        <v>872</v>
      </c>
      <c r="AS73" t="s">
        <v>963</v>
      </c>
      <c r="AT73">
        <v>6</v>
      </c>
    </row>
    <row r="74" spans="1:46">
      <c r="A74">
        <v>73</v>
      </c>
      <c r="B74">
        <v>33</v>
      </c>
      <c r="C74" t="s">
        <v>74</v>
      </c>
      <c r="D74" t="s">
        <v>154</v>
      </c>
      <c r="E74" t="s">
        <v>155</v>
      </c>
      <c r="F74">
        <v>52902</v>
      </c>
      <c r="G74" s="1">
        <v>45454</v>
      </c>
      <c r="H74" s="2">
        <v>45602.675729166665</v>
      </c>
      <c r="I74" s="2"/>
      <c r="J74" s="2"/>
      <c r="K74" s="21">
        <v>0</v>
      </c>
      <c r="L74" s="21">
        <v>614037</v>
      </c>
      <c r="M74" s="21">
        <v>116667</v>
      </c>
      <c r="N74" s="21">
        <v>730704</v>
      </c>
      <c r="O74">
        <v>0</v>
      </c>
      <c r="P74">
        <v>0</v>
      </c>
      <c r="Q74">
        <v>0</v>
      </c>
      <c r="R74">
        <v>0</v>
      </c>
      <c r="S74">
        <v>0</v>
      </c>
      <c r="T74" t="s">
        <v>77</v>
      </c>
      <c r="U74">
        <v>0</v>
      </c>
      <c r="V74">
        <v>0</v>
      </c>
      <c r="W74">
        <v>0</v>
      </c>
      <c r="X74">
        <v>0</v>
      </c>
      <c r="Y74">
        <v>0</v>
      </c>
      <c r="AC74">
        <v>0</v>
      </c>
      <c r="AE74">
        <v>0</v>
      </c>
      <c r="AF74">
        <v>2</v>
      </c>
      <c r="AG74">
        <v>0</v>
      </c>
      <c r="AH74">
        <v>0</v>
      </c>
      <c r="AI74">
        <v>0</v>
      </c>
      <c r="AM74">
        <v>0</v>
      </c>
      <c r="AR74" t="s">
        <v>872</v>
      </c>
      <c r="AS74" t="s">
        <v>964</v>
      </c>
      <c r="AT74">
        <v>6</v>
      </c>
    </row>
    <row r="75" spans="1:46">
      <c r="A75">
        <v>74</v>
      </c>
      <c r="B75">
        <v>33</v>
      </c>
      <c r="C75" t="s">
        <v>74</v>
      </c>
      <c r="D75" t="s">
        <v>152</v>
      </c>
      <c r="E75" t="s">
        <v>153</v>
      </c>
      <c r="F75">
        <v>52903</v>
      </c>
      <c r="G75" s="1">
        <v>45454</v>
      </c>
      <c r="H75" s="2">
        <v>45602.676504629628</v>
      </c>
      <c r="I75" s="2"/>
      <c r="K75" s="21">
        <v>0</v>
      </c>
      <c r="L75" s="21">
        <v>10444448</v>
      </c>
      <c r="M75" s="21">
        <v>1984446</v>
      </c>
      <c r="N75" s="21">
        <v>12428894</v>
      </c>
      <c r="O75">
        <v>0</v>
      </c>
      <c r="P75">
        <v>0</v>
      </c>
      <c r="Q75">
        <v>0</v>
      </c>
      <c r="R75">
        <v>0</v>
      </c>
      <c r="S75">
        <v>0</v>
      </c>
      <c r="T75" t="s">
        <v>77</v>
      </c>
      <c r="U75">
        <v>0</v>
      </c>
      <c r="V75">
        <v>0</v>
      </c>
      <c r="W75">
        <v>0</v>
      </c>
      <c r="X75">
        <v>0</v>
      </c>
      <c r="Y75">
        <v>0</v>
      </c>
      <c r="AC75">
        <v>0</v>
      </c>
      <c r="AE75">
        <v>0</v>
      </c>
      <c r="AF75">
        <v>2</v>
      </c>
      <c r="AG75">
        <v>0</v>
      </c>
      <c r="AH75">
        <v>0</v>
      </c>
      <c r="AI75">
        <v>0</v>
      </c>
      <c r="AM75">
        <v>0</v>
      </c>
      <c r="AR75" t="s">
        <v>872</v>
      </c>
      <c r="AS75" t="s">
        <v>973</v>
      </c>
      <c r="AT75">
        <v>6</v>
      </c>
    </row>
    <row r="76" spans="1:46">
      <c r="A76">
        <v>75</v>
      </c>
      <c r="B76">
        <v>33</v>
      </c>
      <c r="C76" t="s">
        <v>74</v>
      </c>
      <c r="D76" t="s">
        <v>149</v>
      </c>
      <c r="E76" t="s">
        <v>150</v>
      </c>
      <c r="G76" s="1"/>
      <c r="H76" s="2"/>
      <c r="I76" s="2"/>
      <c r="AR76" t="s">
        <v>872</v>
      </c>
      <c r="AS76" t="s">
        <v>151</v>
      </c>
      <c r="AT76">
        <v>6</v>
      </c>
    </row>
    <row r="77" spans="1:46">
      <c r="A77">
        <v>76</v>
      </c>
      <c r="B77">
        <v>33</v>
      </c>
      <c r="C77" t="s">
        <v>74</v>
      </c>
      <c r="D77" t="s">
        <v>147</v>
      </c>
      <c r="E77" t="s">
        <v>148</v>
      </c>
      <c r="F77">
        <v>52905</v>
      </c>
      <c r="G77" s="1">
        <v>45454</v>
      </c>
      <c r="H77" s="2">
        <v>45602.678807870368</v>
      </c>
      <c r="I77" s="2" t="s">
        <v>425</v>
      </c>
      <c r="J77" s="2"/>
      <c r="K77" s="21">
        <v>0</v>
      </c>
      <c r="L77" s="21">
        <v>4101752</v>
      </c>
      <c r="M77" s="21">
        <v>779333</v>
      </c>
      <c r="N77" s="21">
        <v>4881085</v>
      </c>
      <c r="O77">
        <v>0</v>
      </c>
      <c r="P77">
        <v>0</v>
      </c>
      <c r="Q77">
        <v>0</v>
      </c>
      <c r="R77">
        <v>0</v>
      </c>
      <c r="S77">
        <v>0</v>
      </c>
      <c r="T77" t="s">
        <v>77</v>
      </c>
      <c r="U77">
        <v>0</v>
      </c>
      <c r="V77">
        <v>0</v>
      </c>
      <c r="W77">
        <v>0</v>
      </c>
      <c r="X77">
        <v>0</v>
      </c>
      <c r="Y77">
        <v>0</v>
      </c>
      <c r="AC77">
        <v>0</v>
      </c>
      <c r="AE77">
        <v>0</v>
      </c>
      <c r="AF77">
        <v>2</v>
      </c>
      <c r="AG77">
        <v>0</v>
      </c>
      <c r="AH77">
        <v>0</v>
      </c>
      <c r="AI77">
        <v>0</v>
      </c>
      <c r="AM77">
        <v>0</v>
      </c>
      <c r="AR77" t="s">
        <v>872</v>
      </c>
      <c r="AS77" t="s">
        <v>972</v>
      </c>
      <c r="AT77">
        <v>6</v>
      </c>
    </row>
    <row r="78" spans="1:46">
      <c r="A78">
        <v>77</v>
      </c>
      <c r="B78">
        <v>33</v>
      </c>
      <c r="C78" t="s">
        <v>74</v>
      </c>
      <c r="D78" t="s">
        <v>147</v>
      </c>
      <c r="E78" t="s">
        <v>148</v>
      </c>
      <c r="F78">
        <v>52906</v>
      </c>
      <c r="G78" s="1">
        <v>45454</v>
      </c>
      <c r="H78" s="2">
        <v>45602.679513888892</v>
      </c>
      <c r="I78" s="2" t="s">
        <v>425</v>
      </c>
      <c r="K78" s="21">
        <v>0</v>
      </c>
      <c r="L78" s="21">
        <v>461620</v>
      </c>
      <c r="M78" s="21">
        <v>87708</v>
      </c>
      <c r="N78" s="21">
        <v>549328</v>
      </c>
      <c r="O78">
        <v>0</v>
      </c>
      <c r="P78">
        <v>0</v>
      </c>
      <c r="Q78">
        <v>0</v>
      </c>
      <c r="R78">
        <v>0</v>
      </c>
      <c r="S78">
        <v>0</v>
      </c>
      <c r="T78" t="s">
        <v>77</v>
      </c>
      <c r="U78">
        <v>0</v>
      </c>
      <c r="V78">
        <v>0</v>
      </c>
      <c r="W78">
        <v>0</v>
      </c>
      <c r="X78">
        <v>0</v>
      </c>
      <c r="Y78">
        <v>0</v>
      </c>
      <c r="AC78">
        <v>0</v>
      </c>
      <c r="AE78">
        <v>0</v>
      </c>
      <c r="AF78">
        <v>2</v>
      </c>
      <c r="AG78">
        <v>0</v>
      </c>
      <c r="AH78">
        <v>0</v>
      </c>
      <c r="AI78">
        <v>0</v>
      </c>
      <c r="AM78">
        <v>0</v>
      </c>
      <c r="AR78" t="s">
        <v>872</v>
      </c>
      <c r="AS78" t="s">
        <v>972</v>
      </c>
      <c r="AT78">
        <v>6</v>
      </c>
    </row>
    <row r="79" spans="1:46">
      <c r="A79">
        <v>78</v>
      </c>
      <c r="B79">
        <v>33</v>
      </c>
      <c r="C79" t="s">
        <v>74</v>
      </c>
      <c r="D79" t="s">
        <v>143</v>
      </c>
      <c r="E79" t="s">
        <v>144</v>
      </c>
      <c r="F79">
        <v>52907</v>
      </c>
      <c r="G79" s="1">
        <v>45454</v>
      </c>
      <c r="H79" s="2">
        <v>45602.691331018519</v>
      </c>
      <c r="I79" s="2"/>
      <c r="K79" s="21">
        <v>0</v>
      </c>
      <c r="L79" s="21">
        <v>2171877</v>
      </c>
      <c r="M79" s="21">
        <v>412657</v>
      </c>
      <c r="N79" s="21">
        <v>2584534</v>
      </c>
      <c r="O79">
        <v>0</v>
      </c>
      <c r="P79">
        <v>0</v>
      </c>
      <c r="Q79">
        <v>0</v>
      </c>
      <c r="R79">
        <v>0</v>
      </c>
      <c r="S79">
        <v>0</v>
      </c>
      <c r="T79" t="s">
        <v>77</v>
      </c>
      <c r="U79">
        <v>0</v>
      </c>
      <c r="V79">
        <v>0</v>
      </c>
      <c r="W79">
        <v>0</v>
      </c>
      <c r="X79">
        <v>0</v>
      </c>
      <c r="Y79">
        <v>0</v>
      </c>
      <c r="AC79">
        <v>0</v>
      </c>
      <c r="AE79">
        <v>0</v>
      </c>
      <c r="AF79">
        <v>2</v>
      </c>
      <c r="AG79">
        <v>0</v>
      </c>
      <c r="AH79">
        <v>0</v>
      </c>
      <c r="AI79">
        <v>0</v>
      </c>
      <c r="AM79">
        <v>0</v>
      </c>
      <c r="AR79" t="s">
        <v>872</v>
      </c>
      <c r="AS79" t="s">
        <v>970</v>
      </c>
      <c r="AT79">
        <v>6</v>
      </c>
    </row>
    <row r="80" spans="1:46">
      <c r="A80">
        <v>79</v>
      </c>
      <c r="B80">
        <v>33</v>
      </c>
      <c r="C80" t="s">
        <v>74</v>
      </c>
      <c r="D80" t="s">
        <v>141</v>
      </c>
      <c r="E80" t="s">
        <v>142</v>
      </c>
      <c r="F80">
        <v>52908</v>
      </c>
      <c r="G80" s="1">
        <v>45454</v>
      </c>
      <c r="H80" s="2">
        <v>45602.699479166666</v>
      </c>
      <c r="I80" s="2" t="s">
        <v>426</v>
      </c>
      <c r="K80" s="21">
        <v>0</v>
      </c>
      <c r="L80" s="21">
        <v>1861991</v>
      </c>
      <c r="M80" s="21">
        <v>353779</v>
      </c>
      <c r="N80" s="21">
        <v>2215770</v>
      </c>
      <c r="O80">
        <v>0</v>
      </c>
      <c r="P80">
        <v>0</v>
      </c>
      <c r="Q80">
        <v>0</v>
      </c>
      <c r="R80">
        <v>0</v>
      </c>
      <c r="S80">
        <v>0</v>
      </c>
      <c r="T80" t="s">
        <v>77</v>
      </c>
      <c r="U80">
        <v>0</v>
      </c>
      <c r="V80">
        <v>0</v>
      </c>
      <c r="W80">
        <v>0</v>
      </c>
      <c r="X80">
        <v>0</v>
      </c>
      <c r="Y80">
        <v>0</v>
      </c>
      <c r="AC80">
        <v>0</v>
      </c>
      <c r="AE80">
        <v>0</v>
      </c>
      <c r="AF80">
        <v>2</v>
      </c>
      <c r="AG80">
        <v>0</v>
      </c>
      <c r="AH80">
        <v>0</v>
      </c>
      <c r="AI80">
        <v>0</v>
      </c>
      <c r="AM80">
        <v>0</v>
      </c>
      <c r="AR80" t="s">
        <v>872</v>
      </c>
      <c r="AS80" t="s">
        <v>969</v>
      </c>
      <c r="AT80">
        <v>6</v>
      </c>
    </row>
    <row r="81" spans="1:46">
      <c r="A81">
        <v>80</v>
      </c>
      <c r="B81">
        <v>33</v>
      </c>
      <c r="C81" t="s">
        <v>74</v>
      </c>
      <c r="D81" t="s">
        <v>115</v>
      </c>
      <c r="E81" t="s">
        <v>116</v>
      </c>
      <c r="F81">
        <v>52909</v>
      </c>
      <c r="G81" s="1">
        <v>45454</v>
      </c>
      <c r="H81" s="2">
        <v>45602.711331018516</v>
      </c>
      <c r="I81" s="2"/>
      <c r="K81" s="21">
        <v>0</v>
      </c>
      <c r="L81" s="21">
        <v>925372</v>
      </c>
      <c r="M81" s="21">
        <v>175820</v>
      </c>
      <c r="N81" s="21">
        <v>1101192</v>
      </c>
      <c r="O81">
        <v>0</v>
      </c>
      <c r="P81">
        <v>0</v>
      </c>
      <c r="Q81">
        <v>0</v>
      </c>
      <c r="R81">
        <v>0</v>
      </c>
      <c r="S81">
        <v>0</v>
      </c>
      <c r="T81" t="s">
        <v>77</v>
      </c>
      <c r="U81">
        <v>0</v>
      </c>
      <c r="V81">
        <v>0</v>
      </c>
      <c r="W81">
        <v>0</v>
      </c>
      <c r="X81">
        <v>0</v>
      </c>
      <c r="Y81">
        <v>0</v>
      </c>
      <c r="AC81">
        <v>0</v>
      </c>
      <c r="AE81">
        <v>0</v>
      </c>
      <c r="AF81">
        <v>2</v>
      </c>
      <c r="AG81">
        <v>0</v>
      </c>
      <c r="AH81">
        <v>0</v>
      </c>
      <c r="AI81">
        <v>0</v>
      </c>
      <c r="AM81">
        <v>0</v>
      </c>
      <c r="AR81" t="s">
        <v>872</v>
      </c>
      <c r="AS81" t="s">
        <v>955</v>
      </c>
      <c r="AT81">
        <v>6</v>
      </c>
    </row>
    <row r="82" spans="1:46">
      <c r="A82">
        <v>81</v>
      </c>
      <c r="B82">
        <v>33</v>
      </c>
      <c r="C82" t="s">
        <v>74</v>
      </c>
      <c r="D82" t="s">
        <v>135</v>
      </c>
      <c r="E82" t="s">
        <v>136</v>
      </c>
      <c r="F82">
        <v>52910</v>
      </c>
      <c r="G82" s="1">
        <v>45454</v>
      </c>
      <c r="H82" s="2">
        <v>45602.712164351855</v>
      </c>
      <c r="I82" s="2"/>
      <c r="K82" s="21">
        <v>0</v>
      </c>
      <c r="L82" s="21">
        <v>7037415</v>
      </c>
      <c r="M82" s="21">
        <v>1337109</v>
      </c>
      <c r="N82" s="21">
        <v>8374524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77</v>
      </c>
      <c r="U82">
        <v>0</v>
      </c>
      <c r="V82">
        <v>0</v>
      </c>
      <c r="W82">
        <v>0</v>
      </c>
      <c r="X82">
        <v>0</v>
      </c>
      <c r="Y82">
        <v>0</v>
      </c>
      <c r="AC82">
        <v>0</v>
      </c>
      <c r="AE82">
        <v>0</v>
      </c>
      <c r="AF82">
        <v>2</v>
      </c>
      <c r="AG82">
        <v>0</v>
      </c>
      <c r="AH82">
        <v>0</v>
      </c>
      <c r="AI82">
        <v>0</v>
      </c>
      <c r="AM82">
        <v>0</v>
      </c>
      <c r="AR82" t="s">
        <v>872</v>
      </c>
      <c r="AS82" t="s">
        <v>966</v>
      </c>
      <c r="AT82">
        <v>6</v>
      </c>
    </row>
    <row r="83" spans="1:46">
      <c r="A83">
        <v>82</v>
      </c>
      <c r="B83">
        <v>33</v>
      </c>
      <c r="C83" t="s">
        <v>74</v>
      </c>
      <c r="D83" t="s">
        <v>133</v>
      </c>
      <c r="E83" t="s">
        <v>134</v>
      </c>
      <c r="F83">
        <v>52911</v>
      </c>
      <c r="G83" s="1">
        <v>45454</v>
      </c>
      <c r="H83" s="2">
        <v>45602.725219907406</v>
      </c>
      <c r="I83" s="2" t="s">
        <v>427</v>
      </c>
      <c r="J83" s="2"/>
      <c r="K83" s="21">
        <v>0</v>
      </c>
      <c r="L83" s="21">
        <v>19472452</v>
      </c>
      <c r="M83" s="21">
        <v>3699766</v>
      </c>
      <c r="N83" s="21">
        <v>23172218</v>
      </c>
      <c r="O83">
        <v>0</v>
      </c>
      <c r="P83">
        <v>0</v>
      </c>
      <c r="Q83">
        <v>0</v>
      </c>
      <c r="R83">
        <v>0</v>
      </c>
      <c r="S83">
        <v>0</v>
      </c>
      <c r="T83" t="s">
        <v>77</v>
      </c>
      <c r="U83">
        <v>0</v>
      </c>
      <c r="V83">
        <v>0</v>
      </c>
      <c r="W83">
        <v>0</v>
      </c>
      <c r="X83">
        <v>0</v>
      </c>
      <c r="Y83">
        <v>0</v>
      </c>
      <c r="AC83">
        <v>0</v>
      </c>
      <c r="AE83">
        <v>0</v>
      </c>
      <c r="AF83">
        <v>2</v>
      </c>
      <c r="AG83">
        <v>0</v>
      </c>
      <c r="AH83">
        <v>0</v>
      </c>
      <c r="AI83">
        <v>0</v>
      </c>
      <c r="AM83">
        <v>0</v>
      </c>
      <c r="AR83" t="s">
        <v>872</v>
      </c>
      <c r="AS83" t="s">
        <v>979</v>
      </c>
      <c r="AT83">
        <v>6</v>
      </c>
    </row>
    <row r="84" spans="1:46">
      <c r="A84">
        <v>83</v>
      </c>
      <c r="B84">
        <v>33</v>
      </c>
      <c r="C84" t="s">
        <v>74</v>
      </c>
      <c r="D84" t="s">
        <v>325</v>
      </c>
      <c r="E84" t="s">
        <v>326</v>
      </c>
      <c r="F84">
        <v>52912</v>
      </c>
      <c r="G84" s="1">
        <v>45454</v>
      </c>
      <c r="H84" s="2">
        <v>45602.880567129629</v>
      </c>
      <c r="I84" s="2" t="s">
        <v>428</v>
      </c>
      <c r="K84" s="21">
        <v>0</v>
      </c>
      <c r="L84" s="21">
        <v>11617184</v>
      </c>
      <c r="M84" s="21">
        <v>2207265</v>
      </c>
      <c r="N84" s="21">
        <v>13824449</v>
      </c>
      <c r="O84">
        <v>0</v>
      </c>
      <c r="P84">
        <v>0</v>
      </c>
      <c r="Q84">
        <v>0</v>
      </c>
      <c r="R84">
        <v>0</v>
      </c>
      <c r="S84">
        <v>0</v>
      </c>
      <c r="T84" t="s">
        <v>77</v>
      </c>
      <c r="U84">
        <v>0</v>
      </c>
      <c r="V84">
        <v>0</v>
      </c>
      <c r="W84">
        <v>0</v>
      </c>
      <c r="X84">
        <v>0</v>
      </c>
      <c r="AC84">
        <v>0</v>
      </c>
      <c r="AE84">
        <v>0</v>
      </c>
      <c r="AF84">
        <v>2</v>
      </c>
      <c r="AG84">
        <v>0</v>
      </c>
      <c r="AH84">
        <v>0</v>
      </c>
      <c r="AI84">
        <v>0</v>
      </c>
      <c r="AM84">
        <v>0</v>
      </c>
      <c r="AR84" t="s">
        <v>872</v>
      </c>
      <c r="AS84" t="s">
        <v>948</v>
      </c>
      <c r="AT84">
        <v>6</v>
      </c>
    </row>
    <row r="85" spans="1:46">
      <c r="A85">
        <v>84</v>
      </c>
      <c r="B85">
        <v>33</v>
      </c>
      <c r="C85" t="s">
        <v>74</v>
      </c>
      <c r="D85" t="s">
        <v>358</v>
      </c>
      <c r="E85" t="s">
        <v>359</v>
      </c>
      <c r="F85">
        <v>52913</v>
      </c>
      <c r="G85" s="1">
        <v>45454</v>
      </c>
      <c r="H85" s="2">
        <v>45602.882164351853</v>
      </c>
      <c r="I85" s="2"/>
      <c r="K85" s="21">
        <v>0</v>
      </c>
      <c r="L85" s="21">
        <v>379008</v>
      </c>
      <c r="M85" s="21">
        <v>72012</v>
      </c>
      <c r="N85" s="21">
        <v>451020</v>
      </c>
      <c r="O85">
        <v>0</v>
      </c>
      <c r="P85">
        <v>0</v>
      </c>
      <c r="Q85">
        <v>0</v>
      </c>
      <c r="R85">
        <v>0</v>
      </c>
      <c r="S85">
        <v>0</v>
      </c>
      <c r="T85" t="s">
        <v>77</v>
      </c>
      <c r="U85">
        <v>0</v>
      </c>
      <c r="V85">
        <v>0</v>
      </c>
      <c r="W85">
        <v>0</v>
      </c>
      <c r="X85">
        <v>0</v>
      </c>
      <c r="Y85">
        <v>0</v>
      </c>
      <c r="AC85">
        <v>0</v>
      </c>
      <c r="AE85">
        <v>0</v>
      </c>
      <c r="AF85">
        <v>2</v>
      </c>
      <c r="AG85">
        <v>0</v>
      </c>
      <c r="AH85">
        <v>0</v>
      </c>
      <c r="AI85">
        <v>0</v>
      </c>
      <c r="AM85">
        <v>0</v>
      </c>
      <c r="AR85" t="s">
        <v>872</v>
      </c>
      <c r="AS85" t="s">
        <v>1037</v>
      </c>
      <c r="AT85">
        <v>6</v>
      </c>
    </row>
    <row r="86" spans="1:46">
      <c r="A86">
        <v>85</v>
      </c>
      <c r="B86">
        <v>33</v>
      </c>
      <c r="C86" t="s">
        <v>74</v>
      </c>
      <c r="D86" t="s">
        <v>179</v>
      </c>
      <c r="E86" t="s">
        <v>180</v>
      </c>
      <c r="F86">
        <v>52914</v>
      </c>
      <c r="G86" s="1">
        <v>45454</v>
      </c>
      <c r="H86" s="2">
        <v>45602.882986111108</v>
      </c>
      <c r="I86" s="2" t="s">
        <v>429</v>
      </c>
      <c r="K86" s="21">
        <v>0</v>
      </c>
      <c r="L86" s="21">
        <v>1574844</v>
      </c>
      <c r="M86" s="21">
        <v>299221</v>
      </c>
      <c r="N86" s="21">
        <v>1874065</v>
      </c>
      <c r="O86">
        <v>0</v>
      </c>
      <c r="P86">
        <v>0</v>
      </c>
      <c r="Q86">
        <v>0</v>
      </c>
      <c r="R86">
        <v>0</v>
      </c>
      <c r="S86">
        <v>0</v>
      </c>
      <c r="T86" t="s">
        <v>77</v>
      </c>
      <c r="U86">
        <v>0</v>
      </c>
      <c r="V86">
        <v>0</v>
      </c>
      <c r="W86">
        <v>0</v>
      </c>
      <c r="X86">
        <v>0</v>
      </c>
      <c r="Y86">
        <v>0</v>
      </c>
      <c r="AC86">
        <v>0</v>
      </c>
      <c r="AE86">
        <v>0</v>
      </c>
      <c r="AF86">
        <v>2</v>
      </c>
      <c r="AG86">
        <v>0</v>
      </c>
      <c r="AH86">
        <v>0</v>
      </c>
      <c r="AI86">
        <v>0</v>
      </c>
      <c r="AM86">
        <v>0</v>
      </c>
      <c r="AR86" t="s">
        <v>872</v>
      </c>
      <c r="AS86" t="s">
        <v>983</v>
      </c>
      <c r="AT86">
        <v>6</v>
      </c>
    </row>
    <row r="87" spans="1:46">
      <c r="A87">
        <v>86</v>
      </c>
      <c r="B87">
        <v>33</v>
      </c>
      <c r="C87" t="s">
        <v>74</v>
      </c>
      <c r="D87" t="s">
        <v>181</v>
      </c>
      <c r="E87" t="s">
        <v>182</v>
      </c>
      <c r="F87">
        <v>52915</v>
      </c>
      <c r="G87" s="1">
        <v>45454</v>
      </c>
      <c r="H87" s="2">
        <v>45602.883750000001</v>
      </c>
      <c r="I87" s="2" t="s">
        <v>430</v>
      </c>
      <c r="K87" s="21">
        <v>0</v>
      </c>
      <c r="L87" s="21">
        <v>3562626</v>
      </c>
      <c r="M87" s="21">
        <v>676899</v>
      </c>
      <c r="N87" s="21">
        <v>4239525</v>
      </c>
      <c r="O87">
        <v>0</v>
      </c>
      <c r="P87">
        <v>0</v>
      </c>
      <c r="Q87">
        <v>0</v>
      </c>
      <c r="R87">
        <v>0</v>
      </c>
      <c r="S87">
        <v>0</v>
      </c>
      <c r="T87" t="s">
        <v>77</v>
      </c>
      <c r="U87">
        <v>0</v>
      </c>
      <c r="V87">
        <v>0</v>
      </c>
      <c r="W87">
        <v>0</v>
      </c>
      <c r="X87">
        <v>0</v>
      </c>
      <c r="Y87">
        <v>0</v>
      </c>
      <c r="AC87">
        <v>0</v>
      </c>
      <c r="AE87">
        <v>0</v>
      </c>
      <c r="AF87">
        <v>2</v>
      </c>
      <c r="AG87">
        <v>0</v>
      </c>
      <c r="AH87">
        <v>0</v>
      </c>
      <c r="AI87">
        <v>0</v>
      </c>
      <c r="AM87">
        <v>0</v>
      </c>
      <c r="AR87" t="s">
        <v>872</v>
      </c>
      <c r="AS87" t="s">
        <v>982</v>
      </c>
      <c r="AT87">
        <v>6</v>
      </c>
    </row>
    <row r="88" spans="1:46">
      <c r="A88">
        <v>87</v>
      </c>
      <c r="B88">
        <v>33</v>
      </c>
      <c r="C88" t="s">
        <v>74</v>
      </c>
      <c r="D88" t="s">
        <v>81</v>
      </c>
      <c r="E88" t="s">
        <v>82</v>
      </c>
      <c r="F88">
        <v>52916</v>
      </c>
      <c r="G88" s="1">
        <v>45454</v>
      </c>
      <c r="H88" s="2">
        <v>45602.885462962964</v>
      </c>
      <c r="I88" s="2">
        <v>45632.437789351854</v>
      </c>
      <c r="K88" s="21">
        <v>0</v>
      </c>
      <c r="L88" s="21">
        <v>230810</v>
      </c>
      <c r="M88" s="21">
        <v>43854</v>
      </c>
      <c r="N88" s="21">
        <v>274664</v>
      </c>
      <c r="O88">
        <v>0</v>
      </c>
      <c r="P88">
        <v>0</v>
      </c>
      <c r="Q88">
        <v>0</v>
      </c>
      <c r="R88">
        <v>0</v>
      </c>
      <c r="S88">
        <v>0</v>
      </c>
      <c r="T88" t="s">
        <v>77</v>
      </c>
      <c r="U88">
        <v>0</v>
      </c>
      <c r="V88">
        <v>0</v>
      </c>
      <c r="W88">
        <v>0</v>
      </c>
      <c r="X88">
        <v>0</v>
      </c>
      <c r="AC88">
        <v>0</v>
      </c>
      <c r="AE88">
        <v>0</v>
      </c>
      <c r="AF88">
        <v>2</v>
      </c>
      <c r="AG88">
        <v>0</v>
      </c>
      <c r="AH88">
        <v>0</v>
      </c>
      <c r="AI88">
        <v>0</v>
      </c>
      <c r="AM88">
        <v>0</v>
      </c>
      <c r="AR88" t="s">
        <v>872</v>
      </c>
      <c r="AS88" t="s">
        <v>1036</v>
      </c>
      <c r="AT88">
        <v>6</v>
      </c>
    </row>
    <row r="89" spans="1:46">
      <c r="A89">
        <v>88</v>
      </c>
      <c r="B89">
        <v>33</v>
      </c>
      <c r="C89" t="s">
        <v>74</v>
      </c>
      <c r="D89" t="s">
        <v>137</v>
      </c>
      <c r="E89" t="s">
        <v>138</v>
      </c>
      <c r="F89">
        <v>52917</v>
      </c>
      <c r="G89" s="1">
        <v>45454</v>
      </c>
      <c r="H89" s="2">
        <v>45602.886296296296</v>
      </c>
      <c r="I89" s="2"/>
      <c r="K89" s="21">
        <v>0</v>
      </c>
      <c r="L89" s="21">
        <v>360589</v>
      </c>
      <c r="M89" s="21">
        <v>68512</v>
      </c>
      <c r="N89" s="21">
        <v>429101</v>
      </c>
      <c r="O89">
        <v>0</v>
      </c>
      <c r="P89">
        <v>0</v>
      </c>
      <c r="Q89">
        <v>0</v>
      </c>
      <c r="R89">
        <v>0</v>
      </c>
      <c r="S89">
        <v>0</v>
      </c>
      <c r="T89" t="s">
        <v>77</v>
      </c>
      <c r="U89">
        <v>0</v>
      </c>
      <c r="V89">
        <v>0</v>
      </c>
      <c r="W89">
        <v>0</v>
      </c>
      <c r="X89">
        <v>0</v>
      </c>
      <c r="Y89">
        <v>0</v>
      </c>
      <c r="AC89">
        <v>0</v>
      </c>
      <c r="AE89">
        <v>0</v>
      </c>
      <c r="AF89">
        <v>2</v>
      </c>
      <c r="AG89">
        <v>0</v>
      </c>
      <c r="AH89">
        <v>0</v>
      </c>
      <c r="AI89">
        <v>0</v>
      </c>
      <c r="AM89">
        <v>0</v>
      </c>
      <c r="AR89" t="s">
        <v>872</v>
      </c>
      <c r="AS89" t="s">
        <v>967</v>
      </c>
      <c r="AT89">
        <v>6</v>
      </c>
    </row>
    <row r="90" spans="1:46">
      <c r="A90">
        <v>89</v>
      </c>
      <c r="B90">
        <v>33</v>
      </c>
      <c r="C90" t="s">
        <v>74</v>
      </c>
      <c r="D90" t="s">
        <v>139</v>
      </c>
      <c r="E90" t="s">
        <v>140</v>
      </c>
      <c r="F90">
        <v>52918</v>
      </c>
      <c r="G90" s="1">
        <v>45454</v>
      </c>
      <c r="H90" s="2">
        <v>45602.887118055558</v>
      </c>
      <c r="I90" s="2"/>
      <c r="J90" s="2"/>
      <c r="K90" s="21">
        <v>0</v>
      </c>
      <c r="L90" s="21">
        <v>9213122</v>
      </c>
      <c r="M90" s="21">
        <v>1750493</v>
      </c>
      <c r="N90" s="21">
        <v>10963615</v>
      </c>
      <c r="O90">
        <v>0</v>
      </c>
      <c r="P90">
        <v>0</v>
      </c>
      <c r="Q90">
        <v>0</v>
      </c>
      <c r="R90">
        <v>0</v>
      </c>
      <c r="S90">
        <v>0</v>
      </c>
      <c r="T90" t="s">
        <v>77</v>
      </c>
      <c r="U90">
        <v>0</v>
      </c>
      <c r="V90">
        <v>0</v>
      </c>
      <c r="W90">
        <v>0</v>
      </c>
      <c r="X90">
        <v>0</v>
      </c>
      <c r="Y90">
        <v>0</v>
      </c>
      <c r="AC90">
        <v>0</v>
      </c>
      <c r="AE90">
        <v>0</v>
      </c>
      <c r="AF90">
        <v>2</v>
      </c>
      <c r="AG90">
        <v>0</v>
      </c>
      <c r="AH90">
        <v>0</v>
      </c>
      <c r="AI90">
        <v>0</v>
      </c>
      <c r="AM90">
        <v>0</v>
      </c>
      <c r="AR90" t="s">
        <v>872</v>
      </c>
      <c r="AS90" t="s">
        <v>968</v>
      </c>
      <c r="AT90">
        <v>6</v>
      </c>
    </row>
    <row r="91" spans="1:46">
      <c r="A91">
        <v>90</v>
      </c>
      <c r="B91">
        <v>33</v>
      </c>
      <c r="C91" t="s">
        <v>74</v>
      </c>
      <c r="D91" t="s">
        <v>185</v>
      </c>
      <c r="E91" t="s">
        <v>186</v>
      </c>
      <c r="F91">
        <v>52919</v>
      </c>
      <c r="G91" s="1">
        <v>45454</v>
      </c>
      <c r="H91" s="2">
        <v>45602.993206018517</v>
      </c>
      <c r="I91" s="2"/>
      <c r="J91" s="2"/>
      <c r="K91" s="21">
        <v>0</v>
      </c>
      <c r="L91" s="21">
        <v>13339166</v>
      </c>
      <c r="M91" s="21">
        <v>2534442</v>
      </c>
      <c r="N91" s="21">
        <v>15873608</v>
      </c>
      <c r="O91">
        <v>0</v>
      </c>
      <c r="P91">
        <v>0</v>
      </c>
      <c r="Q91">
        <v>0</v>
      </c>
      <c r="R91">
        <v>0</v>
      </c>
      <c r="S91">
        <v>0</v>
      </c>
      <c r="T91" t="s">
        <v>77</v>
      </c>
      <c r="U91">
        <v>0</v>
      </c>
      <c r="V91">
        <v>0</v>
      </c>
      <c r="W91">
        <v>0</v>
      </c>
      <c r="X91">
        <v>0</v>
      </c>
      <c r="AC91">
        <v>0</v>
      </c>
      <c r="AE91">
        <v>0</v>
      </c>
      <c r="AF91">
        <v>2</v>
      </c>
      <c r="AG91">
        <v>0</v>
      </c>
      <c r="AH91">
        <v>0</v>
      </c>
      <c r="AI91">
        <v>0</v>
      </c>
      <c r="AM91">
        <v>0</v>
      </c>
      <c r="AR91" t="s">
        <v>872</v>
      </c>
      <c r="AS91" t="s">
        <v>1010</v>
      </c>
      <c r="AT91">
        <v>6</v>
      </c>
    </row>
    <row r="92" spans="1:46">
      <c r="A92">
        <v>91</v>
      </c>
      <c r="B92">
        <v>33</v>
      </c>
      <c r="C92" t="s">
        <v>74</v>
      </c>
      <c r="D92" t="s">
        <v>185</v>
      </c>
      <c r="E92" t="s">
        <v>186</v>
      </c>
      <c r="F92">
        <v>52920</v>
      </c>
      <c r="G92" s="1">
        <v>45454</v>
      </c>
      <c r="H92" s="2">
        <v>45602.996736111112</v>
      </c>
      <c r="I92" s="2"/>
      <c r="K92" s="21">
        <v>0</v>
      </c>
      <c r="L92" s="21">
        <v>325165</v>
      </c>
      <c r="M92" s="21">
        <v>61781</v>
      </c>
      <c r="N92" s="21">
        <v>386946</v>
      </c>
      <c r="O92">
        <v>0</v>
      </c>
      <c r="P92">
        <v>0</v>
      </c>
      <c r="Q92">
        <v>0</v>
      </c>
      <c r="R92">
        <v>0</v>
      </c>
      <c r="S92">
        <v>0</v>
      </c>
      <c r="T92" t="s">
        <v>77</v>
      </c>
      <c r="U92">
        <v>0</v>
      </c>
      <c r="V92">
        <v>0</v>
      </c>
      <c r="W92">
        <v>0</v>
      </c>
      <c r="X92">
        <v>0</v>
      </c>
      <c r="AC92">
        <v>0</v>
      </c>
      <c r="AE92">
        <v>0</v>
      </c>
      <c r="AF92">
        <v>2</v>
      </c>
      <c r="AG92">
        <v>0</v>
      </c>
      <c r="AH92">
        <v>0</v>
      </c>
      <c r="AI92">
        <v>0</v>
      </c>
      <c r="AM92">
        <v>0</v>
      </c>
      <c r="AR92" t="s">
        <v>872</v>
      </c>
      <c r="AS92" t="s">
        <v>1010</v>
      </c>
      <c r="AT92">
        <v>6</v>
      </c>
    </row>
    <row r="93" spans="1:46">
      <c r="A93">
        <v>92</v>
      </c>
      <c r="B93">
        <v>33</v>
      </c>
      <c r="C93" t="s">
        <v>74</v>
      </c>
      <c r="D93" t="s">
        <v>272</v>
      </c>
      <c r="E93" t="s">
        <v>273</v>
      </c>
      <c r="F93">
        <v>52921</v>
      </c>
      <c r="G93" s="1">
        <v>45455</v>
      </c>
      <c r="H93" s="2">
        <v>45632.409004629626</v>
      </c>
      <c r="I93" s="2"/>
      <c r="K93" s="21">
        <v>0</v>
      </c>
      <c r="L93" s="21">
        <v>1219918</v>
      </c>
      <c r="M93" s="21">
        <v>231786</v>
      </c>
      <c r="N93" s="21">
        <v>1451704</v>
      </c>
      <c r="O93">
        <v>0</v>
      </c>
      <c r="P93">
        <v>0</v>
      </c>
      <c r="Q93">
        <v>0</v>
      </c>
      <c r="R93">
        <v>0</v>
      </c>
      <c r="S93">
        <v>0</v>
      </c>
      <c r="T93" t="s">
        <v>77</v>
      </c>
      <c r="U93">
        <v>0</v>
      </c>
      <c r="V93">
        <v>0</v>
      </c>
      <c r="W93">
        <v>0</v>
      </c>
      <c r="X93">
        <v>0</v>
      </c>
      <c r="AC93">
        <v>0</v>
      </c>
      <c r="AE93">
        <v>0</v>
      </c>
      <c r="AF93">
        <v>2</v>
      </c>
      <c r="AG93">
        <v>0</v>
      </c>
      <c r="AH93">
        <v>0</v>
      </c>
      <c r="AI93">
        <v>0</v>
      </c>
      <c r="AM93">
        <v>0</v>
      </c>
      <c r="AR93" t="s">
        <v>872</v>
      </c>
      <c r="AS93" t="s">
        <v>1044</v>
      </c>
      <c r="AT93">
        <v>6</v>
      </c>
    </row>
    <row r="94" spans="1:46">
      <c r="A94">
        <v>93</v>
      </c>
      <c r="B94">
        <v>33</v>
      </c>
      <c r="C94" t="s">
        <v>74</v>
      </c>
      <c r="D94" t="s">
        <v>145</v>
      </c>
      <c r="E94" t="s">
        <v>146</v>
      </c>
      <c r="F94">
        <v>52922</v>
      </c>
      <c r="G94" s="1">
        <v>45455</v>
      </c>
      <c r="H94" s="2">
        <v>45632.489895833336</v>
      </c>
      <c r="I94" s="2" t="s">
        <v>431</v>
      </c>
      <c r="K94" s="21">
        <v>0</v>
      </c>
      <c r="L94" s="21">
        <v>7433401</v>
      </c>
      <c r="M94" s="21">
        <v>1412346</v>
      </c>
      <c r="N94" s="21">
        <v>8845747</v>
      </c>
      <c r="O94">
        <v>0</v>
      </c>
      <c r="P94">
        <v>0</v>
      </c>
      <c r="Q94">
        <v>0</v>
      </c>
      <c r="R94">
        <v>0</v>
      </c>
      <c r="S94">
        <v>0</v>
      </c>
      <c r="T94" t="s">
        <v>77</v>
      </c>
      <c r="U94">
        <v>0</v>
      </c>
      <c r="V94">
        <v>0</v>
      </c>
      <c r="W94">
        <v>0</v>
      </c>
      <c r="X94">
        <v>0</v>
      </c>
      <c r="Y94">
        <v>0</v>
      </c>
      <c r="AC94">
        <v>0</v>
      </c>
      <c r="AE94">
        <v>0</v>
      </c>
      <c r="AF94">
        <v>2</v>
      </c>
      <c r="AG94">
        <v>0</v>
      </c>
      <c r="AH94">
        <v>0</v>
      </c>
      <c r="AI94">
        <v>0</v>
      </c>
      <c r="AM94">
        <v>0</v>
      </c>
      <c r="AR94" t="s">
        <v>872</v>
      </c>
      <c r="AS94" t="s">
        <v>971</v>
      </c>
      <c r="AT94">
        <v>6</v>
      </c>
    </row>
    <row r="95" spans="1:46">
      <c r="A95">
        <v>94</v>
      </c>
      <c r="B95">
        <v>33</v>
      </c>
      <c r="C95" t="s">
        <v>74</v>
      </c>
      <c r="D95" t="s">
        <v>248</v>
      </c>
      <c r="E95" t="s">
        <v>249</v>
      </c>
      <c r="F95">
        <v>52923</v>
      </c>
      <c r="G95" s="1">
        <v>45455</v>
      </c>
      <c r="H95" s="2">
        <v>45632.493032407408</v>
      </c>
      <c r="I95" s="2" t="s">
        <v>432</v>
      </c>
      <c r="K95" s="21">
        <v>0</v>
      </c>
      <c r="L95" s="21">
        <v>7984916</v>
      </c>
      <c r="M95" s="21">
        <v>1517134</v>
      </c>
      <c r="N95" s="21">
        <v>9502050</v>
      </c>
      <c r="O95">
        <v>0</v>
      </c>
      <c r="P95">
        <v>0</v>
      </c>
      <c r="Q95">
        <v>0</v>
      </c>
      <c r="R95">
        <v>0</v>
      </c>
      <c r="S95">
        <v>0</v>
      </c>
      <c r="T95" t="s">
        <v>77</v>
      </c>
      <c r="U95">
        <v>0</v>
      </c>
      <c r="V95">
        <v>0</v>
      </c>
      <c r="W95">
        <v>0</v>
      </c>
      <c r="X95">
        <v>0</v>
      </c>
      <c r="AC95">
        <v>0</v>
      </c>
      <c r="AE95">
        <v>0</v>
      </c>
      <c r="AF95">
        <v>2</v>
      </c>
      <c r="AG95">
        <v>0</v>
      </c>
      <c r="AH95">
        <v>0</v>
      </c>
      <c r="AI95">
        <v>0</v>
      </c>
      <c r="AM95">
        <v>0</v>
      </c>
      <c r="AR95" t="s">
        <v>872</v>
      </c>
      <c r="AS95" t="s">
        <v>3750</v>
      </c>
      <c r="AT95">
        <v>6</v>
      </c>
    </row>
    <row r="96" spans="1:46">
      <c r="A96">
        <v>95</v>
      </c>
      <c r="B96">
        <v>33</v>
      </c>
      <c r="C96" t="s">
        <v>74</v>
      </c>
      <c r="D96" t="s">
        <v>183</v>
      </c>
      <c r="E96" t="s">
        <v>184</v>
      </c>
      <c r="F96">
        <v>52924</v>
      </c>
      <c r="G96" s="1">
        <v>45455</v>
      </c>
      <c r="H96" s="2">
        <v>45632.946099537039</v>
      </c>
      <c r="I96" s="2"/>
      <c r="K96" s="21">
        <v>0</v>
      </c>
      <c r="L96" s="21">
        <v>33475725</v>
      </c>
      <c r="M96" s="21">
        <v>6360388</v>
      </c>
      <c r="N96" s="21">
        <v>39836113</v>
      </c>
      <c r="O96">
        <v>0</v>
      </c>
      <c r="P96">
        <v>0</v>
      </c>
      <c r="Q96">
        <v>0</v>
      </c>
      <c r="R96">
        <v>0</v>
      </c>
      <c r="S96">
        <v>0</v>
      </c>
      <c r="T96" t="s">
        <v>77</v>
      </c>
      <c r="U96">
        <v>0</v>
      </c>
      <c r="V96">
        <v>0</v>
      </c>
      <c r="W96">
        <v>0</v>
      </c>
      <c r="X96">
        <v>0</v>
      </c>
      <c r="AC96">
        <v>0</v>
      </c>
      <c r="AE96">
        <v>0</v>
      </c>
      <c r="AF96">
        <v>2</v>
      </c>
      <c r="AG96">
        <v>0</v>
      </c>
      <c r="AH96">
        <v>0</v>
      </c>
      <c r="AI96">
        <v>0</v>
      </c>
      <c r="AM96">
        <v>0</v>
      </c>
      <c r="AR96" t="s">
        <v>872</v>
      </c>
      <c r="AS96" t="s">
        <v>993</v>
      </c>
      <c r="AT96">
        <v>6</v>
      </c>
    </row>
    <row r="97" spans="1:46">
      <c r="A97">
        <v>96</v>
      </c>
      <c r="B97">
        <v>33</v>
      </c>
      <c r="C97" t="s">
        <v>74</v>
      </c>
      <c r="D97" t="s">
        <v>183</v>
      </c>
      <c r="E97" t="s">
        <v>184</v>
      </c>
      <c r="F97">
        <v>52925</v>
      </c>
      <c r="G97" s="1">
        <v>45455</v>
      </c>
      <c r="H97" s="2">
        <v>45632.949629629627</v>
      </c>
      <c r="I97" s="2"/>
      <c r="K97" s="21">
        <v>0</v>
      </c>
      <c r="L97" s="21">
        <v>385072</v>
      </c>
      <c r="M97" s="21">
        <v>73164</v>
      </c>
      <c r="N97" s="21">
        <v>458236</v>
      </c>
      <c r="O97">
        <v>0</v>
      </c>
      <c r="P97">
        <v>0</v>
      </c>
      <c r="Q97">
        <v>0</v>
      </c>
      <c r="R97">
        <v>0</v>
      </c>
      <c r="S97">
        <v>0</v>
      </c>
      <c r="T97" t="s">
        <v>77</v>
      </c>
      <c r="U97">
        <v>0</v>
      </c>
      <c r="V97">
        <v>0</v>
      </c>
      <c r="W97">
        <v>0</v>
      </c>
      <c r="X97">
        <v>0</v>
      </c>
      <c r="AC97">
        <v>0</v>
      </c>
      <c r="AE97">
        <v>0</v>
      </c>
      <c r="AF97">
        <v>2</v>
      </c>
      <c r="AG97">
        <v>0</v>
      </c>
      <c r="AH97">
        <v>0</v>
      </c>
      <c r="AI97">
        <v>0</v>
      </c>
      <c r="AM97">
        <v>0</v>
      </c>
      <c r="AR97" t="s">
        <v>872</v>
      </c>
      <c r="AS97" t="s">
        <v>993</v>
      </c>
      <c r="AT97">
        <v>6</v>
      </c>
    </row>
    <row r="98" spans="1:46">
      <c r="A98">
        <v>97</v>
      </c>
      <c r="B98">
        <v>33</v>
      </c>
      <c r="C98" t="s">
        <v>74</v>
      </c>
      <c r="D98" t="s">
        <v>187</v>
      </c>
      <c r="E98" t="s">
        <v>188</v>
      </c>
      <c r="F98">
        <v>52926</v>
      </c>
      <c r="G98" s="1">
        <v>45455</v>
      </c>
      <c r="H98" s="2">
        <v>45632.976469907408</v>
      </c>
      <c r="I98" s="2"/>
      <c r="K98" s="21">
        <v>0</v>
      </c>
      <c r="L98" s="21">
        <v>7407117</v>
      </c>
      <c r="M98" s="21">
        <v>1407352</v>
      </c>
      <c r="N98" s="21">
        <v>8814469</v>
      </c>
      <c r="O98">
        <v>0</v>
      </c>
      <c r="P98">
        <v>0</v>
      </c>
      <c r="Q98">
        <v>0</v>
      </c>
      <c r="R98">
        <v>0</v>
      </c>
      <c r="S98">
        <v>0</v>
      </c>
      <c r="T98" t="s">
        <v>77</v>
      </c>
      <c r="U98">
        <v>0</v>
      </c>
      <c r="V98">
        <v>0</v>
      </c>
      <c r="W98">
        <v>0</v>
      </c>
      <c r="X98">
        <v>0</v>
      </c>
      <c r="AC98">
        <v>0</v>
      </c>
      <c r="AE98">
        <v>0</v>
      </c>
      <c r="AF98">
        <v>2</v>
      </c>
      <c r="AG98">
        <v>0</v>
      </c>
      <c r="AH98">
        <v>0</v>
      </c>
      <c r="AI98">
        <v>0</v>
      </c>
      <c r="AM98">
        <v>0</v>
      </c>
      <c r="AR98" t="s">
        <v>872</v>
      </c>
      <c r="AS98" t="s">
        <v>974</v>
      </c>
      <c r="AT98">
        <v>6</v>
      </c>
    </row>
    <row r="99" spans="1:46">
      <c r="A99">
        <v>98</v>
      </c>
      <c r="B99">
        <v>33</v>
      </c>
      <c r="C99" t="s">
        <v>74</v>
      </c>
      <c r="D99" t="s">
        <v>145</v>
      </c>
      <c r="E99" t="s">
        <v>146</v>
      </c>
      <c r="F99">
        <v>52927</v>
      </c>
      <c r="G99" s="1" t="s">
        <v>433</v>
      </c>
      <c r="H99" s="2" t="s">
        <v>434</v>
      </c>
      <c r="I99" s="2" t="s">
        <v>431</v>
      </c>
      <c r="K99" s="21">
        <v>0</v>
      </c>
      <c r="L99" s="21">
        <v>488023</v>
      </c>
      <c r="M99" s="21">
        <v>92724</v>
      </c>
      <c r="N99" s="21">
        <v>580747</v>
      </c>
      <c r="O99">
        <v>0</v>
      </c>
      <c r="P99">
        <v>0</v>
      </c>
      <c r="Q99">
        <v>0</v>
      </c>
      <c r="R99">
        <v>0</v>
      </c>
      <c r="S99">
        <v>0</v>
      </c>
      <c r="T99" t="s">
        <v>77</v>
      </c>
      <c r="U99">
        <v>0</v>
      </c>
      <c r="V99">
        <v>0</v>
      </c>
      <c r="W99">
        <v>0</v>
      </c>
      <c r="X99">
        <v>0</v>
      </c>
      <c r="Y99">
        <v>0</v>
      </c>
      <c r="AC99">
        <v>0</v>
      </c>
      <c r="AE99">
        <v>0</v>
      </c>
      <c r="AF99">
        <v>2</v>
      </c>
      <c r="AG99">
        <v>0</v>
      </c>
      <c r="AH99">
        <v>0</v>
      </c>
      <c r="AI99">
        <v>0</v>
      </c>
      <c r="AM99">
        <v>0</v>
      </c>
      <c r="AR99" t="s">
        <v>872</v>
      </c>
      <c r="AS99" t="s">
        <v>971</v>
      </c>
      <c r="AT99">
        <v>6</v>
      </c>
    </row>
    <row r="100" spans="1:46">
      <c r="A100">
        <v>99</v>
      </c>
      <c r="B100">
        <v>33</v>
      </c>
      <c r="C100" t="s">
        <v>74</v>
      </c>
      <c r="D100" t="s">
        <v>321</v>
      </c>
      <c r="E100" t="s">
        <v>322</v>
      </c>
      <c r="F100">
        <v>52928</v>
      </c>
      <c r="G100" s="1" t="s">
        <v>433</v>
      </c>
      <c r="H100" s="2" t="s">
        <v>435</v>
      </c>
      <c r="I100" s="2"/>
      <c r="K100" s="21">
        <v>0</v>
      </c>
      <c r="L100" s="21">
        <v>4817834</v>
      </c>
      <c r="M100" s="21">
        <v>915389</v>
      </c>
      <c r="N100" s="21">
        <v>5733223</v>
      </c>
      <c r="O100">
        <v>0</v>
      </c>
      <c r="P100">
        <v>0</v>
      </c>
      <c r="Q100">
        <v>0</v>
      </c>
      <c r="R100">
        <v>0</v>
      </c>
      <c r="S100">
        <v>0</v>
      </c>
      <c r="T100" t="s">
        <v>77</v>
      </c>
      <c r="U100">
        <v>0</v>
      </c>
      <c r="V100">
        <v>0</v>
      </c>
      <c r="W100">
        <v>0</v>
      </c>
      <c r="X100">
        <v>0</v>
      </c>
      <c r="AC100">
        <v>0</v>
      </c>
      <c r="AE100">
        <v>0</v>
      </c>
      <c r="AF100">
        <v>2</v>
      </c>
      <c r="AG100">
        <v>0</v>
      </c>
      <c r="AH100">
        <v>0</v>
      </c>
      <c r="AI100">
        <v>0</v>
      </c>
      <c r="AM100">
        <v>0</v>
      </c>
      <c r="AR100" t="s">
        <v>872</v>
      </c>
      <c r="AS100" t="s">
        <v>934</v>
      </c>
      <c r="AT100">
        <v>6</v>
      </c>
    </row>
    <row r="101" spans="1:46">
      <c r="A101">
        <v>100</v>
      </c>
      <c r="B101">
        <v>33</v>
      </c>
      <c r="C101" t="s">
        <v>74</v>
      </c>
      <c r="D101" t="s">
        <v>167</v>
      </c>
      <c r="E101" t="s">
        <v>168</v>
      </c>
      <c r="F101">
        <v>52929</v>
      </c>
      <c r="G101" s="1" t="s">
        <v>433</v>
      </c>
      <c r="H101" s="2" t="s">
        <v>436</v>
      </c>
      <c r="I101" s="2"/>
      <c r="K101" s="21">
        <v>0</v>
      </c>
      <c r="L101" s="21">
        <v>2834492</v>
      </c>
      <c r="M101" s="21">
        <v>538553</v>
      </c>
      <c r="N101" s="21">
        <v>3373045</v>
      </c>
      <c r="O101">
        <v>0</v>
      </c>
      <c r="P101">
        <v>0</v>
      </c>
      <c r="Q101">
        <v>0</v>
      </c>
      <c r="R101">
        <v>0</v>
      </c>
      <c r="S101">
        <v>0</v>
      </c>
      <c r="T101" t="s">
        <v>77</v>
      </c>
      <c r="U101">
        <v>0</v>
      </c>
      <c r="V101">
        <v>0</v>
      </c>
      <c r="W101">
        <v>0</v>
      </c>
      <c r="X101">
        <v>0</v>
      </c>
      <c r="AC101">
        <v>0</v>
      </c>
      <c r="AE101">
        <v>0</v>
      </c>
      <c r="AF101">
        <v>2</v>
      </c>
      <c r="AG101">
        <v>0</v>
      </c>
      <c r="AH101">
        <v>0</v>
      </c>
      <c r="AI101">
        <v>0</v>
      </c>
      <c r="AM101">
        <v>0</v>
      </c>
      <c r="AR101" t="s">
        <v>872</v>
      </c>
      <c r="AS101" t="s">
        <v>1018</v>
      </c>
      <c r="AT101">
        <v>6</v>
      </c>
    </row>
    <row r="102" spans="1:46">
      <c r="A102">
        <v>101</v>
      </c>
      <c r="B102">
        <v>33</v>
      </c>
      <c r="C102" t="s">
        <v>74</v>
      </c>
      <c r="D102" t="s">
        <v>167</v>
      </c>
      <c r="E102" t="s">
        <v>168</v>
      </c>
      <c r="F102">
        <v>52930</v>
      </c>
      <c r="G102" s="1" t="s">
        <v>433</v>
      </c>
      <c r="H102" s="2" t="s">
        <v>437</v>
      </c>
      <c r="I102" s="2"/>
      <c r="J102" t="s">
        <v>438</v>
      </c>
      <c r="K102" s="21">
        <v>0</v>
      </c>
      <c r="L102" s="21">
        <v>5273838</v>
      </c>
      <c r="M102" s="21">
        <v>1002029</v>
      </c>
      <c r="N102" s="21">
        <v>6275867</v>
      </c>
      <c r="O102">
        <v>0</v>
      </c>
      <c r="P102">
        <v>0</v>
      </c>
      <c r="Q102">
        <v>0</v>
      </c>
      <c r="R102">
        <v>0</v>
      </c>
      <c r="S102">
        <v>0</v>
      </c>
      <c r="T102" t="s">
        <v>77</v>
      </c>
      <c r="U102">
        <v>0</v>
      </c>
      <c r="V102">
        <v>0</v>
      </c>
      <c r="W102">
        <v>0</v>
      </c>
      <c r="X102">
        <v>0</v>
      </c>
      <c r="AC102">
        <v>0</v>
      </c>
      <c r="AE102">
        <v>0</v>
      </c>
      <c r="AF102">
        <v>2</v>
      </c>
      <c r="AG102">
        <v>0</v>
      </c>
      <c r="AH102">
        <v>0</v>
      </c>
      <c r="AI102">
        <v>0</v>
      </c>
      <c r="AM102">
        <v>0</v>
      </c>
      <c r="AR102" t="s">
        <v>872</v>
      </c>
      <c r="AS102" t="s">
        <v>1018</v>
      </c>
      <c r="AT102">
        <v>6</v>
      </c>
    </row>
    <row r="103" spans="1:46">
      <c r="A103">
        <v>102</v>
      </c>
      <c r="B103">
        <v>33</v>
      </c>
      <c r="C103" t="s">
        <v>74</v>
      </c>
      <c r="D103" t="s">
        <v>354</v>
      </c>
      <c r="E103" t="s">
        <v>355</v>
      </c>
      <c r="F103">
        <v>52931</v>
      </c>
      <c r="G103" s="1" t="s">
        <v>433</v>
      </c>
      <c r="H103" s="2" t="s">
        <v>440</v>
      </c>
      <c r="I103" s="2" t="s">
        <v>441</v>
      </c>
      <c r="K103" s="21">
        <v>0</v>
      </c>
      <c r="L103" s="21">
        <v>396066</v>
      </c>
      <c r="M103" s="21">
        <v>75253</v>
      </c>
      <c r="N103" s="21">
        <v>471319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77</v>
      </c>
      <c r="U103">
        <v>0</v>
      </c>
      <c r="V103">
        <v>0</v>
      </c>
      <c r="W103">
        <v>0</v>
      </c>
      <c r="X103">
        <v>0</v>
      </c>
      <c r="AC103">
        <v>0</v>
      </c>
      <c r="AE103">
        <v>0</v>
      </c>
      <c r="AF103">
        <v>2</v>
      </c>
      <c r="AG103">
        <v>0</v>
      </c>
      <c r="AH103">
        <v>0</v>
      </c>
      <c r="AI103">
        <v>0</v>
      </c>
      <c r="AM103">
        <v>0</v>
      </c>
      <c r="AR103" t="s">
        <v>872</v>
      </c>
      <c r="AS103" t="s">
        <v>1029</v>
      </c>
      <c r="AT103">
        <v>6</v>
      </c>
    </row>
    <row r="104" spans="1:46">
      <c r="A104">
        <v>103</v>
      </c>
      <c r="B104">
        <v>33</v>
      </c>
      <c r="C104" t="s">
        <v>74</v>
      </c>
      <c r="D104" t="s">
        <v>354</v>
      </c>
      <c r="E104" t="s">
        <v>355</v>
      </c>
      <c r="F104">
        <v>52932</v>
      </c>
      <c r="G104" s="1" t="s">
        <v>433</v>
      </c>
      <c r="H104" s="2" t="s">
        <v>442</v>
      </c>
      <c r="I104" s="2" t="s">
        <v>441</v>
      </c>
      <c r="K104" s="21">
        <v>0</v>
      </c>
      <c r="L104" s="21">
        <v>396066</v>
      </c>
      <c r="M104" s="21">
        <v>75253</v>
      </c>
      <c r="N104" s="21">
        <v>471319</v>
      </c>
      <c r="O104">
        <v>0</v>
      </c>
      <c r="P104">
        <v>0</v>
      </c>
      <c r="Q104">
        <v>0</v>
      </c>
      <c r="R104">
        <v>0</v>
      </c>
      <c r="S104">
        <v>0</v>
      </c>
      <c r="T104" t="s">
        <v>77</v>
      </c>
      <c r="U104">
        <v>0</v>
      </c>
      <c r="V104">
        <v>0</v>
      </c>
      <c r="W104">
        <v>0</v>
      </c>
      <c r="X104">
        <v>0</v>
      </c>
      <c r="AC104">
        <v>0</v>
      </c>
      <c r="AE104">
        <v>0</v>
      </c>
      <c r="AF104">
        <v>2</v>
      </c>
      <c r="AG104">
        <v>0</v>
      </c>
      <c r="AH104">
        <v>0</v>
      </c>
      <c r="AI104">
        <v>0</v>
      </c>
      <c r="AM104">
        <v>0</v>
      </c>
      <c r="AR104" t="s">
        <v>872</v>
      </c>
      <c r="AS104" t="s">
        <v>1029</v>
      </c>
      <c r="AT104">
        <v>6</v>
      </c>
    </row>
    <row r="105" spans="1:46">
      <c r="A105">
        <v>104</v>
      </c>
      <c r="B105">
        <v>33</v>
      </c>
      <c r="C105" t="s">
        <v>74</v>
      </c>
      <c r="D105" t="s">
        <v>79</v>
      </c>
      <c r="E105" t="s">
        <v>80</v>
      </c>
      <c r="F105">
        <v>52933</v>
      </c>
      <c r="G105" s="1" t="s">
        <v>443</v>
      </c>
      <c r="H105" s="2" t="s">
        <v>444</v>
      </c>
      <c r="I105" s="2" t="s">
        <v>445</v>
      </c>
      <c r="K105" s="21">
        <v>0</v>
      </c>
      <c r="L105" s="21">
        <v>5517</v>
      </c>
      <c r="M105" s="21">
        <v>1048</v>
      </c>
      <c r="N105" s="21">
        <v>6565</v>
      </c>
      <c r="O105">
        <v>0</v>
      </c>
      <c r="P105">
        <v>0</v>
      </c>
      <c r="Q105">
        <v>0</v>
      </c>
      <c r="R105">
        <v>0</v>
      </c>
      <c r="S105">
        <v>0</v>
      </c>
      <c r="T105" t="s">
        <v>77</v>
      </c>
      <c r="U105">
        <v>0</v>
      </c>
      <c r="V105">
        <v>0</v>
      </c>
      <c r="W105">
        <v>0</v>
      </c>
      <c r="X105">
        <v>0</v>
      </c>
      <c r="AC105">
        <v>0</v>
      </c>
      <c r="AE105">
        <v>0</v>
      </c>
      <c r="AF105">
        <v>2</v>
      </c>
      <c r="AG105">
        <v>0</v>
      </c>
      <c r="AH105">
        <v>0</v>
      </c>
      <c r="AI105">
        <v>0</v>
      </c>
      <c r="AM105">
        <v>0</v>
      </c>
      <c r="AR105" t="s">
        <v>872</v>
      </c>
      <c r="AS105" t="s">
        <v>1013</v>
      </c>
      <c r="AT105">
        <v>6</v>
      </c>
    </row>
    <row r="106" spans="1:46">
      <c r="A106">
        <v>105</v>
      </c>
      <c r="B106">
        <v>33</v>
      </c>
      <c r="C106" t="s">
        <v>74</v>
      </c>
      <c r="D106" t="s">
        <v>446</v>
      </c>
      <c r="E106" t="s">
        <v>447</v>
      </c>
      <c r="F106">
        <v>52934</v>
      </c>
      <c r="G106" s="1" t="s">
        <v>443</v>
      </c>
      <c r="H106" s="2" t="s">
        <v>448</v>
      </c>
      <c r="I106" s="2" t="s">
        <v>449</v>
      </c>
      <c r="K106" s="21">
        <v>0</v>
      </c>
      <c r="L106" s="21">
        <v>2648131</v>
      </c>
      <c r="M106" s="21">
        <v>503145</v>
      </c>
      <c r="N106" s="21">
        <v>3151276</v>
      </c>
      <c r="O106">
        <v>0</v>
      </c>
      <c r="P106">
        <v>0</v>
      </c>
      <c r="Q106">
        <v>0</v>
      </c>
      <c r="R106">
        <v>0</v>
      </c>
      <c r="S106">
        <v>0</v>
      </c>
      <c r="T106" t="s">
        <v>77</v>
      </c>
      <c r="U106">
        <v>0</v>
      </c>
      <c r="V106">
        <v>0</v>
      </c>
      <c r="W106">
        <v>0</v>
      </c>
      <c r="X106">
        <v>0</v>
      </c>
      <c r="Y106">
        <v>0</v>
      </c>
      <c r="AC106">
        <v>0</v>
      </c>
      <c r="AE106">
        <v>0</v>
      </c>
      <c r="AF106">
        <v>2</v>
      </c>
      <c r="AG106">
        <v>0</v>
      </c>
      <c r="AH106">
        <v>0</v>
      </c>
      <c r="AI106">
        <v>0</v>
      </c>
      <c r="AM106">
        <v>0</v>
      </c>
      <c r="AR106" t="s">
        <v>872</v>
      </c>
      <c r="AS106" t="s">
        <v>3761</v>
      </c>
      <c r="AT106">
        <v>6</v>
      </c>
    </row>
    <row r="107" spans="1:46">
      <c r="A107">
        <v>106</v>
      </c>
      <c r="B107">
        <v>33</v>
      </c>
      <c r="C107" t="s">
        <v>74</v>
      </c>
      <c r="D107" t="s">
        <v>131</v>
      </c>
      <c r="E107" t="s">
        <v>132</v>
      </c>
      <c r="F107">
        <v>52935</v>
      </c>
      <c r="G107" s="1" t="s">
        <v>443</v>
      </c>
      <c r="H107" s="2" t="s">
        <v>450</v>
      </c>
      <c r="I107" s="2"/>
      <c r="K107" s="21">
        <v>0</v>
      </c>
      <c r="L107" s="21">
        <v>662033</v>
      </c>
      <c r="M107" s="21">
        <v>125786</v>
      </c>
      <c r="N107" s="21">
        <v>787819</v>
      </c>
      <c r="O107">
        <v>0</v>
      </c>
      <c r="P107">
        <v>0</v>
      </c>
      <c r="Q107">
        <v>0</v>
      </c>
      <c r="R107">
        <v>0</v>
      </c>
      <c r="S107">
        <v>0</v>
      </c>
      <c r="T107" t="s">
        <v>77</v>
      </c>
      <c r="U107">
        <v>0</v>
      </c>
      <c r="V107">
        <v>0</v>
      </c>
      <c r="W107">
        <v>0</v>
      </c>
      <c r="X107">
        <v>0</v>
      </c>
      <c r="AC107">
        <v>0</v>
      </c>
      <c r="AE107">
        <v>0</v>
      </c>
      <c r="AF107">
        <v>2</v>
      </c>
      <c r="AG107">
        <v>0</v>
      </c>
      <c r="AH107">
        <v>0</v>
      </c>
      <c r="AI107">
        <v>0</v>
      </c>
      <c r="AM107">
        <v>0</v>
      </c>
      <c r="AR107" t="s">
        <v>872</v>
      </c>
      <c r="AS107" t="s">
        <v>3762</v>
      </c>
      <c r="AT107">
        <v>6</v>
      </c>
    </row>
    <row r="108" spans="1:46">
      <c r="A108">
        <v>107</v>
      </c>
      <c r="B108">
        <v>33</v>
      </c>
      <c r="C108" t="s">
        <v>74</v>
      </c>
      <c r="D108" t="s">
        <v>187</v>
      </c>
      <c r="E108" t="s">
        <v>188</v>
      </c>
      <c r="F108">
        <v>52936</v>
      </c>
      <c r="G108" s="1" t="s">
        <v>443</v>
      </c>
      <c r="H108" s="2" t="s">
        <v>451</v>
      </c>
      <c r="J108" t="s">
        <v>452</v>
      </c>
      <c r="K108" s="21">
        <v>0</v>
      </c>
      <c r="L108" s="21">
        <v>26942041</v>
      </c>
      <c r="M108" s="21">
        <v>5118988</v>
      </c>
      <c r="N108" s="21">
        <v>32061029</v>
      </c>
      <c r="O108">
        <v>0</v>
      </c>
      <c r="P108">
        <v>0</v>
      </c>
      <c r="Q108">
        <v>0</v>
      </c>
      <c r="R108">
        <v>0</v>
      </c>
      <c r="S108">
        <v>0</v>
      </c>
      <c r="T108" t="s">
        <v>77</v>
      </c>
      <c r="U108">
        <v>0</v>
      </c>
      <c r="V108">
        <v>0</v>
      </c>
      <c r="W108">
        <v>0</v>
      </c>
      <c r="X108">
        <v>0</v>
      </c>
      <c r="AC108">
        <v>0</v>
      </c>
      <c r="AE108">
        <v>0</v>
      </c>
      <c r="AF108">
        <v>2</v>
      </c>
      <c r="AG108">
        <v>0</v>
      </c>
      <c r="AH108">
        <v>0</v>
      </c>
      <c r="AI108">
        <v>0</v>
      </c>
      <c r="AM108">
        <v>0</v>
      </c>
      <c r="AR108" t="s">
        <v>872</v>
      </c>
      <c r="AS108" t="s">
        <v>974</v>
      </c>
      <c r="AT108">
        <v>6</v>
      </c>
    </row>
    <row r="109" spans="1:46">
      <c r="A109">
        <v>108</v>
      </c>
      <c r="B109">
        <v>33</v>
      </c>
      <c r="C109" t="s">
        <v>74</v>
      </c>
      <c r="D109" t="s">
        <v>454</v>
      </c>
      <c r="E109" t="s">
        <v>455</v>
      </c>
      <c r="F109">
        <v>52937</v>
      </c>
      <c r="G109" s="1" t="s">
        <v>443</v>
      </c>
      <c r="H109" s="2" t="s">
        <v>456</v>
      </c>
      <c r="I109" s="2"/>
      <c r="K109" s="21">
        <v>0</v>
      </c>
      <c r="L109" s="21">
        <v>331016</v>
      </c>
      <c r="M109" s="21">
        <v>62893</v>
      </c>
      <c r="N109" s="21">
        <v>393909</v>
      </c>
      <c r="O109">
        <v>0</v>
      </c>
      <c r="P109">
        <v>0</v>
      </c>
      <c r="Q109">
        <v>0</v>
      </c>
      <c r="R109">
        <v>0</v>
      </c>
      <c r="S109">
        <v>0</v>
      </c>
      <c r="T109" t="s">
        <v>77</v>
      </c>
      <c r="U109">
        <v>0</v>
      </c>
      <c r="V109">
        <v>0</v>
      </c>
      <c r="W109">
        <v>0</v>
      </c>
      <c r="X109">
        <v>0</v>
      </c>
      <c r="AC109">
        <v>0</v>
      </c>
      <c r="AE109">
        <v>0</v>
      </c>
      <c r="AF109">
        <v>2</v>
      </c>
      <c r="AG109">
        <v>0</v>
      </c>
      <c r="AH109">
        <v>0</v>
      </c>
      <c r="AI109">
        <v>0</v>
      </c>
      <c r="AM109">
        <v>0</v>
      </c>
      <c r="AR109" t="s">
        <v>872</v>
      </c>
      <c r="AS109" t="s">
        <v>3763</v>
      </c>
      <c r="AT109">
        <v>6</v>
      </c>
    </row>
    <row r="110" spans="1:46">
      <c r="A110">
        <v>109</v>
      </c>
      <c r="B110">
        <v>33</v>
      </c>
      <c r="C110" t="s">
        <v>74</v>
      </c>
      <c r="D110" t="s">
        <v>394</v>
      </c>
      <c r="E110" t="s">
        <v>395</v>
      </c>
      <c r="F110">
        <v>52938</v>
      </c>
      <c r="G110" s="1" t="s">
        <v>443</v>
      </c>
      <c r="H110" s="2" t="s">
        <v>457</v>
      </c>
      <c r="I110" s="2" t="s">
        <v>458</v>
      </c>
      <c r="K110" s="21">
        <v>0</v>
      </c>
      <c r="L110" s="21">
        <v>2714334</v>
      </c>
      <c r="M110" s="21">
        <v>515724</v>
      </c>
      <c r="N110" s="21">
        <v>3230058</v>
      </c>
      <c r="O110">
        <v>0</v>
      </c>
      <c r="P110">
        <v>0</v>
      </c>
      <c r="Q110">
        <v>0</v>
      </c>
      <c r="R110">
        <v>0</v>
      </c>
      <c r="S110">
        <v>0</v>
      </c>
      <c r="T110" t="s">
        <v>77</v>
      </c>
      <c r="U110">
        <v>0</v>
      </c>
      <c r="V110">
        <v>0</v>
      </c>
      <c r="W110">
        <v>0</v>
      </c>
      <c r="X110">
        <v>0</v>
      </c>
      <c r="Y110">
        <v>0</v>
      </c>
      <c r="AC110">
        <v>0</v>
      </c>
      <c r="AE110">
        <v>0</v>
      </c>
      <c r="AF110">
        <v>2</v>
      </c>
      <c r="AG110">
        <v>0</v>
      </c>
      <c r="AH110">
        <v>0</v>
      </c>
      <c r="AI110">
        <v>0</v>
      </c>
      <c r="AM110">
        <v>0</v>
      </c>
      <c r="AR110" t="s">
        <v>872</v>
      </c>
      <c r="AS110" t="s">
        <v>3764</v>
      </c>
      <c r="AT110">
        <v>6</v>
      </c>
    </row>
    <row r="111" spans="1:46">
      <c r="A111">
        <v>110</v>
      </c>
      <c r="B111">
        <v>33</v>
      </c>
      <c r="C111" t="s">
        <v>74</v>
      </c>
      <c r="D111" t="s">
        <v>392</v>
      </c>
      <c r="E111" t="s">
        <v>393</v>
      </c>
      <c r="F111">
        <v>52939</v>
      </c>
      <c r="G111" s="1" t="s">
        <v>443</v>
      </c>
      <c r="H111" s="2" t="s">
        <v>459</v>
      </c>
      <c r="I111" s="2" t="s">
        <v>460</v>
      </c>
      <c r="K111" s="21">
        <v>0</v>
      </c>
      <c r="L111" s="21">
        <v>262055</v>
      </c>
      <c r="M111" s="21">
        <v>49790</v>
      </c>
      <c r="N111" s="21">
        <v>311845</v>
      </c>
      <c r="O111">
        <v>0</v>
      </c>
      <c r="P111">
        <v>0</v>
      </c>
      <c r="Q111">
        <v>0</v>
      </c>
      <c r="R111">
        <v>0</v>
      </c>
      <c r="S111">
        <v>0</v>
      </c>
      <c r="T111" t="s">
        <v>77</v>
      </c>
      <c r="U111">
        <v>0</v>
      </c>
      <c r="V111">
        <v>0</v>
      </c>
      <c r="W111">
        <v>0</v>
      </c>
      <c r="X111">
        <v>0</v>
      </c>
      <c r="Y111">
        <v>0</v>
      </c>
      <c r="AC111">
        <v>0</v>
      </c>
      <c r="AE111">
        <v>0</v>
      </c>
      <c r="AF111">
        <v>2</v>
      </c>
      <c r="AG111">
        <v>0</v>
      </c>
      <c r="AH111">
        <v>0</v>
      </c>
      <c r="AI111">
        <v>0</v>
      </c>
      <c r="AM111">
        <v>0</v>
      </c>
      <c r="AR111" t="s">
        <v>872</v>
      </c>
      <c r="AS111" t="s">
        <v>3765</v>
      </c>
      <c r="AT111">
        <v>6</v>
      </c>
    </row>
    <row r="112" spans="1:46">
      <c r="A112">
        <v>111</v>
      </c>
      <c r="B112">
        <v>33</v>
      </c>
      <c r="C112" t="s">
        <v>74</v>
      </c>
      <c r="D112" t="s">
        <v>218</v>
      </c>
      <c r="E112" t="s">
        <v>219</v>
      </c>
      <c r="F112">
        <v>52940</v>
      </c>
      <c r="G112" s="1" t="s">
        <v>443</v>
      </c>
      <c r="H112" s="2" t="s">
        <v>461</v>
      </c>
      <c r="I112" s="2"/>
      <c r="K112" s="21">
        <v>0</v>
      </c>
      <c r="L112" s="21">
        <v>2089311</v>
      </c>
      <c r="M112" s="21">
        <v>396969</v>
      </c>
      <c r="N112" s="21">
        <v>2486280</v>
      </c>
      <c r="O112">
        <v>0</v>
      </c>
      <c r="P112">
        <v>0</v>
      </c>
      <c r="Q112">
        <v>0</v>
      </c>
      <c r="R112">
        <v>0</v>
      </c>
      <c r="S112">
        <v>0</v>
      </c>
      <c r="T112" t="s">
        <v>77</v>
      </c>
      <c r="U112">
        <v>0</v>
      </c>
      <c r="V112">
        <v>0</v>
      </c>
      <c r="W112">
        <v>0</v>
      </c>
      <c r="X112">
        <v>0</v>
      </c>
      <c r="AC112">
        <v>0</v>
      </c>
      <c r="AE112">
        <v>0</v>
      </c>
      <c r="AF112">
        <v>2</v>
      </c>
      <c r="AG112">
        <v>0</v>
      </c>
      <c r="AH112">
        <v>0</v>
      </c>
      <c r="AI112">
        <v>0</v>
      </c>
      <c r="AM112">
        <v>0</v>
      </c>
      <c r="AR112" t="s">
        <v>872</v>
      </c>
      <c r="AS112" t="s">
        <v>937</v>
      </c>
      <c r="AT112">
        <v>6</v>
      </c>
    </row>
    <row r="113" spans="1:46">
      <c r="A113">
        <v>112</v>
      </c>
      <c r="B113">
        <v>33</v>
      </c>
      <c r="C113" t="s">
        <v>74</v>
      </c>
      <c r="D113" t="s">
        <v>218</v>
      </c>
      <c r="E113" t="s">
        <v>219</v>
      </c>
      <c r="F113">
        <v>52941</v>
      </c>
      <c r="G113" s="1" t="s">
        <v>443</v>
      </c>
      <c r="H113" s="2" t="s">
        <v>462</v>
      </c>
      <c r="I113" s="2"/>
      <c r="K113" s="21">
        <v>0</v>
      </c>
      <c r="L113" s="21">
        <v>2128878</v>
      </c>
      <c r="M113" s="21">
        <v>404487</v>
      </c>
      <c r="N113" s="21">
        <v>2533365</v>
      </c>
      <c r="O113">
        <v>0</v>
      </c>
      <c r="P113">
        <v>0</v>
      </c>
      <c r="Q113">
        <v>0</v>
      </c>
      <c r="R113">
        <v>0</v>
      </c>
      <c r="S113">
        <v>0</v>
      </c>
      <c r="T113" t="s">
        <v>77</v>
      </c>
      <c r="U113">
        <v>0</v>
      </c>
      <c r="V113">
        <v>0</v>
      </c>
      <c r="W113">
        <v>0</v>
      </c>
      <c r="X113">
        <v>0</v>
      </c>
      <c r="AC113">
        <v>0</v>
      </c>
      <c r="AE113">
        <v>0</v>
      </c>
      <c r="AF113">
        <v>2</v>
      </c>
      <c r="AG113">
        <v>0</v>
      </c>
      <c r="AH113">
        <v>0</v>
      </c>
      <c r="AI113">
        <v>0</v>
      </c>
      <c r="AM113">
        <v>0</v>
      </c>
      <c r="AR113" t="s">
        <v>872</v>
      </c>
      <c r="AS113" t="s">
        <v>937</v>
      </c>
      <c r="AT113">
        <v>6</v>
      </c>
    </row>
    <row r="114" spans="1:46">
      <c r="A114">
        <v>113</v>
      </c>
      <c r="B114">
        <v>33</v>
      </c>
      <c r="C114" t="s">
        <v>74</v>
      </c>
      <c r="D114" t="s">
        <v>119</v>
      </c>
      <c r="E114" t="s">
        <v>120</v>
      </c>
      <c r="F114">
        <v>52942</v>
      </c>
      <c r="G114" s="1" t="s">
        <v>443</v>
      </c>
      <c r="H114" s="2" t="s">
        <v>463</v>
      </c>
      <c r="I114" s="2" t="s">
        <v>464</v>
      </c>
      <c r="K114" s="21">
        <v>0</v>
      </c>
      <c r="L114" s="21">
        <v>214573</v>
      </c>
      <c r="M114" s="21">
        <v>40769</v>
      </c>
      <c r="N114" s="21">
        <v>255342</v>
      </c>
      <c r="O114">
        <v>0</v>
      </c>
      <c r="P114">
        <v>0</v>
      </c>
      <c r="Q114">
        <v>0</v>
      </c>
      <c r="R114">
        <v>0</v>
      </c>
      <c r="S114">
        <v>0</v>
      </c>
      <c r="T114" t="s">
        <v>77</v>
      </c>
      <c r="U114">
        <v>0</v>
      </c>
      <c r="V114">
        <v>0</v>
      </c>
      <c r="W114">
        <v>0</v>
      </c>
      <c r="X114">
        <v>0</v>
      </c>
      <c r="AC114">
        <v>0</v>
      </c>
      <c r="AE114">
        <v>0</v>
      </c>
      <c r="AF114">
        <v>2</v>
      </c>
      <c r="AG114">
        <v>0</v>
      </c>
      <c r="AH114">
        <v>0</v>
      </c>
      <c r="AI114">
        <v>0</v>
      </c>
      <c r="AM114">
        <v>0</v>
      </c>
      <c r="AR114" t="s">
        <v>872</v>
      </c>
      <c r="AS114" t="s">
        <v>943</v>
      </c>
      <c r="AT114">
        <v>6</v>
      </c>
    </row>
    <row r="115" spans="1:46">
      <c r="A115">
        <v>114</v>
      </c>
      <c r="B115">
        <v>33</v>
      </c>
      <c r="C115" t="s">
        <v>74</v>
      </c>
      <c r="D115" t="s">
        <v>197</v>
      </c>
      <c r="E115" t="s">
        <v>198</v>
      </c>
      <c r="F115">
        <v>52943</v>
      </c>
      <c r="G115" s="1" t="s">
        <v>443</v>
      </c>
      <c r="H115" s="2" t="s">
        <v>465</v>
      </c>
      <c r="I115" s="2"/>
      <c r="K115" s="21">
        <v>0</v>
      </c>
      <c r="L115" s="21">
        <v>33102</v>
      </c>
      <c r="M115" s="21">
        <v>6289</v>
      </c>
      <c r="N115" s="21">
        <v>39391</v>
      </c>
      <c r="O115">
        <v>0</v>
      </c>
      <c r="P115">
        <v>0</v>
      </c>
      <c r="Q115">
        <v>0</v>
      </c>
      <c r="R115">
        <v>0</v>
      </c>
      <c r="S115">
        <v>0</v>
      </c>
      <c r="T115" t="s">
        <v>77</v>
      </c>
      <c r="U115">
        <v>0</v>
      </c>
      <c r="V115">
        <v>0</v>
      </c>
      <c r="W115">
        <v>0</v>
      </c>
      <c r="X115">
        <v>0</v>
      </c>
      <c r="Y115">
        <v>0</v>
      </c>
      <c r="AC115">
        <v>0</v>
      </c>
      <c r="AE115">
        <v>0</v>
      </c>
      <c r="AF115">
        <v>2</v>
      </c>
      <c r="AG115">
        <v>0</v>
      </c>
      <c r="AH115">
        <v>0</v>
      </c>
      <c r="AI115">
        <v>0</v>
      </c>
      <c r="AM115">
        <v>0</v>
      </c>
      <c r="AR115" t="s">
        <v>872</v>
      </c>
      <c r="AS115" t="s">
        <v>989</v>
      </c>
      <c r="AT115">
        <v>6</v>
      </c>
    </row>
    <row r="116" spans="1:46">
      <c r="A116">
        <v>115</v>
      </c>
      <c r="B116">
        <v>33</v>
      </c>
      <c r="C116" t="s">
        <v>74</v>
      </c>
      <c r="D116" t="s">
        <v>195</v>
      </c>
      <c r="E116" t="s">
        <v>196</v>
      </c>
      <c r="F116">
        <v>52944</v>
      </c>
      <c r="G116" s="1" t="s">
        <v>443</v>
      </c>
      <c r="H116" s="2" t="s">
        <v>466</v>
      </c>
      <c r="I116" s="2"/>
      <c r="J116" s="2"/>
      <c r="K116" s="21">
        <v>0</v>
      </c>
      <c r="L116" s="21">
        <v>933466</v>
      </c>
      <c r="M116" s="21">
        <v>177358</v>
      </c>
      <c r="N116" s="21">
        <v>1110824</v>
      </c>
      <c r="O116">
        <v>0</v>
      </c>
      <c r="P116">
        <v>0</v>
      </c>
      <c r="Q116">
        <v>0</v>
      </c>
      <c r="R116">
        <v>0</v>
      </c>
      <c r="S116">
        <v>0</v>
      </c>
      <c r="T116" t="s">
        <v>77</v>
      </c>
      <c r="U116">
        <v>0</v>
      </c>
      <c r="V116">
        <v>0</v>
      </c>
      <c r="W116">
        <v>0</v>
      </c>
      <c r="X116">
        <v>0</v>
      </c>
      <c r="Y116">
        <v>0</v>
      </c>
      <c r="AC116">
        <v>0</v>
      </c>
      <c r="AE116">
        <v>0</v>
      </c>
      <c r="AF116">
        <v>2</v>
      </c>
      <c r="AG116">
        <v>0</v>
      </c>
      <c r="AH116">
        <v>0</v>
      </c>
      <c r="AI116">
        <v>0</v>
      </c>
      <c r="AM116">
        <v>0</v>
      </c>
      <c r="AR116" t="s">
        <v>872</v>
      </c>
      <c r="AS116" t="s">
        <v>988</v>
      </c>
      <c r="AT116">
        <v>6</v>
      </c>
    </row>
    <row r="117" spans="1:46">
      <c r="A117">
        <v>116</v>
      </c>
      <c r="B117">
        <v>33</v>
      </c>
      <c r="C117" t="s">
        <v>74</v>
      </c>
      <c r="D117" t="s">
        <v>117</v>
      </c>
      <c r="E117" t="s">
        <v>118</v>
      </c>
      <c r="F117">
        <v>52945</v>
      </c>
      <c r="G117" s="1" t="s">
        <v>443</v>
      </c>
      <c r="H117" s="2" t="s">
        <v>467</v>
      </c>
      <c r="I117" s="2"/>
      <c r="J117" s="2"/>
      <c r="K117" s="21">
        <v>0</v>
      </c>
      <c r="L117" s="21">
        <v>198610</v>
      </c>
      <c r="M117" s="21">
        <v>37736</v>
      </c>
      <c r="N117" s="21">
        <v>236346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77</v>
      </c>
      <c r="U117">
        <v>0</v>
      </c>
      <c r="V117">
        <v>0</v>
      </c>
      <c r="W117">
        <v>0</v>
      </c>
      <c r="X117">
        <v>0</v>
      </c>
      <c r="Y117">
        <v>0</v>
      </c>
      <c r="AC117">
        <v>0</v>
      </c>
      <c r="AE117">
        <v>0</v>
      </c>
      <c r="AF117">
        <v>2</v>
      </c>
      <c r="AG117">
        <v>0</v>
      </c>
      <c r="AH117">
        <v>0</v>
      </c>
      <c r="AI117">
        <v>0</v>
      </c>
      <c r="AM117">
        <v>0</v>
      </c>
      <c r="AR117" t="s">
        <v>872</v>
      </c>
      <c r="AS117" t="s">
        <v>1026</v>
      </c>
      <c r="AT117">
        <v>6</v>
      </c>
    </row>
    <row r="118" spans="1:46">
      <c r="A118">
        <v>117</v>
      </c>
      <c r="B118">
        <v>33</v>
      </c>
      <c r="C118" t="s">
        <v>74</v>
      </c>
      <c r="D118" t="s">
        <v>280</v>
      </c>
      <c r="E118" t="s">
        <v>281</v>
      </c>
      <c r="F118">
        <v>52946</v>
      </c>
      <c r="G118" s="1" t="s">
        <v>443</v>
      </c>
      <c r="H118" s="2" t="s">
        <v>468</v>
      </c>
      <c r="I118" s="2"/>
      <c r="K118" s="21">
        <v>0</v>
      </c>
      <c r="L118" s="21">
        <v>1065873</v>
      </c>
      <c r="M118" s="21">
        <v>202515</v>
      </c>
      <c r="N118" s="21">
        <v>1268388</v>
      </c>
      <c r="O118">
        <v>0</v>
      </c>
      <c r="P118">
        <v>0</v>
      </c>
      <c r="Q118">
        <v>0</v>
      </c>
      <c r="R118">
        <v>0</v>
      </c>
      <c r="S118">
        <v>0</v>
      </c>
      <c r="T118" t="s">
        <v>77</v>
      </c>
      <c r="U118">
        <v>0</v>
      </c>
      <c r="V118">
        <v>0</v>
      </c>
      <c r="W118">
        <v>0</v>
      </c>
      <c r="X118">
        <v>0</v>
      </c>
      <c r="Y118">
        <v>0</v>
      </c>
      <c r="AC118">
        <v>0</v>
      </c>
      <c r="AE118">
        <v>0</v>
      </c>
      <c r="AF118">
        <v>2</v>
      </c>
      <c r="AG118">
        <v>0</v>
      </c>
      <c r="AH118">
        <v>0</v>
      </c>
      <c r="AI118">
        <v>0</v>
      </c>
      <c r="AM118">
        <v>0</v>
      </c>
      <c r="AR118" t="s">
        <v>872</v>
      </c>
      <c r="AS118" t="s">
        <v>1025</v>
      </c>
      <c r="AT118">
        <v>6</v>
      </c>
    </row>
    <row r="119" spans="1:46">
      <c r="A119">
        <v>118</v>
      </c>
      <c r="B119">
        <v>33</v>
      </c>
      <c r="C119" t="s">
        <v>74</v>
      </c>
      <c r="D119" t="s">
        <v>232</v>
      </c>
      <c r="E119" t="s">
        <v>233</v>
      </c>
      <c r="F119">
        <v>52947</v>
      </c>
      <c r="G119" s="1" t="s">
        <v>443</v>
      </c>
      <c r="H119" s="2" t="s">
        <v>469</v>
      </c>
      <c r="I119" s="2" t="s">
        <v>470</v>
      </c>
      <c r="K119" s="21">
        <v>0</v>
      </c>
      <c r="L119" s="21">
        <v>2780537</v>
      </c>
      <c r="M119" s="21">
        <v>528302</v>
      </c>
      <c r="N119" s="21">
        <v>3308839</v>
      </c>
      <c r="O119">
        <v>0</v>
      </c>
      <c r="P119">
        <v>0</v>
      </c>
      <c r="Q119">
        <v>0</v>
      </c>
      <c r="R119">
        <v>0</v>
      </c>
      <c r="S119">
        <v>0</v>
      </c>
      <c r="T119" t="s">
        <v>77</v>
      </c>
      <c r="U119">
        <v>0</v>
      </c>
      <c r="V119">
        <v>0</v>
      </c>
      <c r="W119">
        <v>0</v>
      </c>
      <c r="X119">
        <v>0</v>
      </c>
      <c r="AC119">
        <v>0</v>
      </c>
      <c r="AE119">
        <v>0</v>
      </c>
      <c r="AF119">
        <v>2</v>
      </c>
      <c r="AG119">
        <v>0</v>
      </c>
      <c r="AH119">
        <v>0</v>
      </c>
      <c r="AI119">
        <v>0</v>
      </c>
      <c r="AM119">
        <v>0</v>
      </c>
      <c r="AR119" t="s">
        <v>872</v>
      </c>
      <c r="AS119" t="s">
        <v>3758</v>
      </c>
      <c r="AT119">
        <v>6</v>
      </c>
    </row>
    <row r="120" spans="1:46">
      <c r="A120">
        <v>119</v>
      </c>
      <c r="B120">
        <v>33</v>
      </c>
      <c r="C120" t="s">
        <v>74</v>
      </c>
      <c r="D120" t="s">
        <v>335</v>
      </c>
      <c r="E120" t="s">
        <v>336</v>
      </c>
      <c r="F120">
        <v>52948</v>
      </c>
      <c r="G120" s="1" t="s">
        <v>443</v>
      </c>
      <c r="H120" s="2" t="s">
        <v>471</v>
      </c>
      <c r="I120" s="2"/>
      <c r="K120" s="21">
        <v>0</v>
      </c>
      <c r="L120" s="21">
        <v>418828</v>
      </c>
      <c r="M120" s="21">
        <v>79577</v>
      </c>
      <c r="N120" s="21">
        <v>498405</v>
      </c>
      <c r="O120">
        <v>0</v>
      </c>
      <c r="P120">
        <v>0</v>
      </c>
      <c r="Q120">
        <v>0</v>
      </c>
      <c r="R120">
        <v>0</v>
      </c>
      <c r="S120">
        <v>0</v>
      </c>
      <c r="T120" t="s">
        <v>77</v>
      </c>
      <c r="U120">
        <v>0</v>
      </c>
      <c r="V120">
        <v>0</v>
      </c>
      <c r="W120">
        <v>0</v>
      </c>
      <c r="X120">
        <v>0</v>
      </c>
      <c r="AC120">
        <v>0</v>
      </c>
      <c r="AE120">
        <v>0</v>
      </c>
      <c r="AF120">
        <v>2</v>
      </c>
      <c r="AG120">
        <v>0</v>
      </c>
      <c r="AH120">
        <v>0</v>
      </c>
      <c r="AI120">
        <v>0</v>
      </c>
      <c r="AM120">
        <v>0</v>
      </c>
      <c r="AR120" t="s">
        <v>872</v>
      </c>
      <c r="AS120" t="s">
        <v>985</v>
      </c>
      <c r="AT120">
        <v>6</v>
      </c>
    </row>
    <row r="121" spans="1:46">
      <c r="A121">
        <v>120</v>
      </c>
      <c r="B121">
        <v>33</v>
      </c>
      <c r="C121" t="s">
        <v>74</v>
      </c>
      <c r="D121" t="s">
        <v>296</v>
      </c>
      <c r="E121" t="s">
        <v>297</v>
      </c>
      <c r="F121">
        <v>52949</v>
      </c>
      <c r="G121" s="1" t="s">
        <v>443</v>
      </c>
      <c r="H121" s="2" t="s">
        <v>472</v>
      </c>
      <c r="I121" s="2" t="s">
        <v>473</v>
      </c>
      <c r="K121" s="21">
        <v>0</v>
      </c>
      <c r="L121" s="21">
        <v>165508</v>
      </c>
      <c r="M121" s="21">
        <v>31447</v>
      </c>
      <c r="N121" s="21">
        <v>196955</v>
      </c>
      <c r="O121">
        <v>0</v>
      </c>
      <c r="P121">
        <v>0</v>
      </c>
      <c r="Q121">
        <v>0</v>
      </c>
      <c r="R121">
        <v>0</v>
      </c>
      <c r="S121">
        <v>0</v>
      </c>
      <c r="T121" t="s">
        <v>77</v>
      </c>
      <c r="U121">
        <v>0</v>
      </c>
      <c r="V121">
        <v>0</v>
      </c>
      <c r="W121">
        <v>0</v>
      </c>
      <c r="X121">
        <v>0</v>
      </c>
      <c r="AC121">
        <v>0</v>
      </c>
      <c r="AE121">
        <v>0</v>
      </c>
      <c r="AF121">
        <v>2</v>
      </c>
      <c r="AG121">
        <v>0</v>
      </c>
      <c r="AH121">
        <v>0</v>
      </c>
      <c r="AI121">
        <v>0</v>
      </c>
      <c r="AM121">
        <v>0</v>
      </c>
      <c r="AR121" t="s">
        <v>872</v>
      </c>
      <c r="AS121" t="s">
        <v>3766</v>
      </c>
      <c r="AT121">
        <v>6</v>
      </c>
    </row>
    <row r="122" spans="1:46">
      <c r="A122">
        <v>121</v>
      </c>
      <c r="B122">
        <v>33</v>
      </c>
      <c r="C122" t="s">
        <v>74</v>
      </c>
      <c r="D122" t="s">
        <v>282</v>
      </c>
      <c r="E122" t="s">
        <v>283</v>
      </c>
      <c r="F122">
        <v>52950</v>
      </c>
      <c r="G122" s="1" t="s">
        <v>443</v>
      </c>
      <c r="H122" s="2" t="s">
        <v>474</v>
      </c>
      <c r="I122" s="2"/>
      <c r="K122" s="21">
        <v>0</v>
      </c>
      <c r="L122" s="21">
        <v>271434</v>
      </c>
      <c r="M122" s="21">
        <v>51572</v>
      </c>
      <c r="N122" s="21">
        <v>323006</v>
      </c>
      <c r="O122">
        <v>0</v>
      </c>
      <c r="P122">
        <v>0</v>
      </c>
      <c r="Q122">
        <v>0</v>
      </c>
      <c r="R122">
        <v>0</v>
      </c>
      <c r="S122">
        <v>0</v>
      </c>
      <c r="T122" t="s">
        <v>77</v>
      </c>
      <c r="U122">
        <v>0</v>
      </c>
      <c r="V122">
        <v>0</v>
      </c>
      <c r="W122">
        <v>0</v>
      </c>
      <c r="X122">
        <v>0</v>
      </c>
      <c r="Y122">
        <v>0</v>
      </c>
      <c r="AC122">
        <v>0</v>
      </c>
      <c r="AE122">
        <v>0</v>
      </c>
      <c r="AF122">
        <v>2</v>
      </c>
      <c r="AG122">
        <v>0</v>
      </c>
      <c r="AH122">
        <v>0</v>
      </c>
      <c r="AI122">
        <v>0</v>
      </c>
      <c r="AM122">
        <v>0</v>
      </c>
      <c r="AR122" t="s">
        <v>872</v>
      </c>
      <c r="AS122" t="s">
        <v>1024</v>
      </c>
      <c r="AT122">
        <v>6</v>
      </c>
    </row>
    <row r="123" spans="1:46">
      <c r="A123">
        <v>122</v>
      </c>
      <c r="B123">
        <v>33</v>
      </c>
      <c r="C123" t="s">
        <v>74</v>
      </c>
      <c r="D123" t="s">
        <v>363</v>
      </c>
      <c r="E123" t="s">
        <v>364</v>
      </c>
      <c r="F123">
        <v>52951</v>
      </c>
      <c r="G123" s="1" t="s">
        <v>443</v>
      </c>
      <c r="H123" s="2" t="s">
        <v>475</v>
      </c>
      <c r="I123" s="2"/>
      <c r="K123" s="21">
        <v>0</v>
      </c>
      <c r="L123" s="21">
        <v>271250</v>
      </c>
      <c r="M123" s="21">
        <v>51538</v>
      </c>
      <c r="N123" s="21">
        <v>322788</v>
      </c>
      <c r="O123">
        <v>0</v>
      </c>
      <c r="P123">
        <v>0</v>
      </c>
      <c r="Q123">
        <v>0</v>
      </c>
      <c r="R123">
        <v>0</v>
      </c>
      <c r="S123">
        <v>0</v>
      </c>
      <c r="T123" t="s">
        <v>77</v>
      </c>
      <c r="U123">
        <v>0</v>
      </c>
      <c r="V123">
        <v>0</v>
      </c>
      <c r="W123">
        <v>0</v>
      </c>
      <c r="X123">
        <v>0</v>
      </c>
      <c r="Y123">
        <v>0</v>
      </c>
      <c r="AC123">
        <v>0</v>
      </c>
      <c r="AE123">
        <v>0</v>
      </c>
      <c r="AF123">
        <v>2</v>
      </c>
      <c r="AG123">
        <v>0</v>
      </c>
      <c r="AH123">
        <v>0</v>
      </c>
      <c r="AI123">
        <v>0</v>
      </c>
      <c r="AM123">
        <v>0</v>
      </c>
      <c r="AR123" t="s">
        <v>872</v>
      </c>
      <c r="AS123" t="s">
        <v>3767</v>
      </c>
      <c r="AT123">
        <v>6</v>
      </c>
    </row>
    <row r="124" spans="1:46">
      <c r="A124">
        <v>123</v>
      </c>
      <c r="B124">
        <v>33</v>
      </c>
      <c r="C124" t="s">
        <v>74</v>
      </c>
      <c r="D124" t="s">
        <v>226</v>
      </c>
      <c r="E124" t="s">
        <v>227</v>
      </c>
      <c r="F124">
        <v>52952</v>
      </c>
      <c r="G124" s="1" t="s">
        <v>443</v>
      </c>
      <c r="H124" s="2" t="s">
        <v>476</v>
      </c>
      <c r="I124" s="2" t="s">
        <v>477</v>
      </c>
      <c r="K124" s="21">
        <v>0</v>
      </c>
      <c r="L124" s="21">
        <v>305909</v>
      </c>
      <c r="M124" s="21">
        <v>58123</v>
      </c>
      <c r="N124" s="21">
        <v>364032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77</v>
      </c>
      <c r="U124">
        <v>0</v>
      </c>
      <c r="V124">
        <v>0</v>
      </c>
      <c r="W124">
        <v>0</v>
      </c>
      <c r="X124">
        <v>0</v>
      </c>
      <c r="AC124">
        <v>0</v>
      </c>
      <c r="AE124">
        <v>0</v>
      </c>
      <c r="AF124">
        <v>2</v>
      </c>
      <c r="AG124">
        <v>0</v>
      </c>
      <c r="AH124">
        <v>0</v>
      </c>
      <c r="AI124">
        <v>0</v>
      </c>
      <c r="AM124">
        <v>0</v>
      </c>
      <c r="AR124" t="s">
        <v>872</v>
      </c>
      <c r="AS124" t="s">
        <v>930</v>
      </c>
      <c r="AT124">
        <v>6</v>
      </c>
    </row>
    <row r="125" spans="1:46">
      <c r="A125">
        <v>124</v>
      </c>
      <c r="B125">
        <v>33</v>
      </c>
      <c r="C125" t="s">
        <v>74</v>
      </c>
      <c r="D125" t="s">
        <v>296</v>
      </c>
      <c r="E125" t="s">
        <v>297</v>
      </c>
      <c r="F125">
        <v>52953</v>
      </c>
      <c r="G125" s="1" t="s">
        <v>478</v>
      </c>
      <c r="H125" s="2" t="s">
        <v>479</v>
      </c>
      <c r="I125" s="2" t="s">
        <v>480</v>
      </c>
      <c r="K125" s="21">
        <v>0</v>
      </c>
      <c r="L125" s="21">
        <v>167125</v>
      </c>
      <c r="M125" s="21">
        <v>31754</v>
      </c>
      <c r="N125" s="21">
        <v>198879</v>
      </c>
      <c r="O125">
        <v>0</v>
      </c>
      <c r="P125">
        <v>0</v>
      </c>
      <c r="Q125">
        <v>0</v>
      </c>
      <c r="R125">
        <v>0</v>
      </c>
      <c r="S125">
        <v>0</v>
      </c>
      <c r="T125" t="s">
        <v>77</v>
      </c>
      <c r="U125">
        <v>0</v>
      </c>
      <c r="V125">
        <v>0</v>
      </c>
      <c r="W125">
        <v>0</v>
      </c>
      <c r="X125">
        <v>0</v>
      </c>
      <c r="AC125">
        <v>0</v>
      </c>
      <c r="AE125">
        <v>0</v>
      </c>
      <c r="AF125">
        <v>2</v>
      </c>
      <c r="AG125">
        <v>0</v>
      </c>
      <c r="AH125">
        <v>0</v>
      </c>
      <c r="AI125">
        <v>0</v>
      </c>
      <c r="AM125">
        <v>0</v>
      </c>
      <c r="AR125" t="s">
        <v>872</v>
      </c>
      <c r="AS125" t="s">
        <v>3766</v>
      </c>
      <c r="AT125">
        <v>6</v>
      </c>
    </row>
    <row r="126" spans="1:46">
      <c r="A126">
        <v>125</v>
      </c>
      <c r="B126">
        <v>33</v>
      </c>
      <c r="C126" t="s">
        <v>74</v>
      </c>
      <c r="D126" t="s">
        <v>288</v>
      </c>
      <c r="E126" t="s">
        <v>289</v>
      </c>
      <c r="F126">
        <v>52954</v>
      </c>
      <c r="G126" s="1" t="s">
        <v>478</v>
      </c>
      <c r="H126" s="2" t="s">
        <v>481</v>
      </c>
      <c r="I126" s="2"/>
      <c r="K126" s="21">
        <v>0</v>
      </c>
      <c r="L126" s="21">
        <v>4010990</v>
      </c>
      <c r="M126" s="21">
        <v>762088</v>
      </c>
      <c r="N126" s="21">
        <v>4773078</v>
      </c>
      <c r="O126">
        <v>0</v>
      </c>
      <c r="P126">
        <v>0</v>
      </c>
      <c r="Q126">
        <v>0</v>
      </c>
      <c r="R126">
        <v>0</v>
      </c>
      <c r="S126">
        <v>0</v>
      </c>
      <c r="T126" t="s">
        <v>77</v>
      </c>
      <c r="U126">
        <v>0</v>
      </c>
      <c r="V126">
        <v>0</v>
      </c>
      <c r="W126">
        <v>0</v>
      </c>
      <c r="X126">
        <v>0</v>
      </c>
      <c r="AC126">
        <v>0</v>
      </c>
      <c r="AE126">
        <v>0</v>
      </c>
      <c r="AF126">
        <v>2</v>
      </c>
      <c r="AG126">
        <v>0</v>
      </c>
      <c r="AH126">
        <v>0</v>
      </c>
      <c r="AI126">
        <v>0</v>
      </c>
      <c r="AM126">
        <v>0</v>
      </c>
      <c r="AR126" t="s">
        <v>872</v>
      </c>
      <c r="AS126" t="s">
        <v>3768</v>
      </c>
      <c r="AT126">
        <v>6</v>
      </c>
    </row>
    <row r="127" spans="1:46">
      <c r="A127">
        <v>126</v>
      </c>
      <c r="B127">
        <v>33</v>
      </c>
      <c r="C127" t="s">
        <v>74</v>
      </c>
      <c r="D127" t="s">
        <v>115</v>
      </c>
      <c r="E127" t="s">
        <v>116</v>
      </c>
      <c r="F127">
        <v>52955</v>
      </c>
      <c r="G127" s="1" t="s">
        <v>478</v>
      </c>
      <c r="H127" s="2" t="s">
        <v>482</v>
      </c>
      <c r="I127" s="2"/>
      <c r="K127" s="21">
        <v>0</v>
      </c>
      <c r="L127" s="21">
        <v>903170</v>
      </c>
      <c r="M127" s="21">
        <v>171603</v>
      </c>
      <c r="N127" s="21">
        <v>1074773</v>
      </c>
      <c r="O127">
        <v>0</v>
      </c>
      <c r="P127">
        <v>0</v>
      </c>
      <c r="Q127">
        <v>0</v>
      </c>
      <c r="R127">
        <v>0</v>
      </c>
      <c r="S127">
        <v>0</v>
      </c>
      <c r="T127" t="s">
        <v>77</v>
      </c>
      <c r="U127">
        <v>0</v>
      </c>
      <c r="V127">
        <v>0</v>
      </c>
      <c r="W127">
        <v>0</v>
      </c>
      <c r="X127">
        <v>0</v>
      </c>
      <c r="Y127">
        <v>0</v>
      </c>
      <c r="AC127">
        <v>0</v>
      </c>
      <c r="AE127">
        <v>0</v>
      </c>
      <c r="AF127">
        <v>2</v>
      </c>
      <c r="AG127">
        <v>0</v>
      </c>
      <c r="AH127">
        <v>0</v>
      </c>
      <c r="AI127">
        <v>0</v>
      </c>
      <c r="AM127">
        <v>0</v>
      </c>
      <c r="AR127" t="s">
        <v>872</v>
      </c>
      <c r="AS127" t="s">
        <v>955</v>
      </c>
      <c r="AT127">
        <v>6</v>
      </c>
    </row>
    <row r="128" spans="1:46">
      <c r="A128">
        <v>127</v>
      </c>
      <c r="B128">
        <v>33</v>
      </c>
      <c r="C128" t="s">
        <v>74</v>
      </c>
      <c r="D128" t="s">
        <v>358</v>
      </c>
      <c r="E128" t="s">
        <v>359</v>
      </c>
      <c r="F128">
        <v>52956</v>
      </c>
      <c r="G128" s="1" t="s">
        <v>478</v>
      </c>
      <c r="H128" s="2" t="s">
        <v>483</v>
      </c>
      <c r="I128" s="2"/>
      <c r="K128" s="21">
        <v>0</v>
      </c>
      <c r="L128" s="21">
        <v>22461546</v>
      </c>
      <c r="M128" s="21">
        <v>4267694</v>
      </c>
      <c r="N128" s="21">
        <v>26729240</v>
      </c>
      <c r="O128">
        <v>0</v>
      </c>
      <c r="P128">
        <v>0</v>
      </c>
      <c r="Q128">
        <v>0</v>
      </c>
      <c r="R128">
        <v>0</v>
      </c>
      <c r="S128">
        <v>0</v>
      </c>
      <c r="T128" t="s">
        <v>77</v>
      </c>
      <c r="U128">
        <v>0</v>
      </c>
      <c r="V128">
        <v>0</v>
      </c>
      <c r="W128">
        <v>0</v>
      </c>
      <c r="X128">
        <v>0</v>
      </c>
      <c r="AC128">
        <v>0</v>
      </c>
      <c r="AE128">
        <v>0</v>
      </c>
      <c r="AF128">
        <v>2</v>
      </c>
      <c r="AG128">
        <v>0</v>
      </c>
      <c r="AH128">
        <v>0</v>
      </c>
      <c r="AI128">
        <v>0</v>
      </c>
      <c r="AM128">
        <v>0</v>
      </c>
      <c r="AR128" t="s">
        <v>872</v>
      </c>
      <c r="AS128" t="s">
        <v>1037</v>
      </c>
      <c r="AT128">
        <v>6</v>
      </c>
    </row>
    <row r="129" spans="1:46">
      <c r="A129">
        <v>128</v>
      </c>
      <c r="B129">
        <v>33</v>
      </c>
      <c r="C129" t="s">
        <v>74</v>
      </c>
      <c r="D129" t="s">
        <v>216</v>
      </c>
      <c r="E129" t="s">
        <v>217</v>
      </c>
      <c r="F129">
        <v>52957</v>
      </c>
      <c r="G129" s="1" t="s">
        <v>478</v>
      </c>
      <c r="H129" s="2" t="s">
        <v>484</v>
      </c>
      <c r="I129" s="2"/>
      <c r="K129" s="21">
        <v>0</v>
      </c>
      <c r="L129" s="21">
        <v>11275340</v>
      </c>
      <c r="M129" s="21">
        <v>2142315</v>
      </c>
      <c r="N129" s="21">
        <v>13417655</v>
      </c>
      <c r="O129">
        <v>0</v>
      </c>
      <c r="P129">
        <v>0</v>
      </c>
      <c r="Q129">
        <v>0</v>
      </c>
      <c r="R129">
        <v>0</v>
      </c>
      <c r="S129">
        <v>0</v>
      </c>
      <c r="T129" t="s">
        <v>77</v>
      </c>
      <c r="U129">
        <v>0</v>
      </c>
      <c r="V129">
        <v>0</v>
      </c>
      <c r="W129">
        <v>0</v>
      </c>
      <c r="X129">
        <v>0</v>
      </c>
      <c r="AC129">
        <v>0</v>
      </c>
      <c r="AE129">
        <v>0</v>
      </c>
      <c r="AF129">
        <v>2</v>
      </c>
      <c r="AG129">
        <v>0</v>
      </c>
      <c r="AH129">
        <v>0</v>
      </c>
      <c r="AI129">
        <v>0</v>
      </c>
      <c r="AM129">
        <v>0</v>
      </c>
      <c r="AR129" t="s">
        <v>872</v>
      </c>
      <c r="AS129" t="s">
        <v>944</v>
      </c>
      <c r="AT129">
        <v>6</v>
      </c>
    </row>
    <row r="130" spans="1:46">
      <c r="A130">
        <v>129</v>
      </c>
      <c r="B130">
        <v>33</v>
      </c>
      <c r="C130" t="s">
        <v>74</v>
      </c>
      <c r="D130" t="s">
        <v>286</v>
      </c>
      <c r="E130" t="s">
        <v>287</v>
      </c>
      <c r="F130">
        <v>52958</v>
      </c>
      <c r="G130" s="1" t="s">
        <v>478</v>
      </c>
      <c r="H130" s="2" t="s">
        <v>485</v>
      </c>
      <c r="I130" s="2"/>
      <c r="J130" s="2" t="s">
        <v>486</v>
      </c>
      <c r="K130" s="21">
        <v>0</v>
      </c>
      <c r="L130" s="21">
        <v>5359815</v>
      </c>
      <c r="M130" s="21">
        <v>1018365</v>
      </c>
      <c r="N130" s="21">
        <v>6378180</v>
      </c>
      <c r="O130">
        <v>0</v>
      </c>
      <c r="P130">
        <v>0</v>
      </c>
      <c r="Q130">
        <v>0</v>
      </c>
      <c r="R130">
        <v>0</v>
      </c>
      <c r="S130">
        <v>0</v>
      </c>
      <c r="T130" t="s">
        <v>77</v>
      </c>
      <c r="U130">
        <v>0</v>
      </c>
      <c r="V130">
        <v>0</v>
      </c>
      <c r="W130">
        <v>0</v>
      </c>
      <c r="X130">
        <v>0</v>
      </c>
      <c r="AC130">
        <v>0</v>
      </c>
      <c r="AE130">
        <v>0</v>
      </c>
      <c r="AF130">
        <v>2</v>
      </c>
      <c r="AG130">
        <v>0</v>
      </c>
      <c r="AH130">
        <v>0</v>
      </c>
      <c r="AI130">
        <v>0</v>
      </c>
      <c r="AM130">
        <v>0</v>
      </c>
      <c r="AR130" t="s">
        <v>872</v>
      </c>
      <c r="AS130" t="s">
        <v>3769</v>
      </c>
      <c r="AT130">
        <v>6</v>
      </c>
    </row>
    <row r="131" spans="1:46">
      <c r="A131">
        <v>130</v>
      </c>
      <c r="B131">
        <v>33</v>
      </c>
      <c r="C131" t="s">
        <v>74</v>
      </c>
      <c r="D131" t="s">
        <v>286</v>
      </c>
      <c r="E131" t="s">
        <v>287</v>
      </c>
      <c r="F131">
        <v>52959</v>
      </c>
      <c r="G131" s="1" t="s">
        <v>478</v>
      </c>
      <c r="H131" s="2" t="s">
        <v>488</v>
      </c>
      <c r="I131" s="2"/>
      <c r="J131" s="2"/>
      <c r="K131" s="21">
        <v>0</v>
      </c>
      <c r="L131" s="21">
        <v>2123052</v>
      </c>
      <c r="M131" s="21">
        <v>403380</v>
      </c>
      <c r="N131" s="21">
        <v>2526432</v>
      </c>
      <c r="O131">
        <v>0</v>
      </c>
      <c r="P131">
        <v>0</v>
      </c>
      <c r="Q131">
        <v>0</v>
      </c>
      <c r="R131">
        <v>0</v>
      </c>
      <c r="S131">
        <v>0</v>
      </c>
      <c r="T131" t="s">
        <v>77</v>
      </c>
      <c r="U131">
        <v>0</v>
      </c>
      <c r="V131">
        <v>0</v>
      </c>
      <c r="W131">
        <v>0</v>
      </c>
      <c r="X131">
        <v>0</v>
      </c>
      <c r="AC131">
        <v>0</v>
      </c>
      <c r="AE131">
        <v>0</v>
      </c>
      <c r="AF131">
        <v>2</v>
      </c>
      <c r="AG131">
        <v>0</v>
      </c>
      <c r="AH131">
        <v>0</v>
      </c>
      <c r="AI131">
        <v>0</v>
      </c>
      <c r="AM131">
        <v>0</v>
      </c>
      <c r="AR131" t="s">
        <v>872</v>
      </c>
      <c r="AS131" t="s">
        <v>3769</v>
      </c>
      <c r="AT131">
        <v>6</v>
      </c>
    </row>
    <row r="132" spans="1:46">
      <c r="A132">
        <v>131</v>
      </c>
      <c r="B132">
        <v>33</v>
      </c>
      <c r="C132" t="s">
        <v>74</v>
      </c>
      <c r="D132" t="s">
        <v>489</v>
      </c>
      <c r="E132" t="s">
        <v>490</v>
      </c>
      <c r="F132">
        <v>52960</v>
      </c>
      <c r="G132" s="1" t="s">
        <v>478</v>
      </c>
      <c r="H132" s="2" t="s">
        <v>491</v>
      </c>
      <c r="I132" s="2"/>
      <c r="J132" s="2"/>
      <c r="K132" s="21">
        <v>0</v>
      </c>
      <c r="L132" s="21">
        <v>1203297</v>
      </c>
      <c r="M132" s="21">
        <v>228626</v>
      </c>
      <c r="N132" s="21">
        <v>1431923</v>
      </c>
      <c r="O132">
        <v>0</v>
      </c>
      <c r="P132">
        <v>0</v>
      </c>
      <c r="Q132">
        <v>0</v>
      </c>
      <c r="R132">
        <v>0</v>
      </c>
      <c r="S132">
        <v>0</v>
      </c>
      <c r="T132" t="s">
        <v>77</v>
      </c>
      <c r="U132">
        <v>0</v>
      </c>
      <c r="V132">
        <v>0</v>
      </c>
      <c r="W132">
        <v>0</v>
      </c>
      <c r="X132">
        <v>0</v>
      </c>
      <c r="AC132">
        <v>0</v>
      </c>
      <c r="AE132">
        <v>0</v>
      </c>
      <c r="AF132">
        <v>2</v>
      </c>
      <c r="AG132">
        <v>0</v>
      </c>
      <c r="AH132">
        <v>0</v>
      </c>
      <c r="AI132">
        <v>0</v>
      </c>
      <c r="AM132">
        <v>0</v>
      </c>
      <c r="AR132" t="s">
        <v>872</v>
      </c>
      <c r="AS132" t="s">
        <v>3770</v>
      </c>
      <c r="AT132">
        <v>6</v>
      </c>
    </row>
    <row r="133" spans="1:46">
      <c r="A133">
        <v>132</v>
      </c>
      <c r="B133">
        <v>33</v>
      </c>
      <c r="C133" t="s">
        <v>74</v>
      </c>
      <c r="D133" t="s">
        <v>214</v>
      </c>
      <c r="E133" t="s">
        <v>215</v>
      </c>
      <c r="F133">
        <v>52961</v>
      </c>
      <c r="G133" s="1" t="s">
        <v>492</v>
      </c>
      <c r="H133" s="2" t="s">
        <v>493</v>
      </c>
      <c r="I133" s="2" t="s">
        <v>494</v>
      </c>
      <c r="K133" s="21">
        <v>0</v>
      </c>
      <c r="L133" s="21">
        <v>1426021</v>
      </c>
      <c r="M133" s="21">
        <v>270944</v>
      </c>
      <c r="N133" s="21">
        <v>1696965</v>
      </c>
      <c r="O133">
        <v>0</v>
      </c>
      <c r="P133">
        <v>0</v>
      </c>
      <c r="Q133">
        <v>0</v>
      </c>
      <c r="R133">
        <v>0</v>
      </c>
      <c r="S133">
        <v>0</v>
      </c>
      <c r="T133" t="s">
        <v>77</v>
      </c>
      <c r="U133">
        <v>0</v>
      </c>
      <c r="V133">
        <v>0</v>
      </c>
      <c r="W133">
        <v>0</v>
      </c>
      <c r="X133">
        <v>0</v>
      </c>
      <c r="AC133">
        <v>0</v>
      </c>
      <c r="AE133">
        <v>0</v>
      </c>
      <c r="AF133">
        <v>2</v>
      </c>
      <c r="AG133">
        <v>0</v>
      </c>
      <c r="AH133">
        <v>0</v>
      </c>
      <c r="AI133">
        <v>0</v>
      </c>
      <c r="AM133">
        <v>0</v>
      </c>
      <c r="AR133" t="s">
        <v>872</v>
      </c>
      <c r="AS133" t="s">
        <v>1039</v>
      </c>
      <c r="AT133">
        <v>6</v>
      </c>
    </row>
    <row r="134" spans="1:46">
      <c r="A134">
        <v>133</v>
      </c>
      <c r="B134">
        <v>33</v>
      </c>
      <c r="C134" t="s">
        <v>74</v>
      </c>
      <c r="D134" t="s">
        <v>121</v>
      </c>
      <c r="E134" t="s">
        <v>122</v>
      </c>
      <c r="F134">
        <v>52962</v>
      </c>
      <c r="G134" s="1" t="s">
        <v>492</v>
      </c>
      <c r="H134" s="2" t="s">
        <v>495</v>
      </c>
      <c r="I134" s="2" t="s">
        <v>496</v>
      </c>
      <c r="J134" s="2"/>
      <c r="K134" s="21">
        <v>0</v>
      </c>
      <c r="L134" s="21">
        <v>4552598</v>
      </c>
      <c r="M134" s="21">
        <v>864994</v>
      </c>
      <c r="N134" s="21">
        <v>5417592</v>
      </c>
      <c r="O134">
        <v>0</v>
      </c>
      <c r="P134">
        <v>0</v>
      </c>
      <c r="Q134">
        <v>0</v>
      </c>
      <c r="R134">
        <v>0</v>
      </c>
      <c r="S134">
        <v>0</v>
      </c>
      <c r="T134" t="s">
        <v>77</v>
      </c>
      <c r="U134">
        <v>0</v>
      </c>
      <c r="V134">
        <v>0</v>
      </c>
      <c r="W134">
        <v>0</v>
      </c>
      <c r="X134">
        <v>0</v>
      </c>
      <c r="AC134">
        <v>0</v>
      </c>
      <c r="AE134">
        <v>0</v>
      </c>
      <c r="AF134">
        <v>2</v>
      </c>
      <c r="AG134">
        <v>0</v>
      </c>
      <c r="AH134">
        <v>0</v>
      </c>
      <c r="AI134">
        <v>0</v>
      </c>
      <c r="AM134">
        <v>0</v>
      </c>
      <c r="AR134" t="s">
        <v>872</v>
      </c>
      <c r="AS134" t="s">
        <v>1019</v>
      </c>
      <c r="AT134">
        <v>6</v>
      </c>
    </row>
    <row r="135" spans="1:46">
      <c r="A135">
        <v>134</v>
      </c>
      <c r="B135">
        <v>33</v>
      </c>
      <c r="C135" t="s">
        <v>74</v>
      </c>
      <c r="D135" t="s">
        <v>216</v>
      </c>
      <c r="E135" t="s">
        <v>217</v>
      </c>
      <c r="F135">
        <v>52963</v>
      </c>
      <c r="G135" s="1" t="s">
        <v>492</v>
      </c>
      <c r="H135" s="2" t="s">
        <v>497</v>
      </c>
      <c r="I135" s="2"/>
      <c r="J135" s="2"/>
      <c r="K135" s="21">
        <v>0</v>
      </c>
      <c r="L135" s="21">
        <v>41642886</v>
      </c>
      <c r="M135" s="21">
        <v>7912148</v>
      </c>
      <c r="N135" s="21">
        <v>49555034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77</v>
      </c>
      <c r="U135">
        <v>0</v>
      </c>
      <c r="V135">
        <v>0</v>
      </c>
      <c r="W135">
        <v>0</v>
      </c>
      <c r="X135">
        <v>0</v>
      </c>
      <c r="AC135">
        <v>0</v>
      </c>
      <c r="AE135">
        <v>0</v>
      </c>
      <c r="AF135">
        <v>2</v>
      </c>
      <c r="AG135">
        <v>0</v>
      </c>
      <c r="AH135">
        <v>0</v>
      </c>
      <c r="AI135">
        <v>0</v>
      </c>
      <c r="AM135">
        <v>0</v>
      </c>
      <c r="AR135" t="s">
        <v>872</v>
      </c>
      <c r="AS135" t="s">
        <v>944</v>
      </c>
      <c r="AT135">
        <v>6</v>
      </c>
    </row>
    <row r="136" spans="1:46">
      <c r="A136">
        <v>135</v>
      </c>
      <c r="B136">
        <v>33</v>
      </c>
      <c r="C136" t="s">
        <v>74</v>
      </c>
      <c r="D136" t="s">
        <v>189</v>
      </c>
      <c r="E136" t="s">
        <v>190</v>
      </c>
      <c r="F136">
        <v>52964</v>
      </c>
      <c r="G136" s="1" t="s">
        <v>498</v>
      </c>
      <c r="H136" s="2" t="s">
        <v>499</v>
      </c>
      <c r="I136" s="2"/>
      <c r="J136" s="2"/>
      <c r="K136" s="21">
        <v>0</v>
      </c>
      <c r="L136" s="21">
        <v>358470</v>
      </c>
      <c r="M136" s="21">
        <v>68109</v>
      </c>
      <c r="N136" s="21">
        <v>426579</v>
      </c>
      <c r="O136">
        <v>0</v>
      </c>
      <c r="P136">
        <v>0</v>
      </c>
      <c r="Q136">
        <v>0</v>
      </c>
      <c r="R136">
        <v>0</v>
      </c>
      <c r="S136">
        <v>0</v>
      </c>
      <c r="T136" t="s">
        <v>77</v>
      </c>
      <c r="U136">
        <v>0</v>
      </c>
      <c r="V136">
        <v>0</v>
      </c>
      <c r="W136">
        <v>0</v>
      </c>
      <c r="X136">
        <v>0</v>
      </c>
      <c r="AC136">
        <v>0</v>
      </c>
      <c r="AE136">
        <v>0</v>
      </c>
      <c r="AF136">
        <v>2</v>
      </c>
      <c r="AG136">
        <v>0</v>
      </c>
      <c r="AH136">
        <v>0</v>
      </c>
      <c r="AI136">
        <v>0</v>
      </c>
      <c r="AM136">
        <v>0</v>
      </c>
      <c r="AR136" t="s">
        <v>872</v>
      </c>
      <c r="AS136" t="s">
        <v>3771</v>
      </c>
      <c r="AT136">
        <v>6</v>
      </c>
    </row>
    <row r="137" spans="1:46">
      <c r="A137">
        <v>136</v>
      </c>
      <c r="B137">
        <v>33</v>
      </c>
      <c r="C137" t="s">
        <v>74</v>
      </c>
      <c r="D137" t="s">
        <v>189</v>
      </c>
      <c r="E137" t="s">
        <v>190</v>
      </c>
      <c r="F137">
        <v>52965</v>
      </c>
      <c r="G137" s="1" t="s">
        <v>498</v>
      </c>
      <c r="H137" s="2" t="s">
        <v>500</v>
      </c>
      <c r="I137" s="2"/>
      <c r="J137" s="2"/>
      <c r="K137" s="21">
        <v>0</v>
      </c>
      <c r="L137" s="21">
        <v>354867</v>
      </c>
      <c r="M137" s="21">
        <v>67425</v>
      </c>
      <c r="N137" s="21">
        <v>422292</v>
      </c>
      <c r="O137">
        <v>0</v>
      </c>
      <c r="P137">
        <v>0</v>
      </c>
      <c r="Q137">
        <v>0</v>
      </c>
      <c r="R137">
        <v>0</v>
      </c>
      <c r="S137">
        <v>0</v>
      </c>
      <c r="T137" t="s">
        <v>77</v>
      </c>
      <c r="U137">
        <v>0</v>
      </c>
      <c r="V137">
        <v>0</v>
      </c>
      <c r="W137">
        <v>0</v>
      </c>
      <c r="X137">
        <v>0</v>
      </c>
      <c r="AC137">
        <v>0</v>
      </c>
      <c r="AE137">
        <v>0</v>
      </c>
      <c r="AF137">
        <v>2</v>
      </c>
      <c r="AG137">
        <v>0</v>
      </c>
      <c r="AH137">
        <v>0</v>
      </c>
      <c r="AI137">
        <v>0</v>
      </c>
      <c r="AM137">
        <v>0</v>
      </c>
      <c r="AR137" t="s">
        <v>872</v>
      </c>
      <c r="AS137" t="s">
        <v>3771</v>
      </c>
      <c r="AT137">
        <v>6</v>
      </c>
    </row>
    <row r="138" spans="1:46">
      <c r="A138">
        <v>137</v>
      </c>
      <c r="B138">
        <v>33</v>
      </c>
      <c r="C138" t="s">
        <v>74</v>
      </c>
      <c r="D138" t="s">
        <v>189</v>
      </c>
      <c r="E138" t="s">
        <v>190</v>
      </c>
      <c r="F138">
        <v>52966</v>
      </c>
      <c r="G138" s="1" t="s">
        <v>498</v>
      </c>
      <c r="H138" s="2" t="s">
        <v>501</v>
      </c>
      <c r="I138" s="2"/>
      <c r="J138" s="2"/>
      <c r="K138" s="21">
        <v>0</v>
      </c>
      <c r="L138" s="21">
        <v>371956</v>
      </c>
      <c r="M138" s="21">
        <v>70671</v>
      </c>
      <c r="N138" s="21">
        <v>442627</v>
      </c>
      <c r="O138">
        <v>0</v>
      </c>
      <c r="P138">
        <v>0</v>
      </c>
      <c r="Q138">
        <v>0</v>
      </c>
      <c r="R138">
        <v>0</v>
      </c>
      <c r="S138">
        <v>0</v>
      </c>
      <c r="T138" t="s">
        <v>77</v>
      </c>
      <c r="U138">
        <v>0</v>
      </c>
      <c r="V138">
        <v>0</v>
      </c>
      <c r="W138">
        <v>0</v>
      </c>
      <c r="X138">
        <v>0</v>
      </c>
      <c r="AC138">
        <v>0</v>
      </c>
      <c r="AE138">
        <v>0</v>
      </c>
      <c r="AF138">
        <v>2</v>
      </c>
      <c r="AG138">
        <v>0</v>
      </c>
      <c r="AH138">
        <v>0</v>
      </c>
      <c r="AI138">
        <v>0</v>
      </c>
      <c r="AM138">
        <v>0</v>
      </c>
      <c r="AR138" t="s">
        <v>872</v>
      </c>
      <c r="AS138" t="s">
        <v>3771</v>
      </c>
      <c r="AT138">
        <v>6</v>
      </c>
    </row>
    <row r="139" spans="1:46">
      <c r="A139">
        <v>138</v>
      </c>
      <c r="B139">
        <v>33</v>
      </c>
      <c r="C139" t="s">
        <v>74</v>
      </c>
      <c r="D139" t="s">
        <v>111</v>
      </c>
      <c r="E139" t="s">
        <v>112</v>
      </c>
      <c r="F139">
        <v>52967</v>
      </c>
      <c r="G139" s="1" t="s">
        <v>498</v>
      </c>
      <c r="H139" s="2" t="s">
        <v>502</v>
      </c>
      <c r="I139" s="2"/>
      <c r="J139" s="2"/>
      <c r="K139" s="21">
        <v>0</v>
      </c>
      <c r="L139" s="21">
        <v>15722288</v>
      </c>
      <c r="M139" s="21">
        <v>2987235</v>
      </c>
      <c r="N139" s="21">
        <v>18709523</v>
      </c>
      <c r="O139">
        <v>0</v>
      </c>
      <c r="P139">
        <v>0</v>
      </c>
      <c r="Q139">
        <v>0</v>
      </c>
      <c r="R139">
        <v>0</v>
      </c>
      <c r="S139">
        <v>0</v>
      </c>
      <c r="T139" t="s">
        <v>77</v>
      </c>
      <c r="U139">
        <v>0</v>
      </c>
      <c r="V139">
        <v>0</v>
      </c>
      <c r="W139">
        <v>0</v>
      </c>
      <c r="X139">
        <v>0</v>
      </c>
      <c r="AC139">
        <v>0</v>
      </c>
      <c r="AE139">
        <v>0</v>
      </c>
      <c r="AF139">
        <v>2</v>
      </c>
      <c r="AG139">
        <v>0</v>
      </c>
      <c r="AH139">
        <v>0</v>
      </c>
      <c r="AI139">
        <v>0</v>
      </c>
      <c r="AM139">
        <v>0</v>
      </c>
      <c r="AR139" t="s">
        <v>872</v>
      </c>
      <c r="AS139" t="s">
        <v>942</v>
      </c>
      <c r="AT139">
        <v>6</v>
      </c>
    </row>
    <row r="140" spans="1:46">
      <c r="A140">
        <v>139</v>
      </c>
      <c r="B140">
        <v>33</v>
      </c>
      <c r="C140" t="s">
        <v>74</v>
      </c>
      <c r="D140" t="s">
        <v>268</v>
      </c>
      <c r="E140" t="s">
        <v>269</v>
      </c>
      <c r="F140">
        <v>52968</v>
      </c>
      <c r="G140" s="1" t="s">
        <v>498</v>
      </c>
      <c r="H140" s="2" t="s">
        <v>503</v>
      </c>
      <c r="I140" s="2"/>
      <c r="K140" s="21">
        <v>0</v>
      </c>
      <c r="L140" s="21">
        <v>3033315</v>
      </c>
      <c r="M140" s="21">
        <v>576330</v>
      </c>
      <c r="N140" s="21">
        <v>3609645</v>
      </c>
      <c r="O140">
        <v>0</v>
      </c>
      <c r="P140">
        <v>0</v>
      </c>
      <c r="Q140">
        <v>0</v>
      </c>
      <c r="R140">
        <v>0</v>
      </c>
      <c r="S140">
        <v>0</v>
      </c>
      <c r="T140" t="s">
        <v>77</v>
      </c>
      <c r="U140">
        <v>0</v>
      </c>
      <c r="V140">
        <v>0</v>
      </c>
      <c r="W140">
        <v>0</v>
      </c>
      <c r="X140">
        <v>0</v>
      </c>
      <c r="AC140">
        <v>0</v>
      </c>
      <c r="AE140">
        <v>0</v>
      </c>
      <c r="AF140">
        <v>2</v>
      </c>
      <c r="AG140">
        <v>0</v>
      </c>
      <c r="AH140">
        <v>0</v>
      </c>
      <c r="AI140">
        <v>0</v>
      </c>
      <c r="AM140">
        <v>0</v>
      </c>
      <c r="AR140" t="s">
        <v>872</v>
      </c>
      <c r="AS140" t="s">
        <v>1041</v>
      </c>
      <c r="AT140">
        <v>6</v>
      </c>
    </row>
    <row r="141" spans="1:46">
      <c r="A141">
        <v>140</v>
      </c>
      <c r="B141">
        <v>33</v>
      </c>
      <c r="C141" t="s">
        <v>74</v>
      </c>
      <c r="D141" t="s">
        <v>187</v>
      </c>
      <c r="E141" t="s">
        <v>188</v>
      </c>
      <c r="F141">
        <v>52969</v>
      </c>
      <c r="G141" s="1" t="s">
        <v>498</v>
      </c>
      <c r="H141" s="2" t="s">
        <v>504</v>
      </c>
      <c r="I141" s="2"/>
      <c r="J141" s="2"/>
      <c r="K141" s="21">
        <v>0</v>
      </c>
      <c r="L141" s="21">
        <v>26955501</v>
      </c>
      <c r="M141" s="21">
        <v>5121545</v>
      </c>
      <c r="N141" s="21">
        <v>32077046</v>
      </c>
      <c r="O141">
        <v>0</v>
      </c>
      <c r="P141">
        <v>0</v>
      </c>
      <c r="Q141">
        <v>0</v>
      </c>
      <c r="R141">
        <v>0</v>
      </c>
      <c r="S141">
        <v>0</v>
      </c>
      <c r="T141" t="s">
        <v>77</v>
      </c>
      <c r="U141">
        <v>0</v>
      </c>
      <c r="V141">
        <v>0</v>
      </c>
      <c r="W141">
        <v>0</v>
      </c>
      <c r="X141">
        <v>0</v>
      </c>
      <c r="AC141">
        <v>0</v>
      </c>
      <c r="AE141">
        <v>0</v>
      </c>
      <c r="AF141">
        <v>2</v>
      </c>
      <c r="AG141">
        <v>0</v>
      </c>
      <c r="AH141">
        <v>0</v>
      </c>
      <c r="AI141">
        <v>0</v>
      </c>
      <c r="AM141">
        <v>0</v>
      </c>
      <c r="AR141" t="s">
        <v>872</v>
      </c>
      <c r="AS141" t="s">
        <v>974</v>
      </c>
      <c r="AT141">
        <v>6</v>
      </c>
    </row>
    <row r="142" spans="1:46">
      <c r="A142">
        <v>141</v>
      </c>
      <c r="B142">
        <v>33</v>
      </c>
      <c r="C142" t="s">
        <v>74</v>
      </c>
      <c r="D142" t="s">
        <v>167</v>
      </c>
      <c r="E142" t="s">
        <v>168</v>
      </c>
      <c r="F142">
        <v>52970</v>
      </c>
      <c r="G142" s="1" t="s">
        <v>498</v>
      </c>
      <c r="H142" s="2" t="s">
        <v>505</v>
      </c>
      <c r="I142" s="2"/>
      <c r="K142" s="21">
        <v>0</v>
      </c>
      <c r="L142" s="21">
        <v>2635708</v>
      </c>
      <c r="M142" s="21">
        <v>500785</v>
      </c>
      <c r="N142" s="21">
        <v>3136493</v>
      </c>
      <c r="O142">
        <v>0</v>
      </c>
      <c r="P142">
        <v>0</v>
      </c>
      <c r="Q142">
        <v>0</v>
      </c>
      <c r="R142">
        <v>0</v>
      </c>
      <c r="S142">
        <v>0</v>
      </c>
      <c r="T142" t="s">
        <v>77</v>
      </c>
      <c r="U142">
        <v>0</v>
      </c>
      <c r="V142">
        <v>0</v>
      </c>
      <c r="W142">
        <v>0</v>
      </c>
      <c r="X142">
        <v>0</v>
      </c>
      <c r="AC142">
        <v>0</v>
      </c>
      <c r="AE142">
        <v>0</v>
      </c>
      <c r="AF142">
        <v>2</v>
      </c>
      <c r="AG142">
        <v>0</v>
      </c>
      <c r="AH142">
        <v>0</v>
      </c>
      <c r="AI142">
        <v>0</v>
      </c>
      <c r="AM142">
        <v>0</v>
      </c>
      <c r="AR142" t="s">
        <v>872</v>
      </c>
      <c r="AS142" t="s">
        <v>1018</v>
      </c>
      <c r="AT142">
        <v>6</v>
      </c>
    </row>
    <row r="143" spans="1:46">
      <c r="A143">
        <v>142</v>
      </c>
      <c r="B143">
        <v>33</v>
      </c>
      <c r="C143" t="s">
        <v>74</v>
      </c>
      <c r="D143" t="s">
        <v>167</v>
      </c>
      <c r="E143" t="s">
        <v>168</v>
      </c>
      <c r="F143">
        <v>52971</v>
      </c>
      <c r="G143" s="1" t="s">
        <v>498</v>
      </c>
      <c r="H143" s="2" t="s">
        <v>506</v>
      </c>
      <c r="I143" s="2"/>
      <c r="J143" s="2" t="s">
        <v>507</v>
      </c>
      <c r="K143" s="21">
        <v>0</v>
      </c>
      <c r="L143" s="21">
        <v>2753712</v>
      </c>
      <c r="M143" s="21">
        <v>523205</v>
      </c>
      <c r="N143" s="21">
        <v>3276917</v>
      </c>
      <c r="O143">
        <v>0</v>
      </c>
      <c r="P143">
        <v>0</v>
      </c>
      <c r="Q143">
        <v>0</v>
      </c>
      <c r="R143">
        <v>0</v>
      </c>
      <c r="S143">
        <v>0</v>
      </c>
      <c r="T143" t="s">
        <v>77</v>
      </c>
      <c r="U143">
        <v>0</v>
      </c>
      <c r="V143">
        <v>0</v>
      </c>
      <c r="W143">
        <v>0</v>
      </c>
      <c r="X143">
        <v>0</v>
      </c>
      <c r="AC143">
        <v>0</v>
      </c>
      <c r="AE143">
        <v>0</v>
      </c>
      <c r="AF143">
        <v>2</v>
      </c>
      <c r="AG143">
        <v>0</v>
      </c>
      <c r="AH143">
        <v>0</v>
      </c>
      <c r="AI143">
        <v>0</v>
      </c>
      <c r="AM143">
        <v>0</v>
      </c>
      <c r="AR143" t="s">
        <v>872</v>
      </c>
      <c r="AS143" t="s">
        <v>1018</v>
      </c>
      <c r="AT143">
        <v>6</v>
      </c>
    </row>
    <row r="144" spans="1:46">
      <c r="A144">
        <v>143</v>
      </c>
      <c r="B144">
        <v>33</v>
      </c>
      <c r="C144" t="s">
        <v>74</v>
      </c>
      <c r="D144" t="s">
        <v>268</v>
      </c>
      <c r="E144" t="s">
        <v>269</v>
      </c>
      <c r="F144">
        <v>52972</v>
      </c>
      <c r="G144" s="1" t="s">
        <v>498</v>
      </c>
      <c r="H144" s="2" t="s">
        <v>509</v>
      </c>
      <c r="I144" s="2"/>
      <c r="J144" s="2"/>
      <c r="K144" s="21">
        <v>0</v>
      </c>
      <c r="L144" s="21">
        <v>5216756</v>
      </c>
      <c r="M144" s="21">
        <v>991184</v>
      </c>
      <c r="N144" s="21">
        <v>6207940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77</v>
      </c>
      <c r="U144">
        <v>0</v>
      </c>
      <c r="V144">
        <v>0</v>
      </c>
      <c r="W144">
        <v>0</v>
      </c>
      <c r="X144">
        <v>0</v>
      </c>
      <c r="AC144">
        <v>0</v>
      </c>
      <c r="AE144">
        <v>0</v>
      </c>
      <c r="AF144">
        <v>2</v>
      </c>
      <c r="AG144">
        <v>0</v>
      </c>
      <c r="AH144">
        <v>0</v>
      </c>
      <c r="AI144">
        <v>0</v>
      </c>
      <c r="AM144">
        <v>0</v>
      </c>
      <c r="AR144" t="s">
        <v>872</v>
      </c>
      <c r="AS144" t="s">
        <v>1041</v>
      </c>
      <c r="AT144">
        <v>6</v>
      </c>
    </row>
    <row r="145" spans="1:46">
      <c r="A145">
        <v>144</v>
      </c>
      <c r="B145">
        <v>33</v>
      </c>
      <c r="C145" t="s">
        <v>74</v>
      </c>
      <c r="D145" t="s">
        <v>121</v>
      </c>
      <c r="E145" t="s">
        <v>122</v>
      </c>
      <c r="F145">
        <v>52973</v>
      </c>
      <c r="G145" s="1" t="s">
        <v>498</v>
      </c>
      <c r="H145" s="2" t="s">
        <v>510</v>
      </c>
      <c r="I145" s="2" t="s">
        <v>511</v>
      </c>
      <c r="J145" s="2"/>
      <c r="K145" s="21">
        <v>0</v>
      </c>
      <c r="L145" s="21">
        <v>2664494</v>
      </c>
      <c r="M145" s="21">
        <v>506254</v>
      </c>
      <c r="N145" s="21">
        <v>3170748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77</v>
      </c>
      <c r="U145">
        <v>0</v>
      </c>
      <c r="V145">
        <v>0</v>
      </c>
      <c r="W145">
        <v>0</v>
      </c>
      <c r="X145">
        <v>0</v>
      </c>
      <c r="AC145">
        <v>0</v>
      </c>
      <c r="AE145">
        <v>0</v>
      </c>
      <c r="AF145">
        <v>2</v>
      </c>
      <c r="AG145">
        <v>0</v>
      </c>
      <c r="AH145">
        <v>0</v>
      </c>
      <c r="AI145">
        <v>0</v>
      </c>
      <c r="AM145">
        <v>0</v>
      </c>
      <c r="AR145" t="s">
        <v>872</v>
      </c>
      <c r="AS145" t="s">
        <v>1019</v>
      </c>
      <c r="AT145">
        <v>6</v>
      </c>
    </row>
    <row r="146" spans="1:46">
      <c r="A146">
        <v>145</v>
      </c>
      <c r="B146">
        <v>33</v>
      </c>
      <c r="C146" t="s">
        <v>74</v>
      </c>
      <c r="D146" t="s">
        <v>208</v>
      </c>
      <c r="E146" t="s">
        <v>209</v>
      </c>
      <c r="F146">
        <v>52974</v>
      </c>
      <c r="G146" s="1" t="s">
        <v>498</v>
      </c>
      <c r="H146" s="2" t="s">
        <v>512</v>
      </c>
      <c r="J146" s="2"/>
      <c r="K146" s="21">
        <v>0</v>
      </c>
      <c r="L146" s="21">
        <v>331893</v>
      </c>
      <c r="M146" s="21">
        <v>63059</v>
      </c>
      <c r="N146" s="21">
        <v>394952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77</v>
      </c>
      <c r="U146">
        <v>0</v>
      </c>
      <c r="V146">
        <v>0</v>
      </c>
      <c r="W146">
        <v>0</v>
      </c>
      <c r="X146">
        <v>0</v>
      </c>
      <c r="Y146">
        <v>0</v>
      </c>
      <c r="AC146">
        <v>0</v>
      </c>
      <c r="AE146">
        <v>0</v>
      </c>
      <c r="AF146">
        <v>2</v>
      </c>
      <c r="AG146">
        <v>0</v>
      </c>
      <c r="AH146">
        <v>0</v>
      </c>
      <c r="AI146">
        <v>0</v>
      </c>
      <c r="AM146">
        <v>0</v>
      </c>
      <c r="AR146" t="s">
        <v>872</v>
      </c>
      <c r="AS146" t="s">
        <v>1007</v>
      </c>
      <c r="AT146">
        <v>6</v>
      </c>
    </row>
    <row r="147" spans="1:46">
      <c r="A147">
        <v>146</v>
      </c>
      <c r="B147">
        <v>33</v>
      </c>
      <c r="C147" t="s">
        <v>74</v>
      </c>
      <c r="D147" t="s">
        <v>210</v>
      </c>
      <c r="E147" t="s">
        <v>211</v>
      </c>
      <c r="F147">
        <v>52975</v>
      </c>
      <c r="G147" s="1" t="s">
        <v>498</v>
      </c>
      <c r="H147" s="2" t="s">
        <v>513</v>
      </c>
      <c r="I147" s="2"/>
      <c r="K147" s="21">
        <v>0</v>
      </c>
      <c r="L147" s="21">
        <v>239804</v>
      </c>
      <c r="M147" s="21">
        <v>45563</v>
      </c>
      <c r="N147" s="21">
        <v>285367</v>
      </c>
      <c r="O147">
        <v>0</v>
      </c>
      <c r="P147">
        <v>0</v>
      </c>
      <c r="Q147">
        <v>0</v>
      </c>
      <c r="R147">
        <v>0</v>
      </c>
      <c r="S147">
        <v>0</v>
      </c>
      <c r="T147" t="s">
        <v>77</v>
      </c>
      <c r="U147">
        <v>0</v>
      </c>
      <c r="V147">
        <v>0</v>
      </c>
      <c r="W147">
        <v>0</v>
      </c>
      <c r="X147">
        <v>0</v>
      </c>
      <c r="Y147">
        <v>0</v>
      </c>
      <c r="AC147">
        <v>0</v>
      </c>
      <c r="AE147">
        <v>0</v>
      </c>
      <c r="AF147">
        <v>2</v>
      </c>
      <c r="AG147">
        <v>0</v>
      </c>
      <c r="AH147">
        <v>0</v>
      </c>
      <c r="AI147">
        <v>0</v>
      </c>
      <c r="AM147">
        <v>0</v>
      </c>
      <c r="AR147" t="s">
        <v>872</v>
      </c>
      <c r="AS147" t="s">
        <v>1008</v>
      </c>
      <c r="AT147">
        <v>6</v>
      </c>
    </row>
    <row r="148" spans="1:46">
      <c r="A148">
        <v>147</v>
      </c>
      <c r="B148">
        <v>33</v>
      </c>
      <c r="C148" t="s">
        <v>74</v>
      </c>
      <c r="D148" t="s">
        <v>212</v>
      </c>
      <c r="E148" t="s">
        <v>213</v>
      </c>
      <c r="F148">
        <v>52976</v>
      </c>
      <c r="G148" s="1" t="s">
        <v>498</v>
      </c>
      <c r="H148" s="2" t="s">
        <v>514</v>
      </c>
      <c r="I148" s="2"/>
      <c r="J148" s="2"/>
      <c r="K148" s="21">
        <v>0</v>
      </c>
      <c r="L148" s="21">
        <v>958750</v>
      </c>
      <c r="M148" s="21">
        <v>182163</v>
      </c>
      <c r="N148" s="21">
        <v>1140913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77</v>
      </c>
      <c r="U148">
        <v>0</v>
      </c>
      <c r="V148">
        <v>0</v>
      </c>
      <c r="W148">
        <v>0</v>
      </c>
      <c r="X148">
        <v>0</v>
      </c>
      <c r="Y148">
        <v>0</v>
      </c>
      <c r="AC148">
        <v>0</v>
      </c>
      <c r="AE148">
        <v>0</v>
      </c>
      <c r="AF148">
        <v>2</v>
      </c>
      <c r="AG148">
        <v>0</v>
      </c>
      <c r="AH148">
        <v>0</v>
      </c>
      <c r="AI148">
        <v>0</v>
      </c>
      <c r="AM148">
        <v>0</v>
      </c>
      <c r="AR148" t="s">
        <v>872</v>
      </c>
      <c r="AS148" t="s">
        <v>1009</v>
      </c>
      <c r="AT148">
        <v>6</v>
      </c>
    </row>
    <row r="149" spans="1:46">
      <c r="A149">
        <v>148</v>
      </c>
      <c r="B149">
        <v>33</v>
      </c>
      <c r="C149" t="s">
        <v>74</v>
      </c>
      <c r="D149" t="s">
        <v>358</v>
      </c>
      <c r="E149" t="s">
        <v>359</v>
      </c>
      <c r="F149">
        <v>52977</v>
      </c>
      <c r="G149" s="1" t="s">
        <v>498</v>
      </c>
      <c r="H149" s="2" t="s">
        <v>515</v>
      </c>
      <c r="I149" s="2"/>
      <c r="K149" s="21">
        <v>0</v>
      </c>
      <c r="L149" s="21">
        <v>269254</v>
      </c>
      <c r="M149" s="21">
        <v>51158</v>
      </c>
      <c r="N149" s="21">
        <v>320412</v>
      </c>
      <c r="O149">
        <v>0</v>
      </c>
      <c r="P149">
        <v>0</v>
      </c>
      <c r="Q149">
        <v>0</v>
      </c>
      <c r="R149">
        <v>0</v>
      </c>
      <c r="S149">
        <v>0</v>
      </c>
      <c r="T149" t="s">
        <v>77</v>
      </c>
      <c r="U149">
        <v>0</v>
      </c>
      <c r="V149">
        <v>0</v>
      </c>
      <c r="W149">
        <v>0</v>
      </c>
      <c r="X149">
        <v>0</v>
      </c>
      <c r="Y149">
        <v>0</v>
      </c>
      <c r="AC149">
        <v>0</v>
      </c>
      <c r="AE149">
        <v>0</v>
      </c>
      <c r="AF149">
        <v>2</v>
      </c>
      <c r="AG149">
        <v>0</v>
      </c>
      <c r="AH149">
        <v>0</v>
      </c>
      <c r="AI149">
        <v>0</v>
      </c>
      <c r="AM149">
        <v>0</v>
      </c>
      <c r="AR149" t="s">
        <v>872</v>
      </c>
      <c r="AS149" t="s">
        <v>1037</v>
      </c>
      <c r="AT149">
        <v>6</v>
      </c>
    </row>
    <row r="150" spans="1:46">
      <c r="A150">
        <v>149</v>
      </c>
      <c r="B150">
        <v>33</v>
      </c>
      <c r="C150" t="s">
        <v>74</v>
      </c>
      <c r="D150" t="s">
        <v>224</v>
      </c>
      <c r="E150" t="s">
        <v>225</v>
      </c>
      <c r="F150">
        <v>52978</v>
      </c>
      <c r="G150" s="1" t="s">
        <v>498</v>
      </c>
      <c r="H150" s="2" t="s">
        <v>516</v>
      </c>
      <c r="I150" s="2"/>
      <c r="K150" s="21">
        <v>0</v>
      </c>
      <c r="L150" s="21">
        <v>509666</v>
      </c>
      <c r="M150" s="21">
        <v>96837</v>
      </c>
      <c r="N150" s="21">
        <v>606503</v>
      </c>
      <c r="O150">
        <v>0</v>
      </c>
      <c r="P150">
        <v>0</v>
      </c>
      <c r="Q150">
        <v>0</v>
      </c>
      <c r="R150">
        <v>0</v>
      </c>
      <c r="S150">
        <v>0</v>
      </c>
      <c r="T150" t="s">
        <v>77</v>
      </c>
      <c r="U150">
        <v>0</v>
      </c>
      <c r="V150">
        <v>0</v>
      </c>
      <c r="W150">
        <v>0</v>
      </c>
      <c r="X150">
        <v>0</v>
      </c>
      <c r="AC150">
        <v>0</v>
      </c>
      <c r="AE150">
        <v>0</v>
      </c>
      <c r="AF150">
        <v>2</v>
      </c>
      <c r="AG150">
        <v>0</v>
      </c>
      <c r="AH150">
        <v>0</v>
      </c>
      <c r="AI150">
        <v>0</v>
      </c>
      <c r="AM150">
        <v>0</v>
      </c>
      <c r="AR150" t="s">
        <v>872</v>
      </c>
      <c r="AS150" t="s">
        <v>3772</v>
      </c>
      <c r="AT150">
        <v>6</v>
      </c>
    </row>
    <row r="151" spans="1:46">
      <c r="A151">
        <v>150</v>
      </c>
      <c r="B151">
        <v>33</v>
      </c>
      <c r="C151" t="s">
        <v>74</v>
      </c>
      <c r="D151" t="s">
        <v>222</v>
      </c>
      <c r="E151" t="s">
        <v>223</v>
      </c>
      <c r="F151">
        <v>52979</v>
      </c>
      <c r="G151" s="1" t="s">
        <v>498</v>
      </c>
      <c r="H151" s="2" t="s">
        <v>517</v>
      </c>
      <c r="I151" s="2"/>
      <c r="K151" s="21">
        <v>0</v>
      </c>
      <c r="L151" s="21">
        <v>344131</v>
      </c>
      <c r="M151" s="21">
        <v>65385</v>
      </c>
      <c r="N151" s="21">
        <v>409516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77</v>
      </c>
      <c r="U151">
        <v>0</v>
      </c>
      <c r="V151">
        <v>0</v>
      </c>
      <c r="W151">
        <v>0</v>
      </c>
      <c r="X151">
        <v>0</v>
      </c>
      <c r="Y151">
        <v>0</v>
      </c>
      <c r="AC151">
        <v>0</v>
      </c>
      <c r="AE151">
        <v>0</v>
      </c>
      <c r="AF151">
        <v>2</v>
      </c>
      <c r="AG151">
        <v>0</v>
      </c>
      <c r="AH151">
        <v>0</v>
      </c>
      <c r="AI151">
        <v>0</v>
      </c>
      <c r="AM151">
        <v>0</v>
      </c>
      <c r="AR151" t="s">
        <v>872</v>
      </c>
      <c r="AS151" t="s">
        <v>3773</v>
      </c>
      <c r="AT151">
        <v>6</v>
      </c>
    </row>
    <row r="152" spans="1:46">
      <c r="A152">
        <v>151</v>
      </c>
      <c r="B152">
        <v>33</v>
      </c>
      <c r="C152" t="s">
        <v>74</v>
      </c>
      <c r="D152" t="s">
        <v>222</v>
      </c>
      <c r="E152" t="s">
        <v>223</v>
      </c>
      <c r="F152">
        <v>52980</v>
      </c>
      <c r="G152" s="1" t="s">
        <v>498</v>
      </c>
      <c r="H152" s="2" t="s">
        <v>518</v>
      </c>
      <c r="I152" s="2"/>
      <c r="K152" s="21">
        <v>0</v>
      </c>
      <c r="L152" s="21">
        <v>1106606</v>
      </c>
      <c r="M152" s="21">
        <v>210255</v>
      </c>
      <c r="N152" s="21">
        <v>1316861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77</v>
      </c>
      <c r="U152">
        <v>0</v>
      </c>
      <c r="V152">
        <v>0</v>
      </c>
      <c r="W152">
        <v>0</v>
      </c>
      <c r="X152">
        <v>0</v>
      </c>
      <c r="Y152">
        <v>0</v>
      </c>
      <c r="AC152">
        <v>0</v>
      </c>
      <c r="AE152">
        <v>0</v>
      </c>
      <c r="AF152">
        <v>2</v>
      </c>
      <c r="AG152">
        <v>0</v>
      </c>
      <c r="AH152">
        <v>0</v>
      </c>
      <c r="AI152">
        <v>0</v>
      </c>
      <c r="AM152">
        <v>0</v>
      </c>
      <c r="AR152" t="s">
        <v>872</v>
      </c>
      <c r="AS152" t="s">
        <v>3773</v>
      </c>
      <c r="AT152">
        <v>6</v>
      </c>
    </row>
    <row r="153" spans="1:46">
      <c r="A153">
        <v>152</v>
      </c>
      <c r="B153">
        <v>33</v>
      </c>
      <c r="C153" t="s">
        <v>74</v>
      </c>
      <c r="D153" t="s">
        <v>222</v>
      </c>
      <c r="E153" t="s">
        <v>223</v>
      </c>
      <c r="F153">
        <v>52981</v>
      </c>
      <c r="G153" s="1" t="s">
        <v>498</v>
      </c>
      <c r="H153" s="2" t="s">
        <v>519</v>
      </c>
      <c r="I153" s="2"/>
      <c r="K153" s="21">
        <v>0</v>
      </c>
      <c r="L153" s="21">
        <v>1950334</v>
      </c>
      <c r="M153" s="21">
        <v>370563</v>
      </c>
      <c r="N153" s="21">
        <v>2320897</v>
      </c>
      <c r="O153">
        <v>0</v>
      </c>
      <c r="P153">
        <v>0</v>
      </c>
      <c r="Q153">
        <v>0</v>
      </c>
      <c r="R153">
        <v>0</v>
      </c>
      <c r="S153">
        <v>0</v>
      </c>
      <c r="T153" t="s">
        <v>77</v>
      </c>
      <c r="U153">
        <v>0</v>
      </c>
      <c r="V153">
        <v>0</v>
      </c>
      <c r="W153">
        <v>0</v>
      </c>
      <c r="X153">
        <v>0</v>
      </c>
      <c r="Y153">
        <v>0</v>
      </c>
      <c r="AC153">
        <v>0</v>
      </c>
      <c r="AE153">
        <v>0</v>
      </c>
      <c r="AF153">
        <v>2</v>
      </c>
      <c r="AG153">
        <v>0</v>
      </c>
      <c r="AH153">
        <v>0</v>
      </c>
      <c r="AI153">
        <v>0</v>
      </c>
      <c r="AM153">
        <v>0</v>
      </c>
      <c r="AR153" t="s">
        <v>872</v>
      </c>
      <c r="AS153" t="s">
        <v>3773</v>
      </c>
      <c r="AT153">
        <v>6</v>
      </c>
    </row>
    <row r="154" spans="1:46">
      <c r="A154">
        <v>153</v>
      </c>
      <c r="B154">
        <v>33</v>
      </c>
      <c r="C154" t="s">
        <v>74</v>
      </c>
      <c r="D154" t="s">
        <v>383</v>
      </c>
      <c r="E154" t="s">
        <v>384</v>
      </c>
      <c r="F154">
        <v>52982</v>
      </c>
      <c r="G154" s="1" t="s">
        <v>498</v>
      </c>
      <c r="H154" s="2" t="s">
        <v>520</v>
      </c>
      <c r="I154" s="2"/>
      <c r="K154" s="21">
        <v>0</v>
      </c>
      <c r="L154" s="21">
        <v>284661</v>
      </c>
      <c r="M154" s="21">
        <v>54086</v>
      </c>
      <c r="N154" s="21">
        <v>338747</v>
      </c>
      <c r="O154">
        <v>0</v>
      </c>
      <c r="P154">
        <v>0</v>
      </c>
      <c r="Q154">
        <v>0</v>
      </c>
      <c r="R154">
        <v>0</v>
      </c>
      <c r="S154">
        <v>0</v>
      </c>
      <c r="T154" t="s">
        <v>77</v>
      </c>
      <c r="U154">
        <v>0</v>
      </c>
      <c r="V154">
        <v>0</v>
      </c>
      <c r="W154">
        <v>0</v>
      </c>
      <c r="X154">
        <v>0</v>
      </c>
      <c r="Y154">
        <v>0</v>
      </c>
      <c r="AC154">
        <v>0</v>
      </c>
      <c r="AE154">
        <v>0</v>
      </c>
      <c r="AF154">
        <v>2</v>
      </c>
      <c r="AG154">
        <v>0</v>
      </c>
      <c r="AH154">
        <v>0</v>
      </c>
      <c r="AI154">
        <v>0</v>
      </c>
      <c r="AM154">
        <v>0</v>
      </c>
      <c r="AR154" t="s">
        <v>872</v>
      </c>
      <c r="AS154" t="s">
        <v>3774</v>
      </c>
      <c r="AT154">
        <v>6</v>
      </c>
    </row>
    <row r="155" spans="1:46">
      <c r="A155">
        <v>154</v>
      </c>
      <c r="B155">
        <v>33</v>
      </c>
      <c r="C155" t="s">
        <v>74</v>
      </c>
      <c r="D155" t="s">
        <v>107</v>
      </c>
      <c r="E155" t="s">
        <v>108</v>
      </c>
      <c r="F155">
        <v>52983</v>
      </c>
      <c r="G155" s="1" t="s">
        <v>498</v>
      </c>
      <c r="H155" s="2" t="s">
        <v>521</v>
      </c>
      <c r="I155" s="2"/>
      <c r="K155" s="21">
        <v>0</v>
      </c>
      <c r="L155" s="21">
        <v>1925429</v>
      </c>
      <c r="M155" s="21">
        <v>365831</v>
      </c>
      <c r="N155" s="21">
        <v>2291260</v>
      </c>
      <c r="O155">
        <v>0</v>
      </c>
      <c r="P155">
        <v>0</v>
      </c>
      <c r="Q155">
        <v>0</v>
      </c>
      <c r="R155">
        <v>0</v>
      </c>
      <c r="S155">
        <v>0</v>
      </c>
      <c r="T155" t="s">
        <v>77</v>
      </c>
      <c r="U155">
        <v>0</v>
      </c>
      <c r="V155">
        <v>0</v>
      </c>
      <c r="W155">
        <v>0</v>
      </c>
      <c r="X155">
        <v>0</v>
      </c>
      <c r="Y155">
        <v>0</v>
      </c>
      <c r="AC155">
        <v>0</v>
      </c>
      <c r="AE155">
        <v>0</v>
      </c>
      <c r="AF155">
        <v>2</v>
      </c>
      <c r="AG155">
        <v>0</v>
      </c>
      <c r="AH155">
        <v>0</v>
      </c>
      <c r="AI155">
        <v>0</v>
      </c>
      <c r="AM155">
        <v>0</v>
      </c>
      <c r="AR155" t="s">
        <v>872</v>
      </c>
      <c r="AS155" t="s">
        <v>931</v>
      </c>
      <c r="AT155">
        <v>6</v>
      </c>
    </row>
    <row r="156" spans="1:46">
      <c r="A156">
        <v>155</v>
      </c>
      <c r="B156">
        <v>33</v>
      </c>
      <c r="C156" t="s">
        <v>74</v>
      </c>
      <c r="D156" t="s">
        <v>107</v>
      </c>
      <c r="E156" t="s">
        <v>108</v>
      </c>
      <c r="F156">
        <v>52984</v>
      </c>
      <c r="G156" s="1" t="s">
        <v>498</v>
      </c>
      <c r="H156" s="2" t="s">
        <v>522</v>
      </c>
      <c r="I156" s="2"/>
      <c r="J156" s="2"/>
      <c r="K156" s="21">
        <v>0</v>
      </c>
      <c r="L156" s="21">
        <v>574895</v>
      </c>
      <c r="M156" s="21">
        <v>109230</v>
      </c>
      <c r="N156" s="21">
        <v>684125</v>
      </c>
      <c r="O156">
        <v>0</v>
      </c>
      <c r="P156">
        <v>0</v>
      </c>
      <c r="Q156">
        <v>0</v>
      </c>
      <c r="R156">
        <v>0</v>
      </c>
      <c r="S156">
        <v>0</v>
      </c>
      <c r="T156" t="s">
        <v>77</v>
      </c>
      <c r="U156">
        <v>0</v>
      </c>
      <c r="V156">
        <v>0</v>
      </c>
      <c r="W156">
        <v>0</v>
      </c>
      <c r="X156">
        <v>0</v>
      </c>
      <c r="Y156">
        <v>0</v>
      </c>
      <c r="AC156">
        <v>0</v>
      </c>
      <c r="AE156">
        <v>0</v>
      </c>
      <c r="AF156">
        <v>2</v>
      </c>
      <c r="AG156">
        <v>0</v>
      </c>
      <c r="AH156">
        <v>0</v>
      </c>
      <c r="AI156">
        <v>0</v>
      </c>
      <c r="AM156">
        <v>0</v>
      </c>
      <c r="AR156" t="s">
        <v>872</v>
      </c>
      <c r="AS156" t="s">
        <v>931</v>
      </c>
      <c r="AT156">
        <v>6</v>
      </c>
    </row>
    <row r="157" spans="1:46">
      <c r="A157">
        <v>156</v>
      </c>
      <c r="B157">
        <v>33</v>
      </c>
      <c r="C157" t="s">
        <v>74</v>
      </c>
      <c r="D157" t="s">
        <v>103</v>
      </c>
      <c r="E157" t="s">
        <v>104</v>
      </c>
      <c r="F157">
        <v>52985</v>
      </c>
      <c r="G157" s="1" t="s">
        <v>498</v>
      </c>
      <c r="H157" s="2" t="s">
        <v>523</v>
      </c>
      <c r="I157" s="2"/>
      <c r="K157" s="21">
        <v>0</v>
      </c>
      <c r="L157" s="21">
        <v>266861</v>
      </c>
      <c r="M157" s="21">
        <v>50704</v>
      </c>
      <c r="N157" s="21">
        <v>317565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77</v>
      </c>
      <c r="U157">
        <v>0</v>
      </c>
      <c r="V157">
        <v>0</v>
      </c>
      <c r="W157">
        <v>0</v>
      </c>
      <c r="X157">
        <v>0</v>
      </c>
      <c r="Y157">
        <v>0</v>
      </c>
      <c r="AC157">
        <v>0</v>
      </c>
      <c r="AE157">
        <v>0</v>
      </c>
      <c r="AF157">
        <v>2</v>
      </c>
      <c r="AG157">
        <v>0</v>
      </c>
      <c r="AH157">
        <v>0</v>
      </c>
      <c r="AI157">
        <v>0</v>
      </c>
      <c r="AM157">
        <v>0</v>
      </c>
      <c r="AR157" t="s">
        <v>872</v>
      </c>
      <c r="AS157" t="s">
        <v>928</v>
      </c>
      <c r="AT157">
        <v>6</v>
      </c>
    </row>
    <row r="158" spans="1:46">
      <c r="A158">
        <v>157</v>
      </c>
      <c r="B158">
        <v>33</v>
      </c>
      <c r="C158" t="s">
        <v>74</v>
      </c>
      <c r="D158" t="s">
        <v>103</v>
      </c>
      <c r="E158" t="s">
        <v>104</v>
      </c>
      <c r="F158">
        <v>52986</v>
      </c>
      <c r="G158" s="1" t="s">
        <v>498</v>
      </c>
      <c r="H158" s="2" t="s">
        <v>524</v>
      </c>
      <c r="I158" s="2"/>
      <c r="K158" s="21">
        <v>0</v>
      </c>
      <c r="L158" s="21">
        <v>79673</v>
      </c>
      <c r="M158" s="21">
        <v>15138</v>
      </c>
      <c r="N158" s="21">
        <v>94811</v>
      </c>
      <c r="O158">
        <v>0</v>
      </c>
      <c r="P158">
        <v>0</v>
      </c>
      <c r="Q158">
        <v>0</v>
      </c>
      <c r="R158">
        <v>0</v>
      </c>
      <c r="S158">
        <v>0</v>
      </c>
      <c r="T158" t="s">
        <v>77</v>
      </c>
      <c r="U158">
        <v>0</v>
      </c>
      <c r="V158">
        <v>0</v>
      </c>
      <c r="W158">
        <v>0</v>
      </c>
      <c r="X158">
        <v>0</v>
      </c>
      <c r="Y158">
        <v>0</v>
      </c>
      <c r="AC158">
        <v>0</v>
      </c>
      <c r="AE158">
        <v>0</v>
      </c>
      <c r="AF158">
        <v>2</v>
      </c>
      <c r="AG158">
        <v>0</v>
      </c>
      <c r="AH158">
        <v>0</v>
      </c>
      <c r="AI158">
        <v>0</v>
      </c>
      <c r="AM158">
        <v>0</v>
      </c>
      <c r="AR158" t="s">
        <v>872</v>
      </c>
      <c r="AS158" t="s">
        <v>928</v>
      </c>
      <c r="AT158">
        <v>6</v>
      </c>
    </row>
    <row r="159" spans="1:46">
      <c r="A159">
        <v>158</v>
      </c>
      <c r="B159">
        <v>33</v>
      </c>
      <c r="C159" t="s">
        <v>74</v>
      </c>
      <c r="D159" t="s">
        <v>109</v>
      </c>
      <c r="E159" t="s">
        <v>110</v>
      </c>
      <c r="F159">
        <v>52987</v>
      </c>
      <c r="G159" s="1" t="s">
        <v>498</v>
      </c>
      <c r="H159" s="2" t="s">
        <v>525</v>
      </c>
      <c r="I159" s="2"/>
      <c r="K159" s="21">
        <v>0</v>
      </c>
      <c r="L159" s="21">
        <v>3546684</v>
      </c>
      <c r="M159" s="21">
        <v>673870</v>
      </c>
      <c r="N159" s="21">
        <v>4220554</v>
      </c>
      <c r="O159">
        <v>0</v>
      </c>
      <c r="P159">
        <v>0</v>
      </c>
      <c r="Q159">
        <v>0</v>
      </c>
      <c r="R159">
        <v>0</v>
      </c>
      <c r="S159">
        <v>0</v>
      </c>
      <c r="T159" t="s">
        <v>77</v>
      </c>
      <c r="U159">
        <v>0</v>
      </c>
      <c r="V159">
        <v>0</v>
      </c>
      <c r="W159">
        <v>0</v>
      </c>
      <c r="X159">
        <v>0</v>
      </c>
      <c r="Y159">
        <v>0</v>
      </c>
      <c r="AC159">
        <v>0</v>
      </c>
      <c r="AE159">
        <v>0</v>
      </c>
      <c r="AF159">
        <v>2</v>
      </c>
      <c r="AG159">
        <v>0</v>
      </c>
      <c r="AH159">
        <v>0</v>
      </c>
      <c r="AI159">
        <v>0</v>
      </c>
      <c r="AM159">
        <v>0</v>
      </c>
      <c r="AR159" t="s">
        <v>872</v>
      </c>
      <c r="AS159" t="s">
        <v>932</v>
      </c>
      <c r="AT159">
        <v>6</v>
      </c>
    </row>
    <row r="160" spans="1:46">
      <c r="A160">
        <v>159</v>
      </c>
      <c r="B160">
        <v>33</v>
      </c>
      <c r="C160" t="s">
        <v>74</v>
      </c>
      <c r="D160" t="s">
        <v>109</v>
      </c>
      <c r="E160" t="s">
        <v>110</v>
      </c>
      <c r="F160">
        <v>52988</v>
      </c>
      <c r="G160" s="1" t="s">
        <v>498</v>
      </c>
      <c r="H160" s="2" t="s">
        <v>526</v>
      </c>
      <c r="I160" s="2"/>
      <c r="K160" s="21">
        <v>0</v>
      </c>
      <c r="L160" s="21">
        <v>1058982</v>
      </c>
      <c r="M160" s="21">
        <v>201207</v>
      </c>
      <c r="N160" s="21">
        <v>1260189</v>
      </c>
      <c r="O160">
        <v>0</v>
      </c>
      <c r="P160">
        <v>0</v>
      </c>
      <c r="Q160">
        <v>0</v>
      </c>
      <c r="R160">
        <v>0</v>
      </c>
      <c r="S160">
        <v>0</v>
      </c>
      <c r="T160" t="s">
        <v>77</v>
      </c>
      <c r="U160">
        <v>0</v>
      </c>
      <c r="V160">
        <v>0</v>
      </c>
      <c r="W160">
        <v>0</v>
      </c>
      <c r="X160">
        <v>0</v>
      </c>
      <c r="Y160">
        <v>0</v>
      </c>
      <c r="AC160">
        <v>0</v>
      </c>
      <c r="AE160">
        <v>0</v>
      </c>
      <c r="AF160">
        <v>2</v>
      </c>
      <c r="AG160">
        <v>0</v>
      </c>
      <c r="AH160">
        <v>0</v>
      </c>
      <c r="AI160">
        <v>0</v>
      </c>
      <c r="AM160">
        <v>0</v>
      </c>
      <c r="AR160" t="s">
        <v>872</v>
      </c>
      <c r="AS160" t="s">
        <v>932</v>
      </c>
      <c r="AT160">
        <v>6</v>
      </c>
    </row>
    <row r="161" spans="1:46">
      <c r="A161">
        <v>160</v>
      </c>
      <c r="B161">
        <v>33</v>
      </c>
      <c r="C161" t="s">
        <v>74</v>
      </c>
      <c r="D161" t="s">
        <v>286</v>
      </c>
      <c r="E161" t="s">
        <v>287</v>
      </c>
      <c r="F161">
        <v>52989</v>
      </c>
      <c r="G161" s="1" t="s">
        <v>498</v>
      </c>
      <c r="H161" s="2" t="s">
        <v>527</v>
      </c>
      <c r="I161" s="2"/>
      <c r="K161" s="21">
        <v>0</v>
      </c>
      <c r="L161" s="21">
        <v>6032685</v>
      </c>
      <c r="M161" s="21">
        <v>1146210</v>
      </c>
      <c r="N161" s="21">
        <v>7178895</v>
      </c>
      <c r="O161">
        <v>0</v>
      </c>
      <c r="P161">
        <v>0</v>
      </c>
      <c r="Q161">
        <v>0</v>
      </c>
      <c r="R161">
        <v>0</v>
      </c>
      <c r="S161">
        <v>0</v>
      </c>
      <c r="T161" t="s">
        <v>77</v>
      </c>
      <c r="U161">
        <v>0</v>
      </c>
      <c r="V161">
        <v>0</v>
      </c>
      <c r="W161">
        <v>0</v>
      </c>
      <c r="X161">
        <v>0</v>
      </c>
      <c r="AC161">
        <v>0</v>
      </c>
      <c r="AE161">
        <v>0</v>
      </c>
      <c r="AF161">
        <v>2</v>
      </c>
      <c r="AG161">
        <v>0</v>
      </c>
      <c r="AH161">
        <v>0</v>
      </c>
      <c r="AI161">
        <v>0</v>
      </c>
      <c r="AM161">
        <v>0</v>
      </c>
      <c r="AR161" t="s">
        <v>872</v>
      </c>
      <c r="AS161" t="s">
        <v>3769</v>
      </c>
      <c r="AT161">
        <v>6</v>
      </c>
    </row>
    <row r="162" spans="1:46">
      <c r="A162">
        <v>161</v>
      </c>
      <c r="B162">
        <v>33</v>
      </c>
      <c r="C162" t="s">
        <v>74</v>
      </c>
      <c r="D162" t="s">
        <v>83</v>
      </c>
      <c r="E162" t="s">
        <v>84</v>
      </c>
      <c r="F162">
        <v>52990</v>
      </c>
      <c r="G162" s="1" t="s">
        <v>528</v>
      </c>
      <c r="H162" s="2" t="s">
        <v>529</v>
      </c>
      <c r="I162" s="2"/>
      <c r="K162" s="21">
        <v>0</v>
      </c>
      <c r="L162" s="21">
        <v>1767131</v>
      </c>
      <c r="M162" s="21">
        <v>335755</v>
      </c>
      <c r="N162" s="21">
        <v>2102886</v>
      </c>
      <c r="O162">
        <v>0</v>
      </c>
      <c r="P162">
        <v>0</v>
      </c>
      <c r="Q162">
        <v>0</v>
      </c>
      <c r="R162">
        <v>0</v>
      </c>
      <c r="S162">
        <v>0</v>
      </c>
      <c r="T162" t="s">
        <v>77</v>
      </c>
      <c r="U162">
        <v>0</v>
      </c>
      <c r="V162">
        <v>0</v>
      </c>
      <c r="W162">
        <v>0</v>
      </c>
      <c r="X162">
        <v>0</v>
      </c>
      <c r="Y162">
        <v>0</v>
      </c>
      <c r="AC162">
        <v>0</v>
      </c>
      <c r="AE162">
        <v>0</v>
      </c>
      <c r="AF162">
        <v>2</v>
      </c>
      <c r="AG162">
        <v>0</v>
      </c>
      <c r="AH162">
        <v>0</v>
      </c>
      <c r="AI162">
        <v>0</v>
      </c>
      <c r="AM162">
        <v>0</v>
      </c>
      <c r="AR162" t="s">
        <v>872</v>
      </c>
      <c r="AS162" t="s">
        <v>997</v>
      </c>
      <c r="AT162">
        <v>6</v>
      </c>
    </row>
    <row r="163" spans="1:46">
      <c r="A163">
        <v>162</v>
      </c>
      <c r="B163">
        <v>33</v>
      </c>
      <c r="C163" t="s">
        <v>74</v>
      </c>
      <c r="D163" t="s">
        <v>292</v>
      </c>
      <c r="E163" t="s">
        <v>293</v>
      </c>
      <c r="F163">
        <v>52991</v>
      </c>
      <c r="G163" s="1" t="s">
        <v>528</v>
      </c>
      <c r="H163" s="2" t="s">
        <v>530</v>
      </c>
      <c r="I163" s="2" t="s">
        <v>531</v>
      </c>
      <c r="K163" s="21">
        <v>0</v>
      </c>
      <c r="L163" s="21">
        <v>53448</v>
      </c>
      <c r="M163" s="21">
        <v>10155</v>
      </c>
      <c r="N163" s="21">
        <v>63603</v>
      </c>
      <c r="O163">
        <v>0</v>
      </c>
      <c r="P163">
        <v>0</v>
      </c>
      <c r="Q163">
        <v>0</v>
      </c>
      <c r="R163">
        <v>0</v>
      </c>
      <c r="S163">
        <v>0</v>
      </c>
      <c r="T163" t="s">
        <v>77</v>
      </c>
      <c r="U163">
        <v>0</v>
      </c>
      <c r="V163">
        <v>0</v>
      </c>
      <c r="W163">
        <v>0</v>
      </c>
      <c r="X163">
        <v>0</v>
      </c>
      <c r="Y163">
        <v>0</v>
      </c>
      <c r="AC163">
        <v>0</v>
      </c>
      <c r="AE163">
        <v>0</v>
      </c>
      <c r="AF163">
        <v>2</v>
      </c>
      <c r="AG163">
        <v>0</v>
      </c>
      <c r="AH163">
        <v>0</v>
      </c>
      <c r="AI163">
        <v>0</v>
      </c>
      <c r="AM163">
        <v>0</v>
      </c>
      <c r="AR163" t="s">
        <v>872</v>
      </c>
      <c r="AS163" t="s">
        <v>1023</v>
      </c>
      <c r="AT163">
        <v>6</v>
      </c>
    </row>
    <row r="164" spans="1:46">
      <c r="A164">
        <v>163</v>
      </c>
      <c r="B164">
        <v>33</v>
      </c>
      <c r="C164" t="s">
        <v>74</v>
      </c>
      <c r="D164" t="s">
        <v>294</v>
      </c>
      <c r="E164" t="s">
        <v>295</v>
      </c>
      <c r="F164">
        <v>52992</v>
      </c>
      <c r="G164" s="1" t="s">
        <v>528</v>
      </c>
      <c r="H164" s="2" t="s">
        <v>532</v>
      </c>
      <c r="I164" s="2"/>
      <c r="K164" s="21">
        <v>0</v>
      </c>
      <c r="L164" s="21">
        <v>610200</v>
      </c>
      <c r="M164" s="21">
        <v>115938</v>
      </c>
      <c r="N164" s="21">
        <v>726138</v>
      </c>
      <c r="O164">
        <v>0</v>
      </c>
      <c r="P164">
        <v>0</v>
      </c>
      <c r="Q164">
        <v>0</v>
      </c>
      <c r="R164">
        <v>0</v>
      </c>
      <c r="S164">
        <v>0</v>
      </c>
      <c r="T164" t="s">
        <v>77</v>
      </c>
      <c r="U164">
        <v>0</v>
      </c>
      <c r="V164">
        <v>0</v>
      </c>
      <c r="W164">
        <v>0</v>
      </c>
      <c r="X164">
        <v>0</v>
      </c>
      <c r="Y164">
        <v>0</v>
      </c>
      <c r="AC164">
        <v>0</v>
      </c>
      <c r="AE164">
        <v>0</v>
      </c>
      <c r="AF164">
        <v>2</v>
      </c>
      <c r="AG164">
        <v>0</v>
      </c>
      <c r="AH164">
        <v>0</v>
      </c>
      <c r="AI164">
        <v>0</v>
      </c>
      <c r="AM164">
        <v>0</v>
      </c>
      <c r="AR164" t="s">
        <v>872</v>
      </c>
      <c r="AS164" t="s">
        <v>1022</v>
      </c>
      <c r="AT164">
        <v>6</v>
      </c>
    </row>
    <row r="165" spans="1:46">
      <c r="A165">
        <v>164</v>
      </c>
      <c r="B165">
        <v>33</v>
      </c>
      <c r="C165" t="s">
        <v>74</v>
      </c>
      <c r="D165" t="s">
        <v>298</v>
      </c>
      <c r="E165" t="s">
        <v>299</v>
      </c>
      <c r="F165">
        <v>52993</v>
      </c>
      <c r="G165" s="1" t="s">
        <v>528</v>
      </c>
      <c r="H165" s="2" t="s">
        <v>533</v>
      </c>
      <c r="I165" s="2"/>
      <c r="K165" s="21">
        <v>0</v>
      </c>
      <c r="L165" s="21">
        <v>247476</v>
      </c>
      <c r="M165" s="21">
        <v>47020</v>
      </c>
      <c r="N165" s="21">
        <v>294496</v>
      </c>
      <c r="O165">
        <v>0</v>
      </c>
      <c r="P165">
        <v>0</v>
      </c>
      <c r="Q165">
        <v>0</v>
      </c>
      <c r="R165">
        <v>0</v>
      </c>
      <c r="S165">
        <v>0</v>
      </c>
      <c r="T165" t="s">
        <v>77</v>
      </c>
      <c r="U165">
        <v>0</v>
      </c>
      <c r="V165">
        <v>0</v>
      </c>
      <c r="W165">
        <v>0</v>
      </c>
      <c r="X165">
        <v>0</v>
      </c>
      <c r="Y165">
        <v>0</v>
      </c>
      <c r="AC165">
        <v>0</v>
      </c>
      <c r="AE165">
        <v>0</v>
      </c>
      <c r="AF165">
        <v>2</v>
      </c>
      <c r="AG165">
        <v>0</v>
      </c>
      <c r="AH165">
        <v>0</v>
      </c>
      <c r="AI165">
        <v>0</v>
      </c>
      <c r="AM165">
        <v>0</v>
      </c>
      <c r="AR165" t="s">
        <v>872</v>
      </c>
      <c r="AS165" t="s">
        <v>1021</v>
      </c>
      <c r="AT165">
        <v>6</v>
      </c>
    </row>
    <row r="166" spans="1:46">
      <c r="A166">
        <v>165</v>
      </c>
      <c r="B166">
        <v>33</v>
      </c>
      <c r="C166" t="s">
        <v>74</v>
      </c>
      <c r="D166" t="s">
        <v>300</v>
      </c>
      <c r="E166" t="s">
        <v>301</v>
      </c>
      <c r="F166">
        <v>52994</v>
      </c>
      <c r="G166" s="1" t="s">
        <v>528</v>
      </c>
      <c r="H166" s="2" t="s">
        <v>534</v>
      </c>
      <c r="I166" s="2" t="s">
        <v>535</v>
      </c>
      <c r="K166" s="21">
        <v>0</v>
      </c>
      <c r="L166" s="21">
        <v>106896</v>
      </c>
      <c r="M166" s="21">
        <v>20310</v>
      </c>
      <c r="N166" s="21">
        <v>127206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77</v>
      </c>
      <c r="U166">
        <v>0</v>
      </c>
      <c r="V166">
        <v>0</v>
      </c>
      <c r="W166">
        <v>0</v>
      </c>
      <c r="X166">
        <v>0</v>
      </c>
      <c r="Y166">
        <v>0</v>
      </c>
      <c r="AC166">
        <v>0</v>
      </c>
      <c r="AE166">
        <v>0</v>
      </c>
      <c r="AF166">
        <v>2</v>
      </c>
      <c r="AG166">
        <v>0</v>
      </c>
      <c r="AH166">
        <v>0</v>
      </c>
      <c r="AI166">
        <v>0</v>
      </c>
      <c r="AM166">
        <v>0</v>
      </c>
      <c r="AR166" t="s">
        <v>872</v>
      </c>
      <c r="AS166" t="s">
        <v>1030</v>
      </c>
      <c r="AT166">
        <v>6</v>
      </c>
    </row>
    <row r="167" spans="1:46">
      <c r="A167">
        <v>166</v>
      </c>
      <c r="B167">
        <v>33</v>
      </c>
      <c r="C167" t="s">
        <v>74</v>
      </c>
      <c r="D167" t="s">
        <v>302</v>
      </c>
      <c r="E167" t="s">
        <v>303</v>
      </c>
      <c r="F167">
        <v>52995</v>
      </c>
      <c r="G167" s="1" t="s">
        <v>528</v>
      </c>
      <c r="H167" s="2" t="s">
        <v>536</v>
      </c>
      <c r="I167" s="2" t="s">
        <v>537</v>
      </c>
      <c r="K167" s="21">
        <v>0</v>
      </c>
      <c r="L167" s="21">
        <v>66810</v>
      </c>
      <c r="M167" s="21">
        <v>12694</v>
      </c>
      <c r="N167" s="21">
        <v>79504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77</v>
      </c>
      <c r="U167">
        <v>0</v>
      </c>
      <c r="V167">
        <v>0</v>
      </c>
      <c r="W167">
        <v>0</v>
      </c>
      <c r="X167">
        <v>0</v>
      </c>
      <c r="Y167">
        <v>0</v>
      </c>
      <c r="AC167">
        <v>0</v>
      </c>
      <c r="AE167">
        <v>0</v>
      </c>
      <c r="AF167">
        <v>2</v>
      </c>
      <c r="AG167">
        <v>0</v>
      </c>
      <c r="AH167">
        <v>0</v>
      </c>
      <c r="AI167">
        <v>0</v>
      </c>
      <c r="AM167">
        <v>0</v>
      </c>
      <c r="AR167" t="s">
        <v>872</v>
      </c>
      <c r="AS167" t="s">
        <v>1032</v>
      </c>
      <c r="AT167">
        <v>6</v>
      </c>
    </row>
    <row r="168" spans="1:46">
      <c r="A168">
        <v>167</v>
      </c>
      <c r="B168">
        <v>33</v>
      </c>
      <c r="C168" t="s">
        <v>74</v>
      </c>
      <c r="D168" t="s">
        <v>304</v>
      </c>
      <c r="E168" t="s">
        <v>305</v>
      </c>
      <c r="F168">
        <v>52996</v>
      </c>
      <c r="G168" s="1" t="s">
        <v>528</v>
      </c>
      <c r="H168" s="2" t="s">
        <v>538</v>
      </c>
      <c r="I168" s="2" t="s">
        <v>539</v>
      </c>
      <c r="K168" s="21">
        <v>0</v>
      </c>
      <c r="L168" s="21">
        <v>80172</v>
      </c>
      <c r="M168" s="21">
        <v>15233</v>
      </c>
      <c r="N168" s="21">
        <v>95405</v>
      </c>
      <c r="O168">
        <v>0</v>
      </c>
      <c r="P168">
        <v>0</v>
      </c>
      <c r="Q168">
        <v>0</v>
      </c>
      <c r="R168">
        <v>0</v>
      </c>
      <c r="S168">
        <v>0</v>
      </c>
      <c r="T168" t="s">
        <v>77</v>
      </c>
      <c r="U168">
        <v>0</v>
      </c>
      <c r="V168">
        <v>0</v>
      </c>
      <c r="W168">
        <v>0</v>
      </c>
      <c r="X168">
        <v>0</v>
      </c>
      <c r="Y168">
        <v>0</v>
      </c>
      <c r="AC168">
        <v>0</v>
      </c>
      <c r="AE168">
        <v>0</v>
      </c>
      <c r="AF168">
        <v>2</v>
      </c>
      <c r="AG168">
        <v>0</v>
      </c>
      <c r="AH168">
        <v>0</v>
      </c>
      <c r="AI168">
        <v>0</v>
      </c>
      <c r="AM168">
        <v>0</v>
      </c>
      <c r="AR168" t="s">
        <v>872</v>
      </c>
      <c r="AS168" t="s">
        <v>1033</v>
      </c>
      <c r="AT168">
        <v>6</v>
      </c>
    </row>
    <row r="169" spans="1:46">
      <c r="A169">
        <v>168</v>
      </c>
      <c r="B169">
        <v>33</v>
      </c>
      <c r="C169" t="s">
        <v>74</v>
      </c>
      <c r="D169" t="s">
        <v>306</v>
      </c>
      <c r="E169" t="s">
        <v>307</v>
      </c>
      <c r="F169">
        <v>52997</v>
      </c>
      <c r="G169" s="1" t="s">
        <v>528</v>
      </c>
      <c r="H169" s="2" t="s">
        <v>540</v>
      </c>
      <c r="I169" s="2" t="s">
        <v>541</v>
      </c>
      <c r="K169" s="21">
        <v>0</v>
      </c>
      <c r="L169" s="21">
        <v>738624</v>
      </c>
      <c r="M169" s="21">
        <v>140338</v>
      </c>
      <c r="N169" s="21">
        <v>878962</v>
      </c>
      <c r="O169">
        <v>0</v>
      </c>
      <c r="P169">
        <v>0</v>
      </c>
      <c r="Q169">
        <v>0</v>
      </c>
      <c r="R169">
        <v>0</v>
      </c>
      <c r="S169">
        <v>0</v>
      </c>
      <c r="T169" t="s">
        <v>77</v>
      </c>
      <c r="U169">
        <v>0</v>
      </c>
      <c r="V169">
        <v>0</v>
      </c>
      <c r="W169">
        <v>0</v>
      </c>
      <c r="X169">
        <v>0</v>
      </c>
      <c r="Y169">
        <v>0</v>
      </c>
      <c r="AC169">
        <v>0</v>
      </c>
      <c r="AE169">
        <v>0</v>
      </c>
      <c r="AF169">
        <v>2</v>
      </c>
      <c r="AG169">
        <v>0</v>
      </c>
      <c r="AH169">
        <v>0</v>
      </c>
      <c r="AI169">
        <v>0</v>
      </c>
      <c r="AM169">
        <v>0</v>
      </c>
      <c r="AR169" t="s">
        <v>872</v>
      </c>
      <c r="AS169" t="s">
        <v>1034</v>
      </c>
      <c r="AT169">
        <v>6</v>
      </c>
    </row>
    <row r="170" spans="1:46">
      <c r="A170">
        <v>169</v>
      </c>
      <c r="B170">
        <v>33</v>
      </c>
      <c r="C170" t="s">
        <v>74</v>
      </c>
      <c r="D170" t="s">
        <v>350</v>
      </c>
      <c r="E170" t="s">
        <v>351</v>
      </c>
      <c r="F170">
        <v>52998</v>
      </c>
      <c r="G170" s="1" t="s">
        <v>528</v>
      </c>
      <c r="H170" s="2" t="s">
        <v>542</v>
      </c>
      <c r="I170" s="2"/>
      <c r="K170" s="21">
        <v>0</v>
      </c>
      <c r="L170" s="21">
        <v>3434251</v>
      </c>
      <c r="M170" s="21">
        <v>652507</v>
      </c>
      <c r="N170" s="21">
        <v>4086758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77</v>
      </c>
      <c r="U170">
        <v>0</v>
      </c>
      <c r="V170">
        <v>0</v>
      </c>
      <c r="W170">
        <v>0</v>
      </c>
      <c r="X170">
        <v>0</v>
      </c>
      <c r="Y170">
        <v>0</v>
      </c>
      <c r="AC170">
        <v>0</v>
      </c>
      <c r="AE170">
        <v>0</v>
      </c>
      <c r="AF170">
        <v>2</v>
      </c>
      <c r="AG170">
        <v>0</v>
      </c>
      <c r="AH170">
        <v>0</v>
      </c>
      <c r="AI170">
        <v>0</v>
      </c>
      <c r="AM170">
        <v>0</v>
      </c>
      <c r="AR170" t="s">
        <v>872</v>
      </c>
      <c r="AS170" t="s">
        <v>1015</v>
      </c>
      <c r="AT170">
        <v>6</v>
      </c>
    </row>
    <row r="171" spans="1:46">
      <c r="A171">
        <v>170</v>
      </c>
      <c r="B171">
        <v>33</v>
      </c>
      <c r="C171" t="s">
        <v>74</v>
      </c>
      <c r="D171" t="s">
        <v>230</v>
      </c>
      <c r="E171" t="s">
        <v>231</v>
      </c>
      <c r="F171">
        <v>52999</v>
      </c>
      <c r="G171" s="1" t="s">
        <v>528</v>
      </c>
      <c r="H171" s="2" t="s">
        <v>543</v>
      </c>
      <c r="I171" s="2" t="s">
        <v>544</v>
      </c>
      <c r="K171" s="21">
        <v>0</v>
      </c>
      <c r="L171" s="21">
        <v>491352</v>
      </c>
      <c r="M171" s="21">
        <v>93357</v>
      </c>
      <c r="N171" s="21">
        <v>584709</v>
      </c>
      <c r="O171">
        <v>0</v>
      </c>
      <c r="P171">
        <v>0</v>
      </c>
      <c r="Q171">
        <v>0</v>
      </c>
      <c r="R171">
        <v>0</v>
      </c>
      <c r="S171">
        <v>0</v>
      </c>
      <c r="T171" t="s">
        <v>77</v>
      </c>
      <c r="U171">
        <v>0</v>
      </c>
      <c r="V171">
        <v>0</v>
      </c>
      <c r="W171">
        <v>0</v>
      </c>
      <c r="X171">
        <v>0</v>
      </c>
      <c r="AC171">
        <v>0</v>
      </c>
      <c r="AE171">
        <v>0</v>
      </c>
      <c r="AF171">
        <v>2</v>
      </c>
      <c r="AG171">
        <v>0</v>
      </c>
      <c r="AH171">
        <v>0</v>
      </c>
      <c r="AI171">
        <v>0</v>
      </c>
      <c r="AM171">
        <v>0</v>
      </c>
      <c r="AR171" t="s">
        <v>872</v>
      </c>
      <c r="AS171" t="s">
        <v>3744</v>
      </c>
      <c r="AT171">
        <v>6</v>
      </c>
    </row>
    <row r="172" spans="1:46">
      <c r="A172">
        <v>171</v>
      </c>
      <c r="B172">
        <v>33</v>
      </c>
      <c r="C172" t="s">
        <v>74</v>
      </c>
      <c r="D172" t="s">
        <v>284</v>
      </c>
      <c r="E172" t="s">
        <v>285</v>
      </c>
      <c r="F172">
        <v>53000</v>
      </c>
      <c r="G172" s="1" t="s">
        <v>528</v>
      </c>
      <c r="H172" s="2" t="s">
        <v>545</v>
      </c>
      <c r="I172" s="2" t="s">
        <v>546</v>
      </c>
      <c r="K172" s="21">
        <v>0</v>
      </c>
      <c r="L172" s="21">
        <v>1055503</v>
      </c>
      <c r="M172" s="21">
        <v>200546</v>
      </c>
      <c r="N172" s="21">
        <v>1256049</v>
      </c>
      <c r="O172">
        <v>0</v>
      </c>
      <c r="P172">
        <v>0</v>
      </c>
      <c r="Q172">
        <v>0</v>
      </c>
      <c r="R172">
        <v>0</v>
      </c>
      <c r="S172">
        <v>0</v>
      </c>
      <c r="T172" t="s">
        <v>77</v>
      </c>
      <c r="U172">
        <v>0</v>
      </c>
      <c r="V172">
        <v>0</v>
      </c>
      <c r="W172">
        <v>0</v>
      </c>
      <c r="X172">
        <v>0</v>
      </c>
      <c r="Y172">
        <v>0</v>
      </c>
      <c r="AC172">
        <v>0</v>
      </c>
      <c r="AE172">
        <v>0</v>
      </c>
      <c r="AF172">
        <v>2</v>
      </c>
      <c r="AG172">
        <v>0</v>
      </c>
      <c r="AH172">
        <v>0</v>
      </c>
      <c r="AI172">
        <v>0</v>
      </c>
      <c r="AM172">
        <v>0</v>
      </c>
      <c r="AR172" t="s">
        <v>872</v>
      </c>
      <c r="AS172" t="s">
        <v>1016</v>
      </c>
      <c r="AT172">
        <v>6</v>
      </c>
    </row>
    <row r="173" spans="1:46">
      <c r="A173">
        <v>172</v>
      </c>
      <c r="B173">
        <v>33</v>
      </c>
      <c r="C173" t="s">
        <v>74</v>
      </c>
      <c r="D173" t="s">
        <v>228</v>
      </c>
      <c r="E173" t="s">
        <v>229</v>
      </c>
      <c r="F173">
        <v>53001</v>
      </c>
      <c r="G173" s="1" t="s">
        <v>528</v>
      </c>
      <c r="H173" s="2" t="s">
        <v>547</v>
      </c>
      <c r="I173" s="2" t="s">
        <v>548</v>
      </c>
      <c r="K173" s="21">
        <v>0</v>
      </c>
      <c r="L173" s="21">
        <v>4912928</v>
      </c>
      <c r="M173" s="21">
        <v>933456</v>
      </c>
      <c r="N173" s="21">
        <v>5846384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77</v>
      </c>
      <c r="U173">
        <v>0</v>
      </c>
      <c r="V173">
        <v>0</v>
      </c>
      <c r="W173">
        <v>0</v>
      </c>
      <c r="X173">
        <v>0</v>
      </c>
      <c r="Y173">
        <v>0</v>
      </c>
      <c r="AC173">
        <v>0</v>
      </c>
      <c r="AE173">
        <v>0</v>
      </c>
      <c r="AF173">
        <v>2</v>
      </c>
      <c r="AG173">
        <v>0</v>
      </c>
      <c r="AH173">
        <v>0</v>
      </c>
      <c r="AI173">
        <v>0</v>
      </c>
      <c r="AM173">
        <v>0</v>
      </c>
      <c r="AR173" t="s">
        <v>872</v>
      </c>
      <c r="AS173" t="s">
        <v>1017</v>
      </c>
      <c r="AT173">
        <v>6</v>
      </c>
    </row>
    <row r="174" spans="1:46">
      <c r="A174">
        <v>173</v>
      </c>
      <c r="B174">
        <v>33</v>
      </c>
      <c r="C174" t="s">
        <v>74</v>
      </c>
      <c r="D174" t="s">
        <v>218</v>
      </c>
      <c r="E174" t="s">
        <v>219</v>
      </c>
      <c r="F174">
        <v>53002</v>
      </c>
      <c r="G174" s="1" t="s">
        <v>528</v>
      </c>
      <c r="H174" s="2" t="s">
        <v>549</v>
      </c>
      <c r="I174" s="2"/>
      <c r="J174" t="s">
        <v>550</v>
      </c>
      <c r="K174" s="21">
        <v>0</v>
      </c>
      <c r="L174" s="21">
        <v>962480</v>
      </c>
      <c r="M174" s="21">
        <v>182871</v>
      </c>
      <c r="N174" s="21">
        <v>1145351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77</v>
      </c>
      <c r="U174">
        <v>0</v>
      </c>
      <c r="V174">
        <v>0</v>
      </c>
      <c r="W174">
        <v>0</v>
      </c>
      <c r="X174">
        <v>0</v>
      </c>
      <c r="AC174">
        <v>0</v>
      </c>
      <c r="AE174">
        <v>0</v>
      </c>
      <c r="AF174">
        <v>2</v>
      </c>
      <c r="AG174">
        <v>0</v>
      </c>
      <c r="AH174">
        <v>0</v>
      </c>
      <c r="AI174">
        <v>0</v>
      </c>
      <c r="AM174">
        <v>0</v>
      </c>
      <c r="AR174" t="s">
        <v>872</v>
      </c>
      <c r="AS174" t="s">
        <v>937</v>
      </c>
      <c r="AT174">
        <v>6</v>
      </c>
    </row>
    <row r="175" spans="1:46">
      <c r="A175">
        <v>174</v>
      </c>
      <c r="B175">
        <v>33</v>
      </c>
      <c r="C175" t="s">
        <v>74</v>
      </c>
      <c r="D175" t="s">
        <v>236</v>
      </c>
      <c r="E175" t="s">
        <v>237</v>
      </c>
      <c r="F175">
        <v>53003</v>
      </c>
      <c r="G175" s="1" t="s">
        <v>528</v>
      </c>
      <c r="H175" s="2" t="s">
        <v>552</v>
      </c>
      <c r="I175" s="2" t="s">
        <v>553</v>
      </c>
      <c r="K175" s="21">
        <v>0</v>
      </c>
      <c r="L175" s="21">
        <v>16323912</v>
      </c>
      <c r="M175" s="21">
        <v>3101543</v>
      </c>
      <c r="N175" s="21">
        <v>19425455</v>
      </c>
      <c r="O175">
        <v>0</v>
      </c>
      <c r="P175">
        <v>0</v>
      </c>
      <c r="Q175">
        <v>0</v>
      </c>
      <c r="R175">
        <v>0</v>
      </c>
      <c r="S175">
        <v>0</v>
      </c>
      <c r="T175" t="s">
        <v>77</v>
      </c>
      <c r="U175">
        <v>0</v>
      </c>
      <c r="V175">
        <v>0</v>
      </c>
      <c r="W175">
        <v>0</v>
      </c>
      <c r="X175">
        <v>0</v>
      </c>
      <c r="Y175">
        <v>0</v>
      </c>
      <c r="AC175">
        <v>0</v>
      </c>
      <c r="AE175">
        <v>0</v>
      </c>
      <c r="AF175">
        <v>2</v>
      </c>
      <c r="AG175">
        <v>0</v>
      </c>
      <c r="AH175">
        <v>0</v>
      </c>
      <c r="AI175">
        <v>0</v>
      </c>
      <c r="AM175">
        <v>0</v>
      </c>
      <c r="AR175" t="s">
        <v>872</v>
      </c>
      <c r="AS175" t="s">
        <v>998</v>
      </c>
      <c r="AT175">
        <v>6</v>
      </c>
    </row>
    <row r="176" spans="1:46">
      <c r="A176">
        <v>175</v>
      </c>
      <c r="B176">
        <v>33</v>
      </c>
      <c r="C176" t="s">
        <v>74</v>
      </c>
      <c r="D176" t="s">
        <v>236</v>
      </c>
      <c r="E176" t="s">
        <v>237</v>
      </c>
      <c r="F176">
        <v>53004</v>
      </c>
      <c r="G176" s="1" t="s">
        <v>528</v>
      </c>
      <c r="H176" s="2" t="s">
        <v>554</v>
      </c>
      <c r="I176" s="2" t="s">
        <v>555</v>
      </c>
      <c r="K176" s="21">
        <v>0</v>
      </c>
      <c r="L176" s="21">
        <v>352266</v>
      </c>
      <c r="M176" s="21">
        <v>66930</v>
      </c>
      <c r="N176" s="21">
        <v>419196</v>
      </c>
      <c r="O176">
        <v>0</v>
      </c>
      <c r="P176">
        <v>0</v>
      </c>
      <c r="Q176">
        <v>0</v>
      </c>
      <c r="R176">
        <v>0</v>
      </c>
      <c r="S176">
        <v>0</v>
      </c>
      <c r="T176" t="s">
        <v>77</v>
      </c>
      <c r="U176">
        <v>0</v>
      </c>
      <c r="V176">
        <v>0</v>
      </c>
      <c r="W176">
        <v>0</v>
      </c>
      <c r="X176">
        <v>0</v>
      </c>
      <c r="Y176">
        <v>0</v>
      </c>
      <c r="AC176">
        <v>0</v>
      </c>
      <c r="AE176">
        <v>0</v>
      </c>
      <c r="AF176">
        <v>2</v>
      </c>
      <c r="AG176">
        <v>0</v>
      </c>
      <c r="AH176">
        <v>0</v>
      </c>
      <c r="AI176">
        <v>0</v>
      </c>
      <c r="AM176">
        <v>0</v>
      </c>
      <c r="AR176" t="s">
        <v>872</v>
      </c>
      <c r="AS176" t="s">
        <v>998</v>
      </c>
      <c r="AT176">
        <v>6</v>
      </c>
    </row>
    <row r="177" spans="1:46">
      <c r="A177">
        <v>176</v>
      </c>
      <c r="B177">
        <v>33</v>
      </c>
      <c r="C177" t="s">
        <v>74</v>
      </c>
      <c r="D177" t="s">
        <v>358</v>
      </c>
      <c r="E177" t="s">
        <v>359</v>
      </c>
      <c r="F177">
        <v>53005</v>
      </c>
      <c r="G177" s="1" t="s">
        <v>528</v>
      </c>
      <c r="H177" s="2" t="s">
        <v>556</v>
      </c>
      <c r="I177" s="2" t="s">
        <v>557</v>
      </c>
      <c r="K177" s="21">
        <v>0</v>
      </c>
      <c r="L177" s="21">
        <v>133620</v>
      </c>
      <c r="M177" s="21">
        <v>25388</v>
      </c>
      <c r="N177" s="21">
        <v>159008</v>
      </c>
      <c r="O177">
        <v>0</v>
      </c>
      <c r="P177">
        <v>0</v>
      </c>
      <c r="Q177">
        <v>0</v>
      </c>
      <c r="R177">
        <v>0</v>
      </c>
      <c r="S177">
        <v>0</v>
      </c>
      <c r="T177" t="s">
        <v>77</v>
      </c>
      <c r="U177">
        <v>0</v>
      </c>
      <c r="V177">
        <v>0</v>
      </c>
      <c r="W177">
        <v>0</v>
      </c>
      <c r="X177">
        <v>0</v>
      </c>
      <c r="Y177">
        <v>0</v>
      </c>
      <c r="AC177">
        <v>0</v>
      </c>
      <c r="AE177">
        <v>0</v>
      </c>
      <c r="AF177">
        <v>2</v>
      </c>
      <c r="AG177">
        <v>0</v>
      </c>
      <c r="AH177">
        <v>0</v>
      </c>
      <c r="AI177">
        <v>0</v>
      </c>
      <c r="AM177">
        <v>0</v>
      </c>
      <c r="AR177" t="s">
        <v>872</v>
      </c>
      <c r="AS177" t="s">
        <v>1037</v>
      </c>
      <c r="AT177">
        <v>6</v>
      </c>
    </row>
    <row r="178" spans="1:46">
      <c r="A178">
        <v>177</v>
      </c>
      <c r="B178">
        <v>33</v>
      </c>
      <c r="C178" t="s">
        <v>74</v>
      </c>
      <c r="D178" t="s">
        <v>387</v>
      </c>
      <c r="E178" t="s">
        <v>388</v>
      </c>
      <c r="F178">
        <v>53006</v>
      </c>
      <c r="G178" s="1" t="s">
        <v>528</v>
      </c>
      <c r="H178" s="2" t="s">
        <v>558</v>
      </c>
      <c r="I178" s="2"/>
      <c r="K178" s="21">
        <v>0</v>
      </c>
      <c r="L178" s="21">
        <v>6867</v>
      </c>
      <c r="M178" s="21">
        <v>1305</v>
      </c>
      <c r="N178" s="21">
        <v>8172</v>
      </c>
      <c r="O178">
        <v>0</v>
      </c>
      <c r="P178">
        <v>0</v>
      </c>
      <c r="Q178">
        <v>0</v>
      </c>
      <c r="R178">
        <v>0</v>
      </c>
      <c r="S178">
        <v>0</v>
      </c>
      <c r="T178" t="s">
        <v>77</v>
      </c>
      <c r="U178">
        <v>0</v>
      </c>
      <c r="V178">
        <v>0</v>
      </c>
      <c r="W178">
        <v>0</v>
      </c>
      <c r="X178">
        <v>0</v>
      </c>
      <c r="AC178">
        <v>0</v>
      </c>
      <c r="AE178">
        <v>0</v>
      </c>
      <c r="AF178">
        <v>2</v>
      </c>
      <c r="AG178">
        <v>0</v>
      </c>
      <c r="AH178">
        <v>0</v>
      </c>
      <c r="AI178">
        <v>0</v>
      </c>
      <c r="AM178">
        <v>0</v>
      </c>
      <c r="AR178" t="s">
        <v>872</v>
      </c>
      <c r="AS178" t="s">
        <v>3775</v>
      </c>
      <c r="AT178">
        <v>6</v>
      </c>
    </row>
    <row r="179" spans="1:46">
      <c r="A179">
        <v>178</v>
      </c>
      <c r="B179">
        <v>33</v>
      </c>
      <c r="C179" t="s">
        <v>74</v>
      </c>
      <c r="D179" t="s">
        <v>333</v>
      </c>
      <c r="E179" t="s">
        <v>334</v>
      </c>
      <c r="F179">
        <v>53007</v>
      </c>
      <c r="G179" s="1" t="s">
        <v>528</v>
      </c>
      <c r="H179" s="2" t="s">
        <v>559</v>
      </c>
      <c r="I179" s="2" t="s">
        <v>560</v>
      </c>
      <c r="K179" s="21">
        <v>0</v>
      </c>
      <c r="L179" s="21">
        <v>983550</v>
      </c>
      <c r="M179" s="21">
        <v>186875</v>
      </c>
      <c r="N179" s="21">
        <v>1170425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77</v>
      </c>
      <c r="U179">
        <v>0</v>
      </c>
      <c r="V179">
        <v>0</v>
      </c>
      <c r="W179">
        <v>0</v>
      </c>
      <c r="X179">
        <v>0</v>
      </c>
      <c r="AC179">
        <v>0</v>
      </c>
      <c r="AE179">
        <v>0</v>
      </c>
      <c r="AF179">
        <v>2</v>
      </c>
      <c r="AG179">
        <v>0</v>
      </c>
      <c r="AH179">
        <v>0</v>
      </c>
      <c r="AI179">
        <v>0</v>
      </c>
      <c r="AM179">
        <v>0</v>
      </c>
      <c r="AR179" t="s">
        <v>872</v>
      </c>
      <c r="AS179" t="s">
        <v>984</v>
      </c>
      <c r="AT179">
        <v>6</v>
      </c>
    </row>
    <row r="180" spans="1:46">
      <c r="A180">
        <v>179</v>
      </c>
      <c r="B180">
        <v>33</v>
      </c>
      <c r="C180" t="s">
        <v>74</v>
      </c>
      <c r="D180" t="s">
        <v>381</v>
      </c>
      <c r="E180" t="s">
        <v>382</v>
      </c>
      <c r="F180">
        <v>53008</v>
      </c>
      <c r="G180" s="1" t="s">
        <v>528</v>
      </c>
      <c r="H180" s="2" t="s">
        <v>561</v>
      </c>
      <c r="I180" s="2" t="s">
        <v>562</v>
      </c>
      <c r="K180" s="21">
        <v>0</v>
      </c>
      <c r="L180" s="21">
        <v>22352749</v>
      </c>
      <c r="M180" s="21">
        <v>4247022</v>
      </c>
      <c r="N180" s="21">
        <v>26599771</v>
      </c>
      <c r="O180">
        <v>0</v>
      </c>
      <c r="P180">
        <v>0</v>
      </c>
      <c r="Q180">
        <v>0</v>
      </c>
      <c r="R180">
        <v>0</v>
      </c>
      <c r="S180">
        <v>0</v>
      </c>
      <c r="T180" t="s">
        <v>77</v>
      </c>
      <c r="U180">
        <v>0</v>
      </c>
      <c r="V180">
        <v>0</v>
      </c>
      <c r="W180">
        <v>0</v>
      </c>
      <c r="X180">
        <v>0</v>
      </c>
      <c r="AC180">
        <v>0</v>
      </c>
      <c r="AE180">
        <v>0</v>
      </c>
      <c r="AF180">
        <v>2</v>
      </c>
      <c r="AG180">
        <v>0</v>
      </c>
      <c r="AH180">
        <v>0</v>
      </c>
      <c r="AI180">
        <v>0</v>
      </c>
      <c r="AM180">
        <v>0</v>
      </c>
      <c r="AR180" t="s">
        <v>872</v>
      </c>
      <c r="AS180" t="s">
        <v>3776</v>
      </c>
      <c r="AT180">
        <v>6</v>
      </c>
    </row>
    <row r="181" spans="1:46">
      <c r="A181">
        <v>180</v>
      </c>
      <c r="B181">
        <v>33</v>
      </c>
      <c r="C181" t="s">
        <v>74</v>
      </c>
      <c r="D181" t="s">
        <v>169</v>
      </c>
      <c r="E181" t="s">
        <v>170</v>
      </c>
      <c r="F181">
        <v>53009</v>
      </c>
      <c r="G181" s="1" t="s">
        <v>528</v>
      </c>
      <c r="H181" s="2" t="s">
        <v>563</v>
      </c>
      <c r="I181" s="2" t="s">
        <v>564</v>
      </c>
      <c r="K181" s="21">
        <v>0</v>
      </c>
      <c r="L181" s="21">
        <v>822747</v>
      </c>
      <c r="M181" s="21">
        <v>156322</v>
      </c>
      <c r="N181" s="21">
        <v>979069</v>
      </c>
      <c r="O181">
        <v>0</v>
      </c>
      <c r="P181">
        <v>0</v>
      </c>
      <c r="Q181">
        <v>0</v>
      </c>
      <c r="R181">
        <v>0</v>
      </c>
      <c r="S181">
        <v>0</v>
      </c>
      <c r="T181" t="s">
        <v>77</v>
      </c>
      <c r="U181">
        <v>0</v>
      </c>
      <c r="V181">
        <v>0</v>
      </c>
      <c r="W181">
        <v>0</v>
      </c>
      <c r="X181">
        <v>0</v>
      </c>
      <c r="AC181">
        <v>0</v>
      </c>
      <c r="AE181">
        <v>0</v>
      </c>
      <c r="AF181">
        <v>2</v>
      </c>
      <c r="AG181">
        <v>0</v>
      </c>
      <c r="AH181">
        <v>0</v>
      </c>
      <c r="AI181">
        <v>0</v>
      </c>
      <c r="AM181">
        <v>0</v>
      </c>
      <c r="AR181" t="s">
        <v>872</v>
      </c>
      <c r="AS181" t="s">
        <v>986</v>
      </c>
      <c r="AT181">
        <v>6</v>
      </c>
    </row>
    <row r="182" spans="1:46">
      <c r="A182">
        <v>181</v>
      </c>
      <c r="B182">
        <v>33</v>
      </c>
      <c r="C182" t="s">
        <v>74</v>
      </c>
      <c r="D182" t="s">
        <v>310</v>
      </c>
      <c r="E182" t="s">
        <v>311</v>
      </c>
      <c r="F182">
        <v>53010</v>
      </c>
      <c r="G182" s="1" t="s">
        <v>528</v>
      </c>
      <c r="H182" s="2" t="s">
        <v>565</v>
      </c>
      <c r="I182" s="2"/>
      <c r="K182" s="21">
        <v>0</v>
      </c>
      <c r="L182" s="21">
        <v>77324</v>
      </c>
      <c r="M182" s="21">
        <v>14692</v>
      </c>
      <c r="N182" s="21">
        <v>92016</v>
      </c>
      <c r="O182">
        <v>0</v>
      </c>
      <c r="P182">
        <v>0</v>
      </c>
      <c r="Q182">
        <v>0</v>
      </c>
      <c r="R182">
        <v>0</v>
      </c>
      <c r="S182">
        <v>0</v>
      </c>
      <c r="T182" t="s">
        <v>77</v>
      </c>
      <c r="U182">
        <v>0</v>
      </c>
      <c r="V182">
        <v>0</v>
      </c>
      <c r="W182">
        <v>0</v>
      </c>
      <c r="X182">
        <v>0</v>
      </c>
      <c r="AC182">
        <v>0</v>
      </c>
      <c r="AE182">
        <v>0</v>
      </c>
      <c r="AF182">
        <v>2</v>
      </c>
      <c r="AG182">
        <v>0</v>
      </c>
      <c r="AH182">
        <v>0</v>
      </c>
      <c r="AI182">
        <v>0</v>
      </c>
      <c r="AM182">
        <v>0</v>
      </c>
      <c r="AR182" t="s">
        <v>872</v>
      </c>
      <c r="AS182" t="s">
        <v>1042</v>
      </c>
      <c r="AT182">
        <v>6</v>
      </c>
    </row>
    <row r="183" spans="1:46">
      <c r="A183">
        <v>182</v>
      </c>
      <c r="B183">
        <v>33</v>
      </c>
      <c r="C183" t="s">
        <v>74</v>
      </c>
      <c r="D183" t="s">
        <v>310</v>
      </c>
      <c r="E183" t="s">
        <v>311</v>
      </c>
      <c r="F183">
        <v>53011</v>
      </c>
      <c r="G183" s="1" t="s">
        <v>528</v>
      </c>
      <c r="H183" s="2" t="s">
        <v>566</v>
      </c>
      <c r="I183" s="2"/>
      <c r="K183" s="21">
        <v>0</v>
      </c>
      <c r="L183" s="21">
        <v>456073</v>
      </c>
      <c r="M183" s="21">
        <v>86654</v>
      </c>
      <c r="N183" s="21">
        <v>542727</v>
      </c>
      <c r="O183">
        <v>0</v>
      </c>
      <c r="P183">
        <v>0</v>
      </c>
      <c r="Q183">
        <v>0</v>
      </c>
      <c r="R183">
        <v>0</v>
      </c>
      <c r="S183">
        <v>0</v>
      </c>
      <c r="T183" t="s">
        <v>77</v>
      </c>
      <c r="U183">
        <v>0</v>
      </c>
      <c r="V183">
        <v>0</v>
      </c>
      <c r="W183">
        <v>0</v>
      </c>
      <c r="X183">
        <v>0</v>
      </c>
      <c r="AC183">
        <v>0</v>
      </c>
      <c r="AE183">
        <v>0</v>
      </c>
      <c r="AF183">
        <v>2</v>
      </c>
      <c r="AG183">
        <v>0</v>
      </c>
      <c r="AH183">
        <v>0</v>
      </c>
      <c r="AI183">
        <v>0</v>
      </c>
      <c r="AM183">
        <v>0</v>
      </c>
      <c r="AR183" t="s">
        <v>872</v>
      </c>
      <c r="AS183" t="s">
        <v>1042</v>
      </c>
      <c r="AT183">
        <v>6</v>
      </c>
    </row>
    <row r="184" spans="1:46">
      <c r="A184">
        <v>183</v>
      </c>
      <c r="B184">
        <v>33</v>
      </c>
      <c r="C184" t="s">
        <v>74</v>
      </c>
      <c r="D184" t="s">
        <v>387</v>
      </c>
      <c r="E184" t="s">
        <v>388</v>
      </c>
      <c r="F184">
        <v>53012</v>
      </c>
      <c r="G184" s="1" t="s">
        <v>528</v>
      </c>
      <c r="H184" s="2" t="s">
        <v>567</v>
      </c>
      <c r="I184" s="2"/>
      <c r="K184" s="21">
        <v>0</v>
      </c>
      <c r="L184" s="21">
        <v>6867</v>
      </c>
      <c r="M184" s="21">
        <v>1305</v>
      </c>
      <c r="N184" s="21">
        <v>8172</v>
      </c>
      <c r="O184">
        <v>0</v>
      </c>
      <c r="P184">
        <v>0</v>
      </c>
      <c r="Q184">
        <v>0</v>
      </c>
      <c r="R184">
        <v>0</v>
      </c>
      <c r="S184">
        <v>0</v>
      </c>
      <c r="T184" t="s">
        <v>77</v>
      </c>
      <c r="U184">
        <v>0</v>
      </c>
      <c r="V184">
        <v>0</v>
      </c>
      <c r="W184">
        <v>0</v>
      </c>
      <c r="X184">
        <v>0</v>
      </c>
      <c r="AC184">
        <v>0</v>
      </c>
      <c r="AE184">
        <v>0</v>
      </c>
      <c r="AF184">
        <v>2</v>
      </c>
      <c r="AG184">
        <v>0</v>
      </c>
      <c r="AH184">
        <v>0</v>
      </c>
      <c r="AI184">
        <v>0</v>
      </c>
      <c r="AM184">
        <v>0</v>
      </c>
      <c r="AR184" t="s">
        <v>872</v>
      </c>
      <c r="AS184" t="s">
        <v>3775</v>
      </c>
      <c r="AT184">
        <v>6</v>
      </c>
    </row>
    <row r="185" spans="1:46">
      <c r="A185">
        <v>184</v>
      </c>
      <c r="B185">
        <v>33</v>
      </c>
      <c r="C185" t="s">
        <v>74</v>
      </c>
      <c r="D185" t="s">
        <v>262</v>
      </c>
      <c r="E185" t="s">
        <v>263</v>
      </c>
      <c r="F185">
        <v>53013</v>
      </c>
      <c r="G185" s="1" t="s">
        <v>528</v>
      </c>
      <c r="H185" s="2" t="s">
        <v>568</v>
      </c>
      <c r="I185" s="2"/>
      <c r="K185" s="21">
        <v>0</v>
      </c>
      <c r="L185" s="21">
        <v>4097249</v>
      </c>
      <c r="M185" s="21">
        <v>778477</v>
      </c>
      <c r="N185" s="21">
        <v>4875726</v>
      </c>
      <c r="O185">
        <v>0</v>
      </c>
      <c r="P185">
        <v>0</v>
      </c>
      <c r="Q185">
        <v>0</v>
      </c>
      <c r="R185">
        <v>0</v>
      </c>
      <c r="S185">
        <v>0</v>
      </c>
      <c r="T185" t="s">
        <v>77</v>
      </c>
      <c r="U185">
        <v>0</v>
      </c>
      <c r="V185">
        <v>0</v>
      </c>
      <c r="W185">
        <v>0</v>
      </c>
      <c r="X185">
        <v>0</v>
      </c>
      <c r="AC185">
        <v>0</v>
      </c>
      <c r="AE185">
        <v>0</v>
      </c>
      <c r="AF185">
        <v>2</v>
      </c>
      <c r="AG185">
        <v>0</v>
      </c>
      <c r="AH185">
        <v>0</v>
      </c>
      <c r="AI185">
        <v>0</v>
      </c>
      <c r="AM185">
        <v>0</v>
      </c>
      <c r="AR185" t="s">
        <v>872</v>
      </c>
      <c r="AS185" t="s">
        <v>3777</v>
      </c>
      <c r="AT185">
        <v>6</v>
      </c>
    </row>
    <row r="186" spans="1:46">
      <c r="A186">
        <v>185</v>
      </c>
      <c r="B186">
        <v>33</v>
      </c>
      <c r="C186" t="s">
        <v>74</v>
      </c>
      <c r="D186" t="s">
        <v>242</v>
      </c>
      <c r="E186" t="s">
        <v>243</v>
      </c>
      <c r="F186">
        <v>53014</v>
      </c>
      <c r="G186" s="1" t="s">
        <v>569</v>
      </c>
      <c r="H186" s="2" t="s">
        <v>570</v>
      </c>
      <c r="I186" s="2" t="s">
        <v>571</v>
      </c>
      <c r="K186" s="21">
        <v>0</v>
      </c>
      <c r="L186" s="21">
        <v>5286600</v>
      </c>
      <c r="M186" s="21">
        <v>1004452</v>
      </c>
      <c r="N186" s="21">
        <v>6291052</v>
      </c>
      <c r="O186">
        <v>0</v>
      </c>
      <c r="P186">
        <v>0</v>
      </c>
      <c r="Q186">
        <v>0</v>
      </c>
      <c r="R186">
        <v>0</v>
      </c>
      <c r="S186">
        <v>0</v>
      </c>
      <c r="T186" t="s">
        <v>77</v>
      </c>
      <c r="U186">
        <v>0</v>
      </c>
      <c r="V186">
        <v>0</v>
      </c>
      <c r="W186">
        <v>0</v>
      </c>
      <c r="X186">
        <v>0</v>
      </c>
      <c r="Y186">
        <v>0</v>
      </c>
      <c r="AC186">
        <v>0</v>
      </c>
      <c r="AE186">
        <v>0</v>
      </c>
      <c r="AF186">
        <v>2</v>
      </c>
      <c r="AG186">
        <v>0</v>
      </c>
      <c r="AH186">
        <v>0</v>
      </c>
      <c r="AI186">
        <v>0</v>
      </c>
      <c r="AM186">
        <v>0</v>
      </c>
      <c r="AR186" t="s">
        <v>872</v>
      </c>
      <c r="AS186" t="s">
        <v>1004</v>
      </c>
      <c r="AT186">
        <v>6</v>
      </c>
    </row>
    <row r="187" spans="1:46">
      <c r="A187">
        <v>186</v>
      </c>
      <c r="B187">
        <v>33</v>
      </c>
      <c r="C187" t="s">
        <v>74</v>
      </c>
      <c r="D187" t="s">
        <v>79</v>
      </c>
      <c r="E187" t="s">
        <v>80</v>
      </c>
      <c r="F187">
        <v>53015</v>
      </c>
      <c r="G187" s="1" t="s">
        <v>569</v>
      </c>
      <c r="H187" s="2" t="s">
        <v>572</v>
      </c>
      <c r="I187" s="2" t="s">
        <v>573</v>
      </c>
      <c r="K187" s="21">
        <v>0</v>
      </c>
      <c r="L187" s="21">
        <v>3093</v>
      </c>
      <c r="M187" s="21">
        <v>588</v>
      </c>
      <c r="N187" s="21">
        <v>3681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77</v>
      </c>
      <c r="U187">
        <v>0</v>
      </c>
      <c r="V187">
        <v>0</v>
      </c>
      <c r="W187">
        <v>0</v>
      </c>
      <c r="X187">
        <v>0</v>
      </c>
      <c r="AC187">
        <v>0</v>
      </c>
      <c r="AE187">
        <v>0</v>
      </c>
      <c r="AF187">
        <v>2</v>
      </c>
      <c r="AG187">
        <v>0</v>
      </c>
      <c r="AH187">
        <v>0</v>
      </c>
      <c r="AI187">
        <v>0</v>
      </c>
      <c r="AM187">
        <v>0</v>
      </c>
      <c r="AR187" t="s">
        <v>872</v>
      </c>
      <c r="AS187" t="s">
        <v>1013</v>
      </c>
      <c r="AT187">
        <v>6</v>
      </c>
    </row>
    <row r="188" spans="1:46">
      <c r="A188">
        <v>187</v>
      </c>
      <c r="B188">
        <v>33</v>
      </c>
      <c r="C188" t="s">
        <v>74</v>
      </c>
      <c r="D188" t="s">
        <v>79</v>
      </c>
      <c r="E188" t="s">
        <v>80</v>
      </c>
      <c r="F188">
        <v>53016</v>
      </c>
      <c r="G188" s="1" t="s">
        <v>569</v>
      </c>
      <c r="H188" s="2" t="s">
        <v>574</v>
      </c>
      <c r="I188" s="2" t="s">
        <v>575</v>
      </c>
      <c r="K188" s="21">
        <v>0</v>
      </c>
      <c r="L188" s="21">
        <v>9280</v>
      </c>
      <c r="M188" s="21">
        <v>1763</v>
      </c>
      <c r="N188" s="21">
        <v>11043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77</v>
      </c>
      <c r="U188">
        <v>0</v>
      </c>
      <c r="V188">
        <v>0</v>
      </c>
      <c r="W188">
        <v>0</v>
      </c>
      <c r="X188">
        <v>0</v>
      </c>
      <c r="AC188">
        <v>0</v>
      </c>
      <c r="AE188">
        <v>0</v>
      </c>
      <c r="AF188">
        <v>2</v>
      </c>
      <c r="AG188">
        <v>0</v>
      </c>
      <c r="AH188">
        <v>0</v>
      </c>
      <c r="AI188">
        <v>0</v>
      </c>
      <c r="AM188">
        <v>0</v>
      </c>
      <c r="AR188" t="s">
        <v>872</v>
      </c>
      <c r="AS188" t="s">
        <v>1013</v>
      </c>
      <c r="AT188">
        <v>6</v>
      </c>
    </row>
    <row r="189" spans="1:46">
      <c r="A189">
        <v>188</v>
      </c>
      <c r="B189">
        <v>33</v>
      </c>
      <c r="C189" t="s">
        <v>74</v>
      </c>
      <c r="D189" t="s">
        <v>79</v>
      </c>
      <c r="E189" t="s">
        <v>80</v>
      </c>
      <c r="F189">
        <v>53017</v>
      </c>
      <c r="G189" s="1" t="s">
        <v>569</v>
      </c>
      <c r="H189" s="2" t="s">
        <v>576</v>
      </c>
      <c r="I189" s="2" t="s">
        <v>577</v>
      </c>
      <c r="K189" s="21">
        <v>0</v>
      </c>
      <c r="L189" s="21">
        <v>22496</v>
      </c>
      <c r="M189" s="21">
        <v>4274</v>
      </c>
      <c r="N189" s="21">
        <v>26770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77</v>
      </c>
      <c r="U189">
        <v>0</v>
      </c>
      <c r="V189">
        <v>0</v>
      </c>
      <c r="W189">
        <v>0</v>
      </c>
      <c r="X189">
        <v>0</v>
      </c>
      <c r="AC189">
        <v>0</v>
      </c>
      <c r="AE189">
        <v>0</v>
      </c>
      <c r="AF189">
        <v>2</v>
      </c>
      <c r="AG189">
        <v>0</v>
      </c>
      <c r="AH189">
        <v>0</v>
      </c>
      <c r="AI189">
        <v>0</v>
      </c>
      <c r="AM189">
        <v>0</v>
      </c>
      <c r="AR189" t="s">
        <v>872</v>
      </c>
      <c r="AS189" t="s">
        <v>1013</v>
      </c>
      <c r="AT189">
        <v>6</v>
      </c>
    </row>
    <row r="190" spans="1:46">
      <c r="A190">
        <v>189</v>
      </c>
      <c r="B190">
        <v>33</v>
      </c>
      <c r="C190" t="s">
        <v>74</v>
      </c>
      <c r="D190" t="s">
        <v>79</v>
      </c>
      <c r="E190" t="s">
        <v>80</v>
      </c>
      <c r="F190">
        <v>53018</v>
      </c>
      <c r="G190" s="1" t="s">
        <v>569</v>
      </c>
      <c r="H190" s="2" t="s">
        <v>578</v>
      </c>
      <c r="I190" s="2" t="s">
        <v>579</v>
      </c>
      <c r="K190" s="21">
        <v>0</v>
      </c>
      <c r="L190" s="21">
        <v>6186</v>
      </c>
      <c r="M190" s="21">
        <v>1175</v>
      </c>
      <c r="N190" s="21">
        <v>7361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77</v>
      </c>
      <c r="U190">
        <v>0</v>
      </c>
      <c r="V190">
        <v>0</v>
      </c>
      <c r="W190">
        <v>0</v>
      </c>
      <c r="X190">
        <v>0</v>
      </c>
      <c r="AC190">
        <v>0</v>
      </c>
      <c r="AE190">
        <v>0</v>
      </c>
      <c r="AF190">
        <v>2</v>
      </c>
      <c r="AG190">
        <v>0</v>
      </c>
      <c r="AH190">
        <v>0</v>
      </c>
      <c r="AI190">
        <v>0</v>
      </c>
      <c r="AM190">
        <v>0</v>
      </c>
      <c r="AR190" t="s">
        <v>872</v>
      </c>
      <c r="AS190" t="s">
        <v>1013</v>
      </c>
      <c r="AT190">
        <v>6</v>
      </c>
    </row>
    <row r="191" spans="1:46">
      <c r="A191">
        <v>190</v>
      </c>
      <c r="B191">
        <v>33</v>
      </c>
      <c r="C191" t="s">
        <v>74</v>
      </c>
      <c r="D191" t="s">
        <v>234</v>
      </c>
      <c r="E191" t="s">
        <v>235</v>
      </c>
      <c r="F191">
        <v>53019</v>
      </c>
      <c r="G191" s="1" t="s">
        <v>569</v>
      </c>
      <c r="H191" s="2" t="s">
        <v>580</v>
      </c>
      <c r="I191" s="2" t="s">
        <v>581</v>
      </c>
      <c r="J191" s="2"/>
      <c r="K191" s="21">
        <v>0</v>
      </c>
      <c r="L191" s="21">
        <v>1201580</v>
      </c>
      <c r="M191" s="21">
        <v>228300</v>
      </c>
      <c r="N191" s="21">
        <v>1429880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77</v>
      </c>
      <c r="U191">
        <v>0</v>
      </c>
      <c r="V191">
        <v>0</v>
      </c>
      <c r="W191">
        <v>0</v>
      </c>
      <c r="X191">
        <v>0</v>
      </c>
      <c r="AC191">
        <v>0</v>
      </c>
      <c r="AE191">
        <v>0</v>
      </c>
      <c r="AF191">
        <v>2</v>
      </c>
      <c r="AG191">
        <v>0</v>
      </c>
      <c r="AH191">
        <v>0</v>
      </c>
      <c r="AI191">
        <v>0</v>
      </c>
      <c r="AM191">
        <v>0</v>
      </c>
      <c r="AR191" t="s">
        <v>872</v>
      </c>
      <c r="AS191" t="s">
        <v>980</v>
      </c>
      <c r="AT191">
        <v>6</v>
      </c>
    </row>
    <row r="192" spans="1:46">
      <c r="A192">
        <v>191</v>
      </c>
      <c r="B192">
        <v>33</v>
      </c>
      <c r="C192" t="s">
        <v>74</v>
      </c>
      <c r="D192" t="s">
        <v>101</v>
      </c>
      <c r="E192" t="s">
        <v>102</v>
      </c>
      <c r="F192">
        <v>53020</v>
      </c>
      <c r="G192" s="1" t="s">
        <v>569</v>
      </c>
      <c r="H192" s="2" t="s">
        <v>582</v>
      </c>
      <c r="I192" s="2" t="s">
        <v>583</v>
      </c>
      <c r="K192" s="21">
        <v>0</v>
      </c>
      <c r="L192" s="21">
        <v>2406620</v>
      </c>
      <c r="M192" s="21">
        <v>457257</v>
      </c>
      <c r="N192" s="21">
        <v>2863877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77</v>
      </c>
      <c r="U192">
        <v>0</v>
      </c>
      <c r="V192">
        <v>0</v>
      </c>
      <c r="W192">
        <v>0</v>
      </c>
      <c r="X192">
        <v>0</v>
      </c>
      <c r="AC192">
        <v>0</v>
      </c>
      <c r="AE192">
        <v>0</v>
      </c>
      <c r="AF192">
        <v>2</v>
      </c>
      <c r="AG192">
        <v>0</v>
      </c>
      <c r="AH192">
        <v>0</v>
      </c>
      <c r="AI192">
        <v>0</v>
      </c>
      <c r="AM192">
        <v>0</v>
      </c>
      <c r="AR192" t="s">
        <v>872</v>
      </c>
      <c r="AS192" t="s">
        <v>941</v>
      </c>
      <c r="AT192">
        <v>6</v>
      </c>
    </row>
    <row r="193" spans="1:46">
      <c r="A193">
        <v>192</v>
      </c>
      <c r="B193">
        <v>33</v>
      </c>
      <c r="C193" t="s">
        <v>74</v>
      </c>
      <c r="D193" t="s">
        <v>193</v>
      </c>
      <c r="E193" t="s">
        <v>194</v>
      </c>
      <c r="F193">
        <v>53021</v>
      </c>
      <c r="G193" s="1" t="s">
        <v>569</v>
      </c>
      <c r="H193" s="2" t="s">
        <v>584</v>
      </c>
      <c r="I193" s="2"/>
      <c r="K193" s="21">
        <v>0</v>
      </c>
      <c r="L193" s="21">
        <v>4401561</v>
      </c>
      <c r="M193" s="21">
        <v>836297</v>
      </c>
      <c r="N193" s="21">
        <v>5237858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77</v>
      </c>
      <c r="U193">
        <v>0</v>
      </c>
      <c r="V193">
        <v>0</v>
      </c>
      <c r="W193">
        <v>0</v>
      </c>
      <c r="X193">
        <v>0</v>
      </c>
      <c r="AC193">
        <v>0</v>
      </c>
      <c r="AE193">
        <v>0</v>
      </c>
      <c r="AF193">
        <v>2</v>
      </c>
      <c r="AG193">
        <v>0</v>
      </c>
      <c r="AH193">
        <v>0</v>
      </c>
      <c r="AI193">
        <v>0</v>
      </c>
      <c r="AM193">
        <v>0</v>
      </c>
      <c r="AR193" t="s">
        <v>872</v>
      </c>
      <c r="AS193" t="s">
        <v>939</v>
      </c>
      <c r="AT193">
        <v>6</v>
      </c>
    </row>
    <row r="194" spans="1:46">
      <c r="A194">
        <v>193</v>
      </c>
      <c r="B194">
        <v>33</v>
      </c>
      <c r="C194" t="s">
        <v>74</v>
      </c>
      <c r="D194" t="s">
        <v>367</v>
      </c>
      <c r="E194" t="s">
        <v>368</v>
      </c>
      <c r="F194">
        <v>53022</v>
      </c>
      <c r="G194" s="1" t="s">
        <v>569</v>
      </c>
      <c r="H194" s="2" t="s">
        <v>585</v>
      </c>
      <c r="I194" s="2"/>
      <c r="K194" s="21">
        <v>0</v>
      </c>
      <c r="L194" s="21">
        <v>281234</v>
      </c>
      <c r="M194" s="21">
        <v>53434</v>
      </c>
      <c r="N194" s="21">
        <v>334668</v>
      </c>
      <c r="O194">
        <v>0</v>
      </c>
      <c r="P194">
        <v>0</v>
      </c>
      <c r="Q194">
        <v>0</v>
      </c>
      <c r="R194">
        <v>0</v>
      </c>
      <c r="S194">
        <v>0</v>
      </c>
      <c r="T194" t="s">
        <v>77</v>
      </c>
      <c r="U194">
        <v>0</v>
      </c>
      <c r="V194">
        <v>0</v>
      </c>
      <c r="W194">
        <v>0</v>
      </c>
      <c r="X194">
        <v>0</v>
      </c>
      <c r="AC194">
        <v>0</v>
      </c>
      <c r="AE194">
        <v>0</v>
      </c>
      <c r="AF194">
        <v>2</v>
      </c>
      <c r="AG194">
        <v>0</v>
      </c>
      <c r="AH194">
        <v>0</v>
      </c>
      <c r="AI194">
        <v>0</v>
      </c>
      <c r="AM194">
        <v>0</v>
      </c>
      <c r="AR194" t="s">
        <v>872</v>
      </c>
      <c r="AS194" t="s">
        <v>3778</v>
      </c>
      <c r="AT194">
        <v>6</v>
      </c>
    </row>
    <row r="195" spans="1:46">
      <c r="A195">
        <v>194</v>
      </c>
      <c r="B195">
        <v>33</v>
      </c>
      <c r="C195" t="s">
        <v>74</v>
      </c>
      <c r="D195" t="s">
        <v>308</v>
      </c>
      <c r="E195" t="s">
        <v>309</v>
      </c>
      <c r="F195">
        <v>53023</v>
      </c>
      <c r="G195" s="1" t="s">
        <v>569</v>
      </c>
      <c r="H195" s="2" t="s">
        <v>586</v>
      </c>
      <c r="I195" s="2"/>
      <c r="K195" s="21">
        <v>0</v>
      </c>
      <c r="L195" s="21">
        <v>328069</v>
      </c>
      <c r="M195" s="21">
        <v>62333</v>
      </c>
      <c r="N195" s="21">
        <v>390402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77</v>
      </c>
      <c r="U195">
        <v>0</v>
      </c>
      <c r="V195">
        <v>0</v>
      </c>
      <c r="W195">
        <v>0</v>
      </c>
      <c r="X195">
        <v>0</v>
      </c>
      <c r="AC195">
        <v>0</v>
      </c>
      <c r="AE195">
        <v>0</v>
      </c>
      <c r="AF195">
        <v>2</v>
      </c>
      <c r="AG195">
        <v>0</v>
      </c>
      <c r="AH195">
        <v>0</v>
      </c>
      <c r="AI195">
        <v>0</v>
      </c>
      <c r="AM195">
        <v>0</v>
      </c>
      <c r="AR195" t="s">
        <v>872</v>
      </c>
      <c r="AS195" t="s">
        <v>1040</v>
      </c>
      <c r="AT195">
        <v>6</v>
      </c>
    </row>
    <row r="196" spans="1:46">
      <c r="A196">
        <v>195</v>
      </c>
      <c r="B196">
        <v>33</v>
      </c>
      <c r="C196" t="s">
        <v>74</v>
      </c>
      <c r="D196" t="s">
        <v>341</v>
      </c>
      <c r="E196" t="s">
        <v>342</v>
      </c>
      <c r="F196">
        <v>53024</v>
      </c>
      <c r="G196" s="1" t="s">
        <v>569</v>
      </c>
      <c r="H196" s="2" t="s">
        <v>587</v>
      </c>
      <c r="I196" s="2"/>
      <c r="K196" s="21">
        <v>0</v>
      </c>
      <c r="L196" s="21">
        <v>2186505</v>
      </c>
      <c r="M196" s="21">
        <v>415436</v>
      </c>
      <c r="N196" s="21">
        <v>2601941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77</v>
      </c>
      <c r="U196">
        <v>0</v>
      </c>
      <c r="V196">
        <v>0</v>
      </c>
      <c r="W196">
        <v>0</v>
      </c>
      <c r="X196">
        <v>0</v>
      </c>
      <c r="AC196">
        <v>0</v>
      </c>
      <c r="AE196">
        <v>0</v>
      </c>
      <c r="AF196">
        <v>2</v>
      </c>
      <c r="AG196">
        <v>0</v>
      </c>
      <c r="AH196">
        <v>0</v>
      </c>
      <c r="AI196">
        <v>0</v>
      </c>
      <c r="AM196">
        <v>0</v>
      </c>
      <c r="AR196" t="s">
        <v>872</v>
      </c>
      <c r="AS196" t="s">
        <v>994</v>
      </c>
      <c r="AT196">
        <v>6</v>
      </c>
    </row>
    <row r="197" spans="1:46">
      <c r="A197">
        <v>196</v>
      </c>
      <c r="B197">
        <v>33</v>
      </c>
      <c r="C197" t="s">
        <v>74</v>
      </c>
      <c r="D197" t="s">
        <v>588</v>
      </c>
      <c r="E197" t="s">
        <v>589</v>
      </c>
      <c r="F197">
        <v>53025</v>
      </c>
      <c r="G197" s="1" t="s">
        <v>569</v>
      </c>
      <c r="H197" s="2" t="s">
        <v>590</v>
      </c>
      <c r="I197" s="2"/>
      <c r="K197" s="21">
        <v>0</v>
      </c>
      <c r="L197" s="21">
        <v>7563959</v>
      </c>
      <c r="M197" s="21">
        <v>1437152</v>
      </c>
      <c r="N197" s="21">
        <v>9001111</v>
      </c>
      <c r="O197">
        <v>0</v>
      </c>
      <c r="P197">
        <v>0</v>
      </c>
      <c r="Q197">
        <v>0</v>
      </c>
      <c r="R197">
        <v>0</v>
      </c>
      <c r="S197">
        <v>0</v>
      </c>
      <c r="T197" t="s">
        <v>77</v>
      </c>
      <c r="U197">
        <v>0</v>
      </c>
      <c r="V197">
        <v>0</v>
      </c>
      <c r="W197">
        <v>0</v>
      </c>
      <c r="X197">
        <v>0</v>
      </c>
      <c r="AC197">
        <v>0</v>
      </c>
      <c r="AE197">
        <v>0</v>
      </c>
      <c r="AF197">
        <v>2</v>
      </c>
      <c r="AG197">
        <v>0</v>
      </c>
      <c r="AH197">
        <v>0</v>
      </c>
      <c r="AI197">
        <v>0</v>
      </c>
      <c r="AM197">
        <v>0</v>
      </c>
      <c r="AR197" t="s">
        <v>872</v>
      </c>
      <c r="AS197" t="s">
        <v>3779</v>
      </c>
      <c r="AT197">
        <v>6</v>
      </c>
    </row>
    <row r="198" spans="1:46">
      <c r="A198">
        <v>197</v>
      </c>
      <c r="B198">
        <v>33</v>
      </c>
      <c r="C198" t="s">
        <v>74</v>
      </c>
      <c r="D198" t="s">
        <v>262</v>
      </c>
      <c r="E198" t="s">
        <v>263</v>
      </c>
      <c r="F198">
        <v>53026</v>
      </c>
      <c r="G198" s="1" t="s">
        <v>569</v>
      </c>
      <c r="H198" s="2" t="s">
        <v>591</v>
      </c>
      <c r="I198" s="2"/>
      <c r="K198" s="21">
        <v>0</v>
      </c>
      <c r="L198" s="21">
        <v>1295210</v>
      </c>
      <c r="M198" s="21">
        <v>246090</v>
      </c>
      <c r="N198" s="21">
        <v>1541300</v>
      </c>
      <c r="O198">
        <v>0</v>
      </c>
      <c r="P198">
        <v>0</v>
      </c>
      <c r="Q198">
        <v>0</v>
      </c>
      <c r="R198">
        <v>0</v>
      </c>
      <c r="S198">
        <v>0</v>
      </c>
      <c r="T198" t="s">
        <v>77</v>
      </c>
      <c r="U198">
        <v>0</v>
      </c>
      <c r="V198">
        <v>0</v>
      </c>
      <c r="W198">
        <v>0</v>
      </c>
      <c r="X198">
        <v>0</v>
      </c>
      <c r="AC198">
        <v>0</v>
      </c>
      <c r="AE198">
        <v>0</v>
      </c>
      <c r="AF198">
        <v>2</v>
      </c>
      <c r="AG198">
        <v>0</v>
      </c>
      <c r="AH198">
        <v>0</v>
      </c>
      <c r="AI198">
        <v>0</v>
      </c>
      <c r="AM198">
        <v>0</v>
      </c>
      <c r="AR198" t="s">
        <v>872</v>
      </c>
      <c r="AS198" t="s">
        <v>3777</v>
      </c>
      <c r="AT198">
        <v>6</v>
      </c>
    </row>
    <row r="199" spans="1:46">
      <c r="A199">
        <v>198</v>
      </c>
      <c r="B199">
        <v>33</v>
      </c>
      <c r="C199" t="s">
        <v>74</v>
      </c>
      <c r="D199" t="s">
        <v>592</v>
      </c>
      <c r="E199" t="s">
        <v>593</v>
      </c>
      <c r="F199">
        <v>53027</v>
      </c>
      <c r="G199" s="1" t="s">
        <v>569</v>
      </c>
      <c r="H199" s="2" t="s">
        <v>594</v>
      </c>
      <c r="I199" s="2"/>
      <c r="J199" t="s">
        <v>595</v>
      </c>
      <c r="K199" s="21">
        <v>0</v>
      </c>
      <c r="L199" s="21">
        <v>15572120</v>
      </c>
      <c r="M199" s="21">
        <v>2958703</v>
      </c>
      <c r="N199" s="21">
        <v>18530823</v>
      </c>
      <c r="O199">
        <v>0</v>
      </c>
      <c r="P199">
        <v>0</v>
      </c>
      <c r="Q199">
        <v>0</v>
      </c>
      <c r="R199">
        <v>0</v>
      </c>
      <c r="S199">
        <v>0</v>
      </c>
      <c r="T199" t="s">
        <v>77</v>
      </c>
      <c r="U199">
        <v>0</v>
      </c>
      <c r="V199">
        <v>0</v>
      </c>
      <c r="W199">
        <v>0</v>
      </c>
      <c r="X199">
        <v>0</v>
      </c>
      <c r="AC199">
        <v>0</v>
      </c>
      <c r="AE199">
        <v>0</v>
      </c>
      <c r="AF199">
        <v>2</v>
      </c>
      <c r="AG199">
        <v>0</v>
      </c>
      <c r="AH199">
        <v>0</v>
      </c>
      <c r="AI199">
        <v>0</v>
      </c>
      <c r="AM199">
        <v>0</v>
      </c>
      <c r="AR199" t="s">
        <v>872</v>
      </c>
      <c r="AS199" t="s">
        <v>3780</v>
      </c>
      <c r="AT199">
        <v>6</v>
      </c>
    </row>
    <row r="200" spans="1:46">
      <c r="A200">
        <v>199</v>
      </c>
      <c r="B200">
        <v>33</v>
      </c>
      <c r="C200" t="s">
        <v>74</v>
      </c>
      <c r="D200" t="s">
        <v>592</v>
      </c>
      <c r="E200" t="s">
        <v>593</v>
      </c>
      <c r="F200">
        <v>53028</v>
      </c>
      <c r="G200" s="1" t="s">
        <v>597</v>
      </c>
      <c r="H200" s="2" t="s">
        <v>598</v>
      </c>
      <c r="I200" s="2"/>
      <c r="J200" t="s">
        <v>599</v>
      </c>
      <c r="K200" s="21">
        <v>0</v>
      </c>
      <c r="L200" s="21">
        <v>16998611</v>
      </c>
      <c r="M200" s="21">
        <v>3229736</v>
      </c>
      <c r="N200" s="21">
        <v>20228347</v>
      </c>
      <c r="O200">
        <v>0</v>
      </c>
      <c r="P200">
        <v>0</v>
      </c>
      <c r="Q200">
        <v>0</v>
      </c>
      <c r="R200">
        <v>0</v>
      </c>
      <c r="S200">
        <v>0</v>
      </c>
      <c r="T200" t="s">
        <v>77</v>
      </c>
      <c r="U200">
        <v>0</v>
      </c>
      <c r="V200">
        <v>0</v>
      </c>
      <c r="W200">
        <v>0</v>
      </c>
      <c r="X200">
        <v>0</v>
      </c>
      <c r="AC200">
        <v>0</v>
      </c>
      <c r="AE200">
        <v>0</v>
      </c>
      <c r="AF200">
        <v>2</v>
      </c>
      <c r="AG200">
        <v>0</v>
      </c>
      <c r="AH200">
        <v>0</v>
      </c>
      <c r="AI200">
        <v>0</v>
      </c>
      <c r="AM200">
        <v>0</v>
      </c>
      <c r="AR200" t="s">
        <v>872</v>
      </c>
      <c r="AS200" t="s">
        <v>3780</v>
      </c>
      <c r="AT200">
        <v>6</v>
      </c>
    </row>
    <row r="201" spans="1:46">
      <c r="A201">
        <v>200</v>
      </c>
      <c r="B201">
        <v>33</v>
      </c>
      <c r="C201" t="s">
        <v>74</v>
      </c>
      <c r="D201" t="s">
        <v>254</v>
      </c>
      <c r="E201" t="s">
        <v>255</v>
      </c>
      <c r="F201">
        <v>53029</v>
      </c>
      <c r="G201" s="1" t="s">
        <v>597</v>
      </c>
      <c r="H201" s="2" t="s">
        <v>601</v>
      </c>
      <c r="I201" s="2">
        <v>45358.699178240742</v>
      </c>
      <c r="K201" s="21">
        <v>0</v>
      </c>
      <c r="L201" s="21">
        <v>1422940</v>
      </c>
      <c r="M201" s="21">
        <v>270359</v>
      </c>
      <c r="N201" s="21">
        <v>1693299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77</v>
      </c>
      <c r="U201">
        <v>0</v>
      </c>
      <c r="V201">
        <v>0</v>
      </c>
      <c r="W201">
        <v>0</v>
      </c>
      <c r="X201">
        <v>0</v>
      </c>
      <c r="Y201">
        <v>0</v>
      </c>
      <c r="AC201">
        <v>0</v>
      </c>
      <c r="AE201">
        <v>0</v>
      </c>
      <c r="AF201">
        <v>2</v>
      </c>
      <c r="AG201">
        <v>0</v>
      </c>
      <c r="AH201">
        <v>0</v>
      </c>
      <c r="AI201">
        <v>0</v>
      </c>
      <c r="AM201">
        <v>0</v>
      </c>
      <c r="AR201" t="s">
        <v>872</v>
      </c>
      <c r="AS201" t="s">
        <v>1011</v>
      </c>
      <c r="AT201">
        <v>6</v>
      </c>
    </row>
    <row r="202" spans="1:46">
      <c r="A202">
        <v>201</v>
      </c>
      <c r="B202">
        <v>33</v>
      </c>
      <c r="C202" t="s">
        <v>74</v>
      </c>
      <c r="D202" t="s">
        <v>375</v>
      </c>
      <c r="E202" t="s">
        <v>376</v>
      </c>
      <c r="F202">
        <v>53030</v>
      </c>
      <c r="G202" s="1" t="s">
        <v>597</v>
      </c>
      <c r="H202" s="2" t="s">
        <v>602</v>
      </c>
      <c r="I202" s="2"/>
      <c r="K202" s="21">
        <v>0</v>
      </c>
      <c r="L202" s="21">
        <v>7395732</v>
      </c>
      <c r="M202" s="21">
        <v>1405188</v>
      </c>
      <c r="N202" s="21">
        <v>8800920</v>
      </c>
      <c r="O202">
        <v>0</v>
      </c>
      <c r="P202">
        <v>0</v>
      </c>
      <c r="Q202">
        <v>0</v>
      </c>
      <c r="R202">
        <v>0</v>
      </c>
      <c r="S202">
        <v>0</v>
      </c>
      <c r="T202" t="s">
        <v>77</v>
      </c>
      <c r="U202">
        <v>0</v>
      </c>
      <c r="V202">
        <v>0</v>
      </c>
      <c r="W202">
        <v>0</v>
      </c>
      <c r="X202">
        <v>0</v>
      </c>
      <c r="AC202">
        <v>0</v>
      </c>
      <c r="AE202">
        <v>0</v>
      </c>
      <c r="AF202">
        <v>2</v>
      </c>
      <c r="AG202">
        <v>0</v>
      </c>
      <c r="AH202">
        <v>0</v>
      </c>
      <c r="AI202">
        <v>0</v>
      </c>
      <c r="AM202">
        <v>0</v>
      </c>
      <c r="AR202" t="s">
        <v>872</v>
      </c>
      <c r="AS202" t="s">
        <v>3742</v>
      </c>
      <c r="AT202">
        <v>6</v>
      </c>
    </row>
    <row r="203" spans="1:46">
      <c r="A203">
        <v>202</v>
      </c>
      <c r="B203">
        <v>33</v>
      </c>
      <c r="C203" t="s">
        <v>74</v>
      </c>
      <c r="D203" t="s">
        <v>375</v>
      </c>
      <c r="E203" t="s">
        <v>376</v>
      </c>
      <c r="F203">
        <v>53031</v>
      </c>
      <c r="G203" s="1" t="s">
        <v>597</v>
      </c>
      <c r="H203" s="2" t="s">
        <v>603</v>
      </c>
      <c r="I203" s="2" t="s">
        <v>604</v>
      </c>
      <c r="K203" s="21">
        <v>0</v>
      </c>
      <c r="L203" s="21">
        <v>991019</v>
      </c>
      <c r="M203" s="21">
        <v>188293</v>
      </c>
      <c r="N203" s="21">
        <v>1179312</v>
      </c>
      <c r="O203">
        <v>0</v>
      </c>
      <c r="P203">
        <v>0</v>
      </c>
      <c r="Q203">
        <v>0</v>
      </c>
      <c r="R203">
        <v>0</v>
      </c>
      <c r="S203">
        <v>0</v>
      </c>
      <c r="T203" t="s">
        <v>77</v>
      </c>
      <c r="U203">
        <v>0</v>
      </c>
      <c r="V203">
        <v>0</v>
      </c>
      <c r="W203">
        <v>0</v>
      </c>
      <c r="X203">
        <v>0</v>
      </c>
      <c r="AC203">
        <v>0</v>
      </c>
      <c r="AE203">
        <v>0</v>
      </c>
      <c r="AF203">
        <v>2</v>
      </c>
      <c r="AG203">
        <v>0</v>
      </c>
      <c r="AH203">
        <v>0</v>
      </c>
      <c r="AI203">
        <v>0</v>
      </c>
      <c r="AM203">
        <v>0</v>
      </c>
      <c r="AR203" t="s">
        <v>872</v>
      </c>
      <c r="AS203" t="s">
        <v>3742</v>
      </c>
      <c r="AT203">
        <v>6</v>
      </c>
    </row>
    <row r="204" spans="1:46">
      <c r="A204">
        <v>203</v>
      </c>
      <c r="B204">
        <v>33</v>
      </c>
      <c r="C204" t="s">
        <v>74</v>
      </c>
      <c r="D204" t="s">
        <v>244</v>
      </c>
      <c r="E204" t="s">
        <v>245</v>
      </c>
      <c r="F204">
        <v>53032</v>
      </c>
      <c r="G204" s="1" t="s">
        <v>597</v>
      </c>
      <c r="H204" s="2" t="s">
        <v>605</v>
      </c>
      <c r="I204" s="2"/>
      <c r="K204" s="21">
        <v>0</v>
      </c>
      <c r="L204" s="21">
        <v>1086726</v>
      </c>
      <c r="M204" s="21">
        <v>206478</v>
      </c>
      <c r="N204" s="21">
        <v>1293204</v>
      </c>
      <c r="O204">
        <v>0</v>
      </c>
      <c r="P204">
        <v>0</v>
      </c>
      <c r="Q204">
        <v>0</v>
      </c>
      <c r="R204">
        <v>0</v>
      </c>
      <c r="S204">
        <v>0</v>
      </c>
      <c r="T204" t="s">
        <v>77</v>
      </c>
      <c r="U204">
        <v>0</v>
      </c>
      <c r="V204">
        <v>0</v>
      </c>
      <c r="W204">
        <v>0</v>
      </c>
      <c r="X204">
        <v>0</v>
      </c>
      <c r="Y204">
        <v>0</v>
      </c>
      <c r="AC204">
        <v>0</v>
      </c>
      <c r="AE204">
        <v>0</v>
      </c>
      <c r="AF204">
        <v>2</v>
      </c>
      <c r="AG204">
        <v>0</v>
      </c>
      <c r="AH204">
        <v>0</v>
      </c>
      <c r="AI204">
        <v>0</v>
      </c>
      <c r="AM204">
        <v>0</v>
      </c>
      <c r="AR204" t="s">
        <v>872</v>
      </c>
      <c r="AS204" t="s">
        <v>3749</v>
      </c>
      <c r="AT204">
        <v>6</v>
      </c>
    </row>
    <row r="205" spans="1:46">
      <c r="A205">
        <v>204</v>
      </c>
      <c r="B205">
        <v>33</v>
      </c>
      <c r="C205" t="s">
        <v>74</v>
      </c>
      <c r="D205" t="s">
        <v>87</v>
      </c>
      <c r="E205" t="s">
        <v>88</v>
      </c>
      <c r="F205">
        <v>53033</v>
      </c>
      <c r="G205" s="1" t="s">
        <v>597</v>
      </c>
      <c r="H205" s="2" t="s">
        <v>606</v>
      </c>
      <c r="I205" s="2" t="s">
        <v>607</v>
      </c>
      <c r="K205" s="21">
        <v>0</v>
      </c>
      <c r="L205" s="21">
        <v>231004</v>
      </c>
      <c r="M205" s="21">
        <v>43891</v>
      </c>
      <c r="N205" s="21">
        <v>274895</v>
      </c>
      <c r="O205">
        <v>0</v>
      </c>
      <c r="P205">
        <v>0</v>
      </c>
      <c r="Q205">
        <v>0</v>
      </c>
      <c r="R205">
        <v>0</v>
      </c>
      <c r="S205">
        <v>0</v>
      </c>
      <c r="T205" t="s">
        <v>77</v>
      </c>
      <c r="U205">
        <v>0</v>
      </c>
      <c r="V205">
        <v>0</v>
      </c>
      <c r="W205">
        <v>0</v>
      </c>
      <c r="X205">
        <v>0</v>
      </c>
      <c r="Y205">
        <v>0</v>
      </c>
      <c r="AC205">
        <v>0</v>
      </c>
      <c r="AE205">
        <v>0</v>
      </c>
      <c r="AF205">
        <v>2</v>
      </c>
      <c r="AG205">
        <v>0</v>
      </c>
      <c r="AH205">
        <v>0</v>
      </c>
      <c r="AI205">
        <v>0</v>
      </c>
      <c r="AM205">
        <v>0</v>
      </c>
      <c r="AR205" t="s">
        <v>872</v>
      </c>
      <c r="AS205" t="s">
        <v>951</v>
      </c>
      <c r="AT205">
        <v>6</v>
      </c>
    </row>
    <row r="206" spans="1:46">
      <c r="A206">
        <v>205</v>
      </c>
      <c r="B206">
        <v>33</v>
      </c>
      <c r="C206" t="s">
        <v>74</v>
      </c>
      <c r="D206" t="s">
        <v>87</v>
      </c>
      <c r="E206" t="s">
        <v>88</v>
      </c>
      <c r="F206">
        <v>53034</v>
      </c>
      <c r="G206" s="1" t="s">
        <v>597</v>
      </c>
      <c r="H206" s="2" t="s">
        <v>608</v>
      </c>
      <c r="I206" s="2" t="s">
        <v>609</v>
      </c>
      <c r="K206" s="21">
        <v>0</v>
      </c>
      <c r="L206" s="21">
        <v>1303708</v>
      </c>
      <c r="M206" s="21">
        <v>247705</v>
      </c>
      <c r="N206" s="21">
        <v>1551413</v>
      </c>
      <c r="O206">
        <v>0</v>
      </c>
      <c r="P206">
        <v>0</v>
      </c>
      <c r="Q206">
        <v>0</v>
      </c>
      <c r="R206">
        <v>0</v>
      </c>
      <c r="S206">
        <v>0</v>
      </c>
      <c r="T206" t="s">
        <v>77</v>
      </c>
      <c r="U206">
        <v>0</v>
      </c>
      <c r="V206">
        <v>0</v>
      </c>
      <c r="W206">
        <v>0</v>
      </c>
      <c r="X206">
        <v>0</v>
      </c>
      <c r="Y206">
        <v>0</v>
      </c>
      <c r="AC206">
        <v>0</v>
      </c>
      <c r="AE206">
        <v>0</v>
      </c>
      <c r="AF206">
        <v>2</v>
      </c>
      <c r="AG206">
        <v>0</v>
      </c>
      <c r="AH206">
        <v>0</v>
      </c>
      <c r="AI206">
        <v>0</v>
      </c>
      <c r="AM206">
        <v>0</v>
      </c>
      <c r="AR206" t="s">
        <v>872</v>
      </c>
      <c r="AS206" t="s">
        <v>951</v>
      </c>
      <c r="AT206">
        <v>6</v>
      </c>
    </row>
    <row r="207" spans="1:46">
      <c r="A207">
        <v>206</v>
      </c>
      <c r="B207">
        <v>33</v>
      </c>
      <c r="C207" t="s">
        <v>74</v>
      </c>
      <c r="D207" t="s">
        <v>87</v>
      </c>
      <c r="E207" t="s">
        <v>88</v>
      </c>
      <c r="F207">
        <v>53035</v>
      </c>
      <c r="G207" s="1" t="s">
        <v>597</v>
      </c>
      <c r="H207" s="2" t="s">
        <v>610</v>
      </c>
      <c r="I207" s="2" t="s">
        <v>611</v>
      </c>
      <c r="K207" s="21">
        <v>0</v>
      </c>
      <c r="L207" s="21">
        <v>1251762</v>
      </c>
      <c r="M207" s="21">
        <v>237835</v>
      </c>
      <c r="N207" s="21">
        <v>1489597</v>
      </c>
      <c r="O207">
        <v>0</v>
      </c>
      <c r="P207">
        <v>0</v>
      </c>
      <c r="Q207">
        <v>0</v>
      </c>
      <c r="R207">
        <v>0</v>
      </c>
      <c r="S207">
        <v>0</v>
      </c>
      <c r="T207" t="s">
        <v>77</v>
      </c>
      <c r="U207">
        <v>0</v>
      </c>
      <c r="V207">
        <v>0</v>
      </c>
      <c r="W207">
        <v>0</v>
      </c>
      <c r="X207">
        <v>0</v>
      </c>
      <c r="Y207">
        <v>0</v>
      </c>
      <c r="AC207">
        <v>0</v>
      </c>
      <c r="AE207">
        <v>0</v>
      </c>
      <c r="AF207">
        <v>2</v>
      </c>
      <c r="AG207">
        <v>0</v>
      </c>
      <c r="AH207">
        <v>0</v>
      </c>
      <c r="AI207">
        <v>0</v>
      </c>
      <c r="AM207">
        <v>0</v>
      </c>
      <c r="AR207" t="s">
        <v>872</v>
      </c>
      <c r="AS207" t="s">
        <v>951</v>
      </c>
      <c r="AT207">
        <v>6</v>
      </c>
    </row>
    <row r="208" spans="1:46">
      <c r="A208">
        <v>207</v>
      </c>
      <c r="B208">
        <v>33</v>
      </c>
      <c r="C208" t="s">
        <v>74</v>
      </c>
      <c r="D208" t="s">
        <v>87</v>
      </c>
      <c r="E208" t="s">
        <v>88</v>
      </c>
      <c r="F208">
        <v>53036</v>
      </c>
      <c r="G208" s="1" t="s">
        <v>597</v>
      </c>
      <c r="H208" s="2" t="s">
        <v>612</v>
      </c>
      <c r="I208" s="2" t="s">
        <v>609</v>
      </c>
      <c r="J208" s="2"/>
      <c r="K208" s="21">
        <v>0</v>
      </c>
      <c r="L208" s="21">
        <v>201227</v>
      </c>
      <c r="M208" s="21">
        <v>38233</v>
      </c>
      <c r="N208" s="21">
        <v>239460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77</v>
      </c>
      <c r="U208">
        <v>0</v>
      </c>
      <c r="V208">
        <v>0</v>
      </c>
      <c r="W208">
        <v>0</v>
      </c>
      <c r="X208">
        <v>0</v>
      </c>
      <c r="Y208">
        <v>0</v>
      </c>
      <c r="AC208">
        <v>0</v>
      </c>
      <c r="AE208">
        <v>0</v>
      </c>
      <c r="AF208">
        <v>2</v>
      </c>
      <c r="AG208">
        <v>0</v>
      </c>
      <c r="AH208">
        <v>0</v>
      </c>
      <c r="AI208">
        <v>0</v>
      </c>
      <c r="AM208">
        <v>0</v>
      </c>
      <c r="AR208" t="s">
        <v>872</v>
      </c>
      <c r="AS208" t="s">
        <v>951</v>
      </c>
      <c r="AT208">
        <v>6</v>
      </c>
    </row>
    <row r="209" spans="1:46">
      <c r="A209">
        <v>208</v>
      </c>
      <c r="B209">
        <v>33</v>
      </c>
      <c r="C209" t="s">
        <v>74</v>
      </c>
      <c r="D209" t="s">
        <v>87</v>
      </c>
      <c r="E209" t="s">
        <v>88</v>
      </c>
      <c r="F209">
        <v>53037</v>
      </c>
      <c r="G209" s="1" t="s">
        <v>597</v>
      </c>
      <c r="H209" s="2" t="s">
        <v>613</v>
      </c>
      <c r="I209" s="2" t="s">
        <v>614</v>
      </c>
      <c r="K209" s="21">
        <v>0</v>
      </c>
      <c r="L209" s="21">
        <v>220174</v>
      </c>
      <c r="M209" s="21">
        <v>41833</v>
      </c>
      <c r="N209" s="21">
        <v>262007</v>
      </c>
      <c r="O209">
        <v>0</v>
      </c>
      <c r="P209">
        <v>0</v>
      </c>
      <c r="Q209">
        <v>0</v>
      </c>
      <c r="R209">
        <v>0</v>
      </c>
      <c r="S209">
        <v>0</v>
      </c>
      <c r="T209" t="s">
        <v>77</v>
      </c>
      <c r="U209">
        <v>0</v>
      </c>
      <c r="V209">
        <v>0</v>
      </c>
      <c r="W209">
        <v>0</v>
      </c>
      <c r="X209">
        <v>0</v>
      </c>
      <c r="Y209">
        <v>0</v>
      </c>
      <c r="AC209">
        <v>0</v>
      </c>
      <c r="AE209">
        <v>0</v>
      </c>
      <c r="AF209">
        <v>2</v>
      </c>
      <c r="AG209">
        <v>0</v>
      </c>
      <c r="AH209">
        <v>0</v>
      </c>
      <c r="AI209">
        <v>0</v>
      </c>
      <c r="AM209">
        <v>0</v>
      </c>
      <c r="AR209" t="s">
        <v>872</v>
      </c>
      <c r="AS209" t="s">
        <v>951</v>
      </c>
      <c r="AT209">
        <v>6</v>
      </c>
    </row>
    <row r="210" spans="1:46">
      <c r="A210">
        <v>209</v>
      </c>
      <c r="B210">
        <v>33</v>
      </c>
      <c r="C210" t="s">
        <v>74</v>
      </c>
      <c r="D210" t="s">
        <v>87</v>
      </c>
      <c r="E210" t="s">
        <v>88</v>
      </c>
      <c r="F210">
        <v>53038</v>
      </c>
      <c r="G210" s="1" t="s">
        <v>597</v>
      </c>
      <c r="H210" s="2" t="s">
        <v>615</v>
      </c>
      <c r="I210" s="2" t="s">
        <v>611</v>
      </c>
      <c r="K210" s="21">
        <v>0</v>
      </c>
      <c r="L210" s="21">
        <v>243990</v>
      </c>
      <c r="M210" s="21">
        <v>46358</v>
      </c>
      <c r="N210" s="21">
        <v>290348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77</v>
      </c>
      <c r="U210">
        <v>0</v>
      </c>
      <c r="V210">
        <v>0</v>
      </c>
      <c r="W210">
        <v>0</v>
      </c>
      <c r="X210">
        <v>0</v>
      </c>
      <c r="Y210">
        <v>0</v>
      </c>
      <c r="AC210">
        <v>0</v>
      </c>
      <c r="AE210">
        <v>0</v>
      </c>
      <c r="AF210">
        <v>2</v>
      </c>
      <c r="AG210">
        <v>0</v>
      </c>
      <c r="AH210">
        <v>0</v>
      </c>
      <c r="AI210">
        <v>0</v>
      </c>
      <c r="AM210">
        <v>0</v>
      </c>
      <c r="AR210" t="s">
        <v>872</v>
      </c>
      <c r="AS210" t="s">
        <v>951</v>
      </c>
      <c r="AT210">
        <v>6</v>
      </c>
    </row>
    <row r="211" spans="1:46">
      <c r="A211">
        <v>210</v>
      </c>
      <c r="B211">
        <v>33</v>
      </c>
      <c r="C211" t="s">
        <v>74</v>
      </c>
      <c r="D211" t="s">
        <v>87</v>
      </c>
      <c r="E211" t="s">
        <v>88</v>
      </c>
      <c r="F211">
        <v>53039</v>
      </c>
      <c r="G211" s="1" t="s">
        <v>597</v>
      </c>
      <c r="H211" s="2" t="s">
        <v>616</v>
      </c>
      <c r="I211" s="2" t="s">
        <v>611</v>
      </c>
      <c r="K211" s="21">
        <v>0</v>
      </c>
      <c r="L211" s="21">
        <v>1721568</v>
      </c>
      <c r="M211" s="21">
        <v>327098</v>
      </c>
      <c r="N211" s="21">
        <v>2048666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77</v>
      </c>
      <c r="U211">
        <v>0</v>
      </c>
      <c r="V211">
        <v>0</v>
      </c>
      <c r="W211">
        <v>0</v>
      </c>
      <c r="X211">
        <v>0</v>
      </c>
      <c r="Y211">
        <v>0</v>
      </c>
      <c r="AC211">
        <v>0</v>
      </c>
      <c r="AE211">
        <v>0</v>
      </c>
      <c r="AF211">
        <v>2</v>
      </c>
      <c r="AG211">
        <v>0</v>
      </c>
      <c r="AH211">
        <v>0</v>
      </c>
      <c r="AI211">
        <v>0</v>
      </c>
      <c r="AM211">
        <v>0</v>
      </c>
      <c r="AR211" t="s">
        <v>872</v>
      </c>
      <c r="AS211" t="s">
        <v>951</v>
      </c>
      <c r="AT211">
        <v>6</v>
      </c>
    </row>
    <row r="212" spans="1:46">
      <c r="A212">
        <v>211</v>
      </c>
      <c r="B212">
        <v>33</v>
      </c>
      <c r="C212" t="s">
        <v>74</v>
      </c>
      <c r="D212" t="s">
        <v>87</v>
      </c>
      <c r="E212" t="s">
        <v>88</v>
      </c>
      <c r="F212">
        <v>53040</v>
      </c>
      <c r="G212" s="1" t="s">
        <v>597</v>
      </c>
      <c r="H212" s="2" t="s">
        <v>617</v>
      </c>
      <c r="I212" s="2" t="s">
        <v>611</v>
      </c>
      <c r="K212" s="21">
        <v>0</v>
      </c>
      <c r="L212" s="21">
        <v>356479</v>
      </c>
      <c r="M212" s="21">
        <v>67731</v>
      </c>
      <c r="N212" s="21">
        <v>424210</v>
      </c>
      <c r="O212">
        <v>0</v>
      </c>
      <c r="P212">
        <v>0</v>
      </c>
      <c r="Q212">
        <v>0</v>
      </c>
      <c r="R212">
        <v>0</v>
      </c>
      <c r="S212">
        <v>0</v>
      </c>
      <c r="T212" t="s">
        <v>77</v>
      </c>
      <c r="U212">
        <v>0</v>
      </c>
      <c r="V212">
        <v>0</v>
      </c>
      <c r="W212">
        <v>0</v>
      </c>
      <c r="X212">
        <v>0</v>
      </c>
      <c r="Y212">
        <v>0</v>
      </c>
      <c r="AC212">
        <v>0</v>
      </c>
      <c r="AE212">
        <v>0</v>
      </c>
      <c r="AF212">
        <v>2</v>
      </c>
      <c r="AG212">
        <v>0</v>
      </c>
      <c r="AH212">
        <v>0</v>
      </c>
      <c r="AI212">
        <v>0</v>
      </c>
      <c r="AM212">
        <v>0</v>
      </c>
      <c r="AR212" t="s">
        <v>872</v>
      </c>
      <c r="AS212" t="s">
        <v>951</v>
      </c>
      <c r="AT212">
        <v>6</v>
      </c>
    </row>
    <row r="213" spans="1:46">
      <c r="A213">
        <v>212</v>
      </c>
      <c r="B213">
        <v>33</v>
      </c>
      <c r="C213" t="s">
        <v>74</v>
      </c>
      <c r="D213" t="s">
        <v>87</v>
      </c>
      <c r="E213" t="s">
        <v>88</v>
      </c>
      <c r="F213">
        <v>53041</v>
      </c>
      <c r="G213" s="1" t="s">
        <v>597</v>
      </c>
      <c r="H213" s="2" t="s">
        <v>618</v>
      </c>
      <c r="I213" s="2" t="s">
        <v>607</v>
      </c>
      <c r="K213" s="21">
        <v>0</v>
      </c>
      <c r="L213" s="21">
        <v>288496</v>
      </c>
      <c r="M213" s="21">
        <v>54814</v>
      </c>
      <c r="N213" s="21">
        <v>343310</v>
      </c>
      <c r="O213">
        <v>0</v>
      </c>
      <c r="P213">
        <v>0</v>
      </c>
      <c r="Q213">
        <v>0</v>
      </c>
      <c r="R213">
        <v>0</v>
      </c>
      <c r="S213">
        <v>0</v>
      </c>
      <c r="T213" t="s">
        <v>77</v>
      </c>
      <c r="U213">
        <v>0</v>
      </c>
      <c r="V213">
        <v>0</v>
      </c>
      <c r="W213">
        <v>0</v>
      </c>
      <c r="X213">
        <v>0</v>
      </c>
      <c r="Y213">
        <v>0</v>
      </c>
      <c r="AC213">
        <v>0</v>
      </c>
      <c r="AE213">
        <v>0</v>
      </c>
      <c r="AF213">
        <v>2</v>
      </c>
      <c r="AG213">
        <v>0</v>
      </c>
      <c r="AH213">
        <v>0</v>
      </c>
      <c r="AI213">
        <v>0</v>
      </c>
      <c r="AM213">
        <v>0</v>
      </c>
      <c r="AR213" t="s">
        <v>872</v>
      </c>
      <c r="AS213" t="s">
        <v>951</v>
      </c>
      <c r="AT213">
        <v>6</v>
      </c>
    </row>
    <row r="214" spans="1:46">
      <c r="A214">
        <v>213</v>
      </c>
      <c r="B214">
        <v>33</v>
      </c>
      <c r="C214" t="s">
        <v>74</v>
      </c>
      <c r="D214" t="s">
        <v>204</v>
      </c>
      <c r="E214" t="s">
        <v>205</v>
      </c>
      <c r="F214">
        <v>53042</v>
      </c>
      <c r="G214" s="1" t="s">
        <v>597</v>
      </c>
      <c r="H214" s="2" t="s">
        <v>619</v>
      </c>
      <c r="I214" t="s">
        <v>620</v>
      </c>
      <c r="K214" s="21">
        <v>0</v>
      </c>
      <c r="L214" s="21">
        <v>1112172</v>
      </c>
      <c r="M214" s="21">
        <v>211312</v>
      </c>
      <c r="N214" s="21">
        <v>1323484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77</v>
      </c>
      <c r="U214">
        <v>0</v>
      </c>
      <c r="V214">
        <v>0</v>
      </c>
      <c r="W214">
        <v>0</v>
      </c>
      <c r="X214">
        <v>0</v>
      </c>
      <c r="Y214">
        <v>0</v>
      </c>
      <c r="AC214">
        <v>0</v>
      </c>
      <c r="AE214">
        <v>0</v>
      </c>
      <c r="AF214">
        <v>2</v>
      </c>
      <c r="AG214">
        <v>0</v>
      </c>
      <c r="AH214">
        <v>0</v>
      </c>
      <c r="AI214">
        <v>0</v>
      </c>
      <c r="AM214">
        <v>0</v>
      </c>
      <c r="AR214" t="s">
        <v>872</v>
      </c>
      <c r="AS214" t="s">
        <v>1005</v>
      </c>
      <c r="AT214">
        <v>6</v>
      </c>
    </row>
    <row r="215" spans="1:46">
      <c r="A215">
        <v>214</v>
      </c>
      <c r="B215">
        <v>33</v>
      </c>
      <c r="C215" t="s">
        <v>74</v>
      </c>
      <c r="D215" t="s">
        <v>206</v>
      </c>
      <c r="E215" t="s">
        <v>207</v>
      </c>
      <c r="F215">
        <v>53043</v>
      </c>
      <c r="G215" s="1" t="s">
        <v>597</v>
      </c>
      <c r="H215" s="2" t="s">
        <v>621</v>
      </c>
      <c r="I215" s="2"/>
      <c r="K215" s="21">
        <v>0</v>
      </c>
      <c r="L215" s="21">
        <v>361620</v>
      </c>
      <c r="M215" s="21">
        <v>68708</v>
      </c>
      <c r="N215" s="21">
        <v>430328</v>
      </c>
      <c r="O215">
        <v>0</v>
      </c>
      <c r="P215">
        <v>0</v>
      </c>
      <c r="Q215">
        <v>0</v>
      </c>
      <c r="R215">
        <v>0</v>
      </c>
      <c r="S215">
        <v>0</v>
      </c>
      <c r="T215" t="s">
        <v>77</v>
      </c>
      <c r="U215">
        <v>0</v>
      </c>
      <c r="V215">
        <v>0</v>
      </c>
      <c r="W215">
        <v>0</v>
      </c>
      <c r="X215">
        <v>0</v>
      </c>
      <c r="Y215">
        <v>0</v>
      </c>
      <c r="AC215">
        <v>0</v>
      </c>
      <c r="AE215">
        <v>0</v>
      </c>
      <c r="AF215">
        <v>2</v>
      </c>
      <c r="AG215">
        <v>0</v>
      </c>
      <c r="AH215">
        <v>0</v>
      </c>
      <c r="AI215">
        <v>0</v>
      </c>
      <c r="AM215">
        <v>0</v>
      </c>
      <c r="AR215" t="s">
        <v>872</v>
      </c>
      <c r="AS215" t="s">
        <v>1006</v>
      </c>
      <c r="AT215">
        <v>6</v>
      </c>
    </row>
    <row r="216" spans="1:46">
      <c r="A216">
        <v>215</v>
      </c>
      <c r="B216">
        <v>33</v>
      </c>
      <c r="C216" t="s">
        <v>74</v>
      </c>
      <c r="D216" t="s">
        <v>377</v>
      </c>
      <c r="E216" t="s">
        <v>378</v>
      </c>
      <c r="F216">
        <v>53044</v>
      </c>
      <c r="G216" s="1" t="s">
        <v>597</v>
      </c>
      <c r="H216" s="2" t="s">
        <v>622</v>
      </c>
      <c r="I216" s="2" t="s">
        <v>623</v>
      </c>
      <c r="K216" s="21">
        <v>0</v>
      </c>
      <c r="L216" s="21">
        <v>3261896</v>
      </c>
      <c r="M216" s="21">
        <v>619761</v>
      </c>
      <c r="N216" s="21">
        <v>3881657</v>
      </c>
      <c r="O216">
        <v>0</v>
      </c>
      <c r="P216">
        <v>0</v>
      </c>
      <c r="Q216">
        <v>0</v>
      </c>
      <c r="R216">
        <v>0</v>
      </c>
      <c r="S216">
        <v>0</v>
      </c>
      <c r="T216" t="s">
        <v>77</v>
      </c>
      <c r="U216">
        <v>0</v>
      </c>
      <c r="V216">
        <v>0</v>
      </c>
      <c r="W216">
        <v>0</v>
      </c>
      <c r="X216">
        <v>0</v>
      </c>
      <c r="Y216">
        <v>0</v>
      </c>
      <c r="AC216">
        <v>0</v>
      </c>
      <c r="AE216">
        <v>0</v>
      </c>
      <c r="AF216">
        <v>2</v>
      </c>
      <c r="AG216">
        <v>0</v>
      </c>
      <c r="AH216">
        <v>0</v>
      </c>
      <c r="AI216">
        <v>0</v>
      </c>
      <c r="AM216">
        <v>0</v>
      </c>
      <c r="AR216" t="s">
        <v>872</v>
      </c>
      <c r="AS216" t="s">
        <v>3781</v>
      </c>
      <c r="AT216">
        <v>6</v>
      </c>
    </row>
    <row r="217" spans="1:46">
      <c r="A217">
        <v>216</v>
      </c>
      <c r="B217">
        <v>33</v>
      </c>
      <c r="C217" t="s">
        <v>74</v>
      </c>
      <c r="D217" t="s">
        <v>377</v>
      </c>
      <c r="E217" t="s">
        <v>378</v>
      </c>
      <c r="F217">
        <v>53045</v>
      </c>
      <c r="G217" s="1" t="s">
        <v>597</v>
      </c>
      <c r="H217" s="2" t="s">
        <v>624</v>
      </c>
      <c r="I217" s="2" t="s">
        <v>623</v>
      </c>
      <c r="K217" s="21">
        <v>0</v>
      </c>
      <c r="L217" s="21">
        <v>3281888</v>
      </c>
      <c r="M217" s="21">
        <v>623559</v>
      </c>
      <c r="N217" s="21">
        <v>3905447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77</v>
      </c>
      <c r="U217">
        <v>0</v>
      </c>
      <c r="V217">
        <v>0</v>
      </c>
      <c r="W217">
        <v>0</v>
      </c>
      <c r="X217">
        <v>0</v>
      </c>
      <c r="Y217">
        <v>0</v>
      </c>
      <c r="AC217">
        <v>0</v>
      </c>
      <c r="AE217">
        <v>0</v>
      </c>
      <c r="AF217">
        <v>2</v>
      </c>
      <c r="AG217">
        <v>0</v>
      </c>
      <c r="AH217">
        <v>0</v>
      </c>
      <c r="AI217">
        <v>0</v>
      </c>
      <c r="AM217">
        <v>0</v>
      </c>
      <c r="AR217" t="s">
        <v>872</v>
      </c>
      <c r="AS217" t="s">
        <v>3781</v>
      </c>
      <c r="AT217">
        <v>6</v>
      </c>
    </row>
    <row r="218" spans="1:46">
      <c r="A218">
        <v>217</v>
      </c>
      <c r="B218">
        <v>33</v>
      </c>
      <c r="C218" t="s">
        <v>74</v>
      </c>
      <c r="D218" t="s">
        <v>125</v>
      </c>
      <c r="E218" t="s">
        <v>126</v>
      </c>
      <c r="F218">
        <v>53046</v>
      </c>
      <c r="G218" s="1" t="s">
        <v>597</v>
      </c>
      <c r="H218" s="2" t="s">
        <v>625</v>
      </c>
      <c r="I218" t="s">
        <v>626</v>
      </c>
      <c r="K218" s="21">
        <v>0</v>
      </c>
      <c r="L218" s="21">
        <v>244501</v>
      </c>
      <c r="M218" s="21">
        <v>46455</v>
      </c>
      <c r="N218" s="21">
        <v>290956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77</v>
      </c>
      <c r="U218">
        <v>0</v>
      </c>
      <c r="V218">
        <v>0</v>
      </c>
      <c r="W218">
        <v>0</v>
      </c>
      <c r="X218">
        <v>0</v>
      </c>
      <c r="Y218">
        <v>0</v>
      </c>
      <c r="AC218">
        <v>0</v>
      </c>
      <c r="AE218">
        <v>0</v>
      </c>
      <c r="AF218">
        <v>2</v>
      </c>
      <c r="AG218">
        <v>0</v>
      </c>
      <c r="AH218">
        <v>0</v>
      </c>
      <c r="AI218">
        <v>0</v>
      </c>
      <c r="AM218">
        <v>0</v>
      </c>
      <c r="AR218" t="s">
        <v>872</v>
      </c>
      <c r="AS218" t="s">
        <v>946</v>
      </c>
      <c r="AT218">
        <v>6</v>
      </c>
    </row>
    <row r="219" spans="1:46">
      <c r="A219">
        <v>218</v>
      </c>
      <c r="B219">
        <v>33</v>
      </c>
      <c r="C219" t="s">
        <v>74</v>
      </c>
      <c r="D219" t="s">
        <v>125</v>
      </c>
      <c r="E219" t="s">
        <v>126</v>
      </c>
      <c r="F219">
        <v>53047</v>
      </c>
      <c r="G219" s="1" t="s">
        <v>597</v>
      </c>
      <c r="H219" s="2" t="s">
        <v>627</v>
      </c>
      <c r="I219" s="2" t="s">
        <v>628</v>
      </c>
      <c r="K219" s="21">
        <v>0</v>
      </c>
      <c r="L219" s="21">
        <v>245798</v>
      </c>
      <c r="M219" s="21">
        <v>46701</v>
      </c>
      <c r="N219" s="21">
        <v>292499</v>
      </c>
      <c r="O219">
        <v>0</v>
      </c>
      <c r="P219">
        <v>0</v>
      </c>
      <c r="Q219">
        <v>0</v>
      </c>
      <c r="R219">
        <v>0</v>
      </c>
      <c r="S219">
        <v>0</v>
      </c>
      <c r="T219" t="s">
        <v>77</v>
      </c>
      <c r="U219">
        <v>0</v>
      </c>
      <c r="V219">
        <v>0</v>
      </c>
      <c r="W219">
        <v>0</v>
      </c>
      <c r="X219">
        <v>0</v>
      </c>
      <c r="Y219">
        <v>0</v>
      </c>
      <c r="AC219">
        <v>0</v>
      </c>
      <c r="AE219">
        <v>0</v>
      </c>
      <c r="AF219">
        <v>2</v>
      </c>
      <c r="AG219">
        <v>0</v>
      </c>
      <c r="AH219">
        <v>0</v>
      </c>
      <c r="AI219">
        <v>0</v>
      </c>
      <c r="AM219">
        <v>0</v>
      </c>
      <c r="AR219" t="s">
        <v>872</v>
      </c>
      <c r="AS219" t="s">
        <v>946</v>
      </c>
      <c r="AT219">
        <v>6</v>
      </c>
    </row>
    <row r="220" spans="1:46">
      <c r="A220">
        <v>219</v>
      </c>
      <c r="B220">
        <v>33</v>
      </c>
      <c r="C220" t="s">
        <v>74</v>
      </c>
      <c r="D220" t="s">
        <v>629</v>
      </c>
      <c r="E220" t="s">
        <v>630</v>
      </c>
      <c r="F220">
        <v>53048</v>
      </c>
      <c r="G220" s="1" t="s">
        <v>597</v>
      </c>
      <c r="H220" s="2" t="s">
        <v>631</v>
      </c>
      <c r="I220" s="2"/>
      <c r="K220" s="21">
        <v>0</v>
      </c>
      <c r="L220" s="21">
        <v>1346660</v>
      </c>
      <c r="M220" s="21">
        <v>255865</v>
      </c>
      <c r="N220" s="21">
        <v>1602525</v>
      </c>
      <c r="O220">
        <v>0</v>
      </c>
      <c r="P220">
        <v>0</v>
      </c>
      <c r="Q220">
        <v>0</v>
      </c>
      <c r="R220">
        <v>0</v>
      </c>
      <c r="S220">
        <v>0</v>
      </c>
      <c r="T220" t="s">
        <v>77</v>
      </c>
      <c r="U220">
        <v>0</v>
      </c>
      <c r="V220">
        <v>0</v>
      </c>
      <c r="W220">
        <v>0</v>
      </c>
      <c r="X220">
        <v>0</v>
      </c>
      <c r="AC220">
        <v>0</v>
      </c>
      <c r="AE220">
        <v>0</v>
      </c>
      <c r="AF220">
        <v>2</v>
      </c>
      <c r="AG220">
        <v>0</v>
      </c>
      <c r="AH220">
        <v>0</v>
      </c>
      <c r="AI220">
        <v>0</v>
      </c>
      <c r="AM220">
        <v>0</v>
      </c>
      <c r="AR220" t="s">
        <v>872</v>
      </c>
      <c r="AS220" t="s">
        <v>3782</v>
      </c>
      <c r="AT220">
        <v>6</v>
      </c>
    </row>
    <row r="221" spans="1:46">
      <c r="A221">
        <v>220</v>
      </c>
      <c r="B221">
        <v>33</v>
      </c>
      <c r="C221" t="s">
        <v>74</v>
      </c>
      <c r="D221" t="s">
        <v>316</v>
      </c>
      <c r="E221" t="s">
        <v>317</v>
      </c>
      <c r="F221">
        <v>53049</v>
      </c>
      <c r="G221" s="1" t="s">
        <v>597</v>
      </c>
      <c r="H221" s="2" t="s">
        <v>632</v>
      </c>
      <c r="I221" s="2" t="s">
        <v>633</v>
      </c>
      <c r="K221" s="21">
        <v>0</v>
      </c>
      <c r="L221" s="21">
        <v>1311628</v>
      </c>
      <c r="M221" s="21">
        <v>249209</v>
      </c>
      <c r="N221" s="21">
        <v>1560837</v>
      </c>
      <c r="O221">
        <v>0</v>
      </c>
      <c r="P221">
        <v>0</v>
      </c>
      <c r="Q221">
        <v>0</v>
      </c>
      <c r="R221">
        <v>0</v>
      </c>
      <c r="S221">
        <v>0</v>
      </c>
      <c r="T221" t="s">
        <v>77</v>
      </c>
      <c r="U221">
        <v>0</v>
      </c>
      <c r="V221">
        <v>0</v>
      </c>
      <c r="W221">
        <v>0</v>
      </c>
      <c r="X221">
        <v>0</v>
      </c>
      <c r="Y221">
        <v>0</v>
      </c>
      <c r="AC221">
        <v>0</v>
      </c>
      <c r="AE221">
        <v>0</v>
      </c>
      <c r="AF221">
        <v>2</v>
      </c>
      <c r="AG221">
        <v>0</v>
      </c>
      <c r="AH221">
        <v>0</v>
      </c>
      <c r="AI221">
        <v>0</v>
      </c>
      <c r="AM221">
        <v>0</v>
      </c>
      <c r="AR221" t="s">
        <v>872</v>
      </c>
      <c r="AS221" t="s">
        <v>981</v>
      </c>
      <c r="AT221">
        <v>6</v>
      </c>
    </row>
    <row r="222" spans="1:46">
      <c r="A222">
        <v>221</v>
      </c>
      <c r="B222">
        <v>33</v>
      </c>
      <c r="C222" t="s">
        <v>74</v>
      </c>
      <c r="D222" t="s">
        <v>347</v>
      </c>
      <c r="E222" t="s">
        <v>348</v>
      </c>
      <c r="F222">
        <v>53050</v>
      </c>
      <c r="G222" s="1" t="s">
        <v>597</v>
      </c>
      <c r="H222" s="2" t="s">
        <v>634</v>
      </c>
      <c r="I222" s="2"/>
      <c r="J222" t="s">
        <v>635</v>
      </c>
      <c r="K222" s="21">
        <v>0</v>
      </c>
      <c r="L222" s="21">
        <v>31493997</v>
      </c>
      <c r="M222" s="21">
        <v>5983859</v>
      </c>
      <c r="N222" s="21">
        <v>37477856</v>
      </c>
      <c r="O222">
        <v>0</v>
      </c>
      <c r="P222">
        <v>0</v>
      </c>
      <c r="Q222">
        <v>0</v>
      </c>
      <c r="R222">
        <v>0</v>
      </c>
      <c r="S222">
        <v>0</v>
      </c>
      <c r="T222" t="s">
        <v>77</v>
      </c>
      <c r="U222">
        <v>0</v>
      </c>
      <c r="V222">
        <v>0</v>
      </c>
      <c r="W222">
        <v>0</v>
      </c>
      <c r="X222">
        <v>0</v>
      </c>
      <c r="AC222">
        <v>0</v>
      </c>
      <c r="AE222">
        <v>0</v>
      </c>
      <c r="AF222">
        <v>2</v>
      </c>
      <c r="AG222">
        <v>0</v>
      </c>
      <c r="AH222">
        <v>0</v>
      </c>
      <c r="AI222">
        <v>0</v>
      </c>
      <c r="AM222">
        <v>0</v>
      </c>
      <c r="AR222" t="s">
        <v>872</v>
      </c>
      <c r="AS222" t="s">
        <v>1002</v>
      </c>
      <c r="AT222">
        <v>6</v>
      </c>
    </row>
    <row r="223" spans="1:46">
      <c r="A223">
        <v>222</v>
      </c>
      <c r="B223">
        <v>33</v>
      </c>
      <c r="C223" t="s">
        <v>74</v>
      </c>
      <c r="D223" t="s">
        <v>347</v>
      </c>
      <c r="E223" t="s">
        <v>348</v>
      </c>
      <c r="F223">
        <v>53051</v>
      </c>
      <c r="G223" s="1" t="s">
        <v>597</v>
      </c>
      <c r="H223" s="2" t="s">
        <v>637</v>
      </c>
      <c r="K223" s="21">
        <v>1</v>
      </c>
      <c r="L223" s="21">
        <v>31493997</v>
      </c>
      <c r="M223" s="21">
        <v>5983859</v>
      </c>
      <c r="N223" s="21">
        <v>37477857</v>
      </c>
      <c r="O223">
        <v>0</v>
      </c>
      <c r="P223">
        <v>0</v>
      </c>
      <c r="Q223">
        <v>0</v>
      </c>
      <c r="R223">
        <v>0</v>
      </c>
      <c r="S223">
        <v>0</v>
      </c>
      <c r="T223" t="s">
        <v>77</v>
      </c>
      <c r="U223">
        <v>0</v>
      </c>
      <c r="V223">
        <v>0</v>
      </c>
      <c r="W223">
        <v>0</v>
      </c>
      <c r="X223">
        <v>0</v>
      </c>
      <c r="AC223">
        <v>0</v>
      </c>
      <c r="AE223">
        <v>0</v>
      </c>
      <c r="AF223">
        <v>2</v>
      </c>
      <c r="AG223">
        <v>0</v>
      </c>
      <c r="AH223">
        <v>0</v>
      </c>
      <c r="AI223">
        <v>0</v>
      </c>
      <c r="AM223">
        <v>0</v>
      </c>
      <c r="AR223" t="s">
        <v>872</v>
      </c>
      <c r="AS223" t="s">
        <v>1002</v>
      </c>
      <c r="AT223">
        <v>6</v>
      </c>
    </row>
    <row r="224" spans="1:46">
      <c r="A224">
        <v>223</v>
      </c>
      <c r="B224">
        <v>33</v>
      </c>
      <c r="C224" t="s">
        <v>74</v>
      </c>
      <c r="D224" t="s">
        <v>592</v>
      </c>
      <c r="E224" t="s">
        <v>593</v>
      </c>
      <c r="F224">
        <v>53052</v>
      </c>
      <c r="G224" s="1" t="s">
        <v>597</v>
      </c>
      <c r="H224" s="2" t="s">
        <v>638</v>
      </c>
      <c r="J224" s="2"/>
      <c r="K224" s="21">
        <v>0</v>
      </c>
      <c r="L224" s="21">
        <v>15434807</v>
      </c>
      <c r="M224" s="21">
        <v>2932613</v>
      </c>
      <c r="N224" s="21">
        <v>18367420</v>
      </c>
      <c r="O224">
        <v>0</v>
      </c>
      <c r="P224">
        <v>0</v>
      </c>
      <c r="Q224">
        <v>0</v>
      </c>
      <c r="R224">
        <v>0</v>
      </c>
      <c r="S224">
        <v>0</v>
      </c>
      <c r="T224" t="s">
        <v>77</v>
      </c>
      <c r="U224">
        <v>0</v>
      </c>
      <c r="V224">
        <v>0</v>
      </c>
      <c r="W224">
        <v>0</v>
      </c>
      <c r="X224">
        <v>0</v>
      </c>
      <c r="AC224">
        <v>0</v>
      </c>
      <c r="AE224">
        <v>0</v>
      </c>
      <c r="AF224">
        <v>2</v>
      </c>
      <c r="AG224">
        <v>0</v>
      </c>
      <c r="AH224">
        <v>0</v>
      </c>
      <c r="AI224">
        <v>0</v>
      </c>
      <c r="AM224">
        <v>0</v>
      </c>
      <c r="AR224" t="s">
        <v>872</v>
      </c>
      <c r="AS224" t="s">
        <v>3780</v>
      </c>
      <c r="AT224">
        <v>6</v>
      </c>
    </row>
    <row r="225" spans="1:46">
      <c r="A225">
        <v>224</v>
      </c>
      <c r="B225">
        <v>33</v>
      </c>
      <c r="C225" t="s">
        <v>74</v>
      </c>
      <c r="D225" t="s">
        <v>250</v>
      </c>
      <c r="E225" t="s">
        <v>251</v>
      </c>
      <c r="F225">
        <v>53053</v>
      </c>
      <c r="G225" s="1" t="s">
        <v>597</v>
      </c>
      <c r="H225" s="2" t="s">
        <v>639</v>
      </c>
      <c r="I225" t="s">
        <v>640</v>
      </c>
      <c r="K225" s="21">
        <v>0</v>
      </c>
      <c r="L225" s="21">
        <v>7998812</v>
      </c>
      <c r="M225" s="21">
        <v>1519774</v>
      </c>
      <c r="N225" s="21">
        <v>9518586</v>
      </c>
      <c r="O225">
        <v>0</v>
      </c>
      <c r="P225">
        <v>0</v>
      </c>
      <c r="Q225">
        <v>0</v>
      </c>
      <c r="R225">
        <v>0</v>
      </c>
      <c r="S225">
        <v>0</v>
      </c>
      <c r="T225" t="s">
        <v>77</v>
      </c>
      <c r="U225">
        <v>0</v>
      </c>
      <c r="V225">
        <v>0</v>
      </c>
      <c r="W225">
        <v>0</v>
      </c>
      <c r="X225">
        <v>0</v>
      </c>
      <c r="AC225">
        <v>0</v>
      </c>
      <c r="AE225">
        <v>0</v>
      </c>
      <c r="AF225">
        <v>2</v>
      </c>
      <c r="AG225">
        <v>0</v>
      </c>
      <c r="AH225">
        <v>0</v>
      </c>
      <c r="AI225">
        <v>0</v>
      </c>
      <c r="AM225">
        <v>0</v>
      </c>
      <c r="AR225" t="s">
        <v>872</v>
      </c>
      <c r="AS225" t="s">
        <v>1028</v>
      </c>
      <c r="AT225">
        <v>6</v>
      </c>
    </row>
    <row r="226" spans="1:46">
      <c r="A226">
        <v>225</v>
      </c>
      <c r="B226">
        <v>33</v>
      </c>
      <c r="C226" t="s">
        <v>74</v>
      </c>
      <c r="D226" t="s">
        <v>641</v>
      </c>
      <c r="E226" t="s">
        <v>642</v>
      </c>
      <c r="F226">
        <v>53054</v>
      </c>
      <c r="G226" s="1" t="s">
        <v>643</v>
      </c>
      <c r="H226" s="2" t="s">
        <v>644</v>
      </c>
      <c r="I226" s="2" t="s">
        <v>645</v>
      </c>
      <c r="K226" s="21">
        <v>0</v>
      </c>
      <c r="L226" s="21">
        <v>1967543</v>
      </c>
      <c r="M226" s="21">
        <v>373833</v>
      </c>
      <c r="N226" s="21">
        <v>2341376</v>
      </c>
      <c r="O226">
        <v>0</v>
      </c>
      <c r="P226">
        <v>0</v>
      </c>
      <c r="Q226">
        <v>0</v>
      </c>
      <c r="R226">
        <v>0</v>
      </c>
      <c r="S226">
        <v>0</v>
      </c>
      <c r="T226" t="s">
        <v>77</v>
      </c>
      <c r="U226">
        <v>0</v>
      </c>
      <c r="V226">
        <v>0</v>
      </c>
      <c r="W226">
        <v>0</v>
      </c>
      <c r="X226">
        <v>0</v>
      </c>
      <c r="AC226">
        <v>0</v>
      </c>
      <c r="AE226">
        <v>0</v>
      </c>
      <c r="AF226">
        <v>2</v>
      </c>
      <c r="AG226">
        <v>0</v>
      </c>
      <c r="AH226">
        <v>0</v>
      </c>
      <c r="AI226">
        <v>0</v>
      </c>
      <c r="AM226">
        <v>0</v>
      </c>
      <c r="AR226" t="s">
        <v>872</v>
      </c>
      <c r="AS226" t="s">
        <v>3783</v>
      </c>
      <c r="AT226">
        <v>6</v>
      </c>
    </row>
    <row r="227" spans="1:46">
      <c r="A227">
        <v>226</v>
      </c>
      <c r="B227">
        <v>33</v>
      </c>
      <c r="C227" t="s">
        <v>74</v>
      </c>
      <c r="D227" t="s">
        <v>191</v>
      </c>
      <c r="E227" t="s">
        <v>192</v>
      </c>
      <c r="F227">
        <v>53055</v>
      </c>
      <c r="G227" s="1" t="s">
        <v>643</v>
      </c>
      <c r="H227" s="2" t="s">
        <v>646</v>
      </c>
      <c r="I227" s="2" t="s">
        <v>647</v>
      </c>
      <c r="K227" s="21">
        <v>0</v>
      </c>
      <c r="L227" s="21">
        <v>12035334</v>
      </c>
      <c r="M227" s="21">
        <v>2286713</v>
      </c>
      <c r="N227" s="21">
        <v>14322047</v>
      </c>
      <c r="O227">
        <v>0</v>
      </c>
      <c r="P227">
        <v>0</v>
      </c>
      <c r="Q227">
        <v>0</v>
      </c>
      <c r="R227">
        <v>0</v>
      </c>
      <c r="S227">
        <v>0</v>
      </c>
      <c r="T227" t="s">
        <v>77</v>
      </c>
      <c r="U227">
        <v>0</v>
      </c>
      <c r="V227">
        <v>0</v>
      </c>
      <c r="W227">
        <v>0</v>
      </c>
      <c r="X227">
        <v>0</v>
      </c>
      <c r="AC227">
        <v>0</v>
      </c>
      <c r="AE227">
        <v>0</v>
      </c>
      <c r="AF227">
        <v>2</v>
      </c>
      <c r="AG227">
        <v>0</v>
      </c>
      <c r="AH227">
        <v>0</v>
      </c>
      <c r="AI227">
        <v>0</v>
      </c>
      <c r="AM227">
        <v>0</v>
      </c>
      <c r="AR227" t="s">
        <v>872</v>
      </c>
      <c r="AS227" t="s">
        <v>1031</v>
      </c>
      <c r="AT227">
        <v>6</v>
      </c>
    </row>
    <row r="228" spans="1:46">
      <c r="A228">
        <v>227</v>
      </c>
      <c r="B228">
        <v>33</v>
      </c>
      <c r="C228" t="s">
        <v>74</v>
      </c>
      <c r="D228" t="s">
        <v>185</v>
      </c>
      <c r="E228" t="s">
        <v>186</v>
      </c>
      <c r="F228">
        <v>53056</v>
      </c>
      <c r="G228" s="1" t="s">
        <v>643</v>
      </c>
      <c r="H228" s="2" t="s">
        <v>648</v>
      </c>
      <c r="I228" s="2" t="s">
        <v>649</v>
      </c>
      <c r="K228" s="21">
        <v>0</v>
      </c>
      <c r="L228" s="21">
        <v>2374621</v>
      </c>
      <c r="M228" s="21">
        <v>451178</v>
      </c>
      <c r="N228" s="21">
        <v>2825799</v>
      </c>
      <c r="O228">
        <v>0</v>
      </c>
      <c r="P228">
        <v>0</v>
      </c>
      <c r="Q228">
        <v>0</v>
      </c>
      <c r="R228">
        <v>0</v>
      </c>
      <c r="S228">
        <v>0</v>
      </c>
      <c r="T228" t="s">
        <v>77</v>
      </c>
      <c r="U228">
        <v>0</v>
      </c>
      <c r="V228">
        <v>0</v>
      </c>
      <c r="W228">
        <v>0</v>
      </c>
      <c r="X228">
        <v>0</v>
      </c>
      <c r="AC228">
        <v>0</v>
      </c>
      <c r="AE228">
        <v>0</v>
      </c>
      <c r="AF228">
        <v>2</v>
      </c>
      <c r="AG228">
        <v>0</v>
      </c>
      <c r="AH228">
        <v>0</v>
      </c>
      <c r="AI228">
        <v>0</v>
      </c>
      <c r="AM228">
        <v>0</v>
      </c>
      <c r="AR228" t="s">
        <v>872</v>
      </c>
      <c r="AS228" t="s">
        <v>1010</v>
      </c>
      <c r="AT228">
        <v>6</v>
      </c>
    </row>
    <row r="229" spans="1:46">
      <c r="A229">
        <v>228</v>
      </c>
      <c r="B229">
        <v>33</v>
      </c>
      <c r="C229" t="s">
        <v>74</v>
      </c>
      <c r="D229" t="s">
        <v>278</v>
      </c>
      <c r="E229" t="s">
        <v>279</v>
      </c>
      <c r="F229">
        <v>53057</v>
      </c>
      <c r="G229" s="1" t="s">
        <v>643</v>
      </c>
      <c r="H229" s="2" t="s">
        <v>650</v>
      </c>
      <c r="I229" s="2" t="s">
        <v>651</v>
      </c>
      <c r="K229" s="21">
        <v>0</v>
      </c>
      <c r="L229" s="21">
        <v>15773881</v>
      </c>
      <c r="M229" s="21">
        <v>2997037</v>
      </c>
      <c r="N229" s="21">
        <v>18770918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77</v>
      </c>
      <c r="U229">
        <v>0</v>
      </c>
      <c r="V229">
        <v>0</v>
      </c>
      <c r="W229">
        <v>0</v>
      </c>
      <c r="X229">
        <v>0</v>
      </c>
      <c r="AC229">
        <v>0</v>
      </c>
      <c r="AE229">
        <v>0</v>
      </c>
      <c r="AF229">
        <v>2</v>
      </c>
      <c r="AG229">
        <v>0</v>
      </c>
      <c r="AH229">
        <v>0</v>
      </c>
      <c r="AI229">
        <v>0</v>
      </c>
      <c r="AM229">
        <v>0</v>
      </c>
      <c r="AR229" t="s">
        <v>872</v>
      </c>
      <c r="AS229" t="s">
        <v>3748</v>
      </c>
      <c r="AT229">
        <v>6</v>
      </c>
    </row>
    <row r="230" spans="1:46">
      <c r="A230">
        <v>229</v>
      </c>
      <c r="B230">
        <v>33</v>
      </c>
      <c r="C230" t="s">
        <v>74</v>
      </c>
      <c r="D230" t="s">
        <v>371</v>
      </c>
      <c r="E230" t="s">
        <v>372</v>
      </c>
      <c r="F230">
        <v>53058</v>
      </c>
      <c r="G230" s="1" t="s">
        <v>643</v>
      </c>
      <c r="H230" s="2" t="s">
        <v>652</v>
      </c>
      <c r="I230" s="2"/>
      <c r="K230" s="21">
        <v>0</v>
      </c>
      <c r="L230" s="21">
        <v>4042510</v>
      </c>
      <c r="M230" s="21">
        <v>768077</v>
      </c>
      <c r="N230" s="21">
        <v>4810587</v>
      </c>
      <c r="O230">
        <v>0</v>
      </c>
      <c r="P230">
        <v>0</v>
      </c>
      <c r="Q230">
        <v>0</v>
      </c>
      <c r="R230">
        <v>0</v>
      </c>
      <c r="S230">
        <v>0</v>
      </c>
      <c r="T230" t="s">
        <v>77</v>
      </c>
      <c r="U230">
        <v>0</v>
      </c>
      <c r="V230">
        <v>0</v>
      </c>
      <c r="W230">
        <v>0</v>
      </c>
      <c r="X230">
        <v>0</v>
      </c>
      <c r="AC230">
        <v>0</v>
      </c>
      <c r="AE230">
        <v>0</v>
      </c>
      <c r="AF230">
        <v>2</v>
      </c>
      <c r="AG230">
        <v>0</v>
      </c>
      <c r="AH230">
        <v>0</v>
      </c>
      <c r="AI230">
        <v>0</v>
      </c>
      <c r="AM230">
        <v>0</v>
      </c>
      <c r="AR230" t="s">
        <v>872</v>
      </c>
      <c r="AS230" t="s">
        <v>3784</v>
      </c>
      <c r="AT230">
        <v>6</v>
      </c>
    </row>
    <row r="231" spans="1:46">
      <c r="A231">
        <v>230</v>
      </c>
      <c r="B231">
        <v>33</v>
      </c>
      <c r="C231" t="s">
        <v>74</v>
      </c>
      <c r="D231" t="s">
        <v>278</v>
      </c>
      <c r="E231" t="s">
        <v>279</v>
      </c>
      <c r="F231">
        <v>53059</v>
      </c>
      <c r="G231" s="1" t="s">
        <v>643</v>
      </c>
      <c r="H231" s="2" t="s">
        <v>654</v>
      </c>
      <c r="I231" s="2" t="s">
        <v>655</v>
      </c>
      <c r="J231" s="2"/>
      <c r="K231" s="21">
        <v>0</v>
      </c>
      <c r="L231" s="21">
        <v>600910</v>
      </c>
      <c r="M231" s="21">
        <v>114173</v>
      </c>
      <c r="N231" s="21">
        <v>715083</v>
      </c>
      <c r="O231">
        <v>0</v>
      </c>
      <c r="P231">
        <v>0</v>
      </c>
      <c r="Q231">
        <v>0</v>
      </c>
      <c r="R231">
        <v>0</v>
      </c>
      <c r="S231">
        <v>0</v>
      </c>
      <c r="T231" t="s">
        <v>77</v>
      </c>
      <c r="U231">
        <v>0</v>
      </c>
      <c r="V231">
        <v>0</v>
      </c>
      <c r="W231">
        <v>0</v>
      </c>
      <c r="X231">
        <v>0</v>
      </c>
      <c r="AC231">
        <v>0</v>
      </c>
      <c r="AE231">
        <v>0</v>
      </c>
      <c r="AF231">
        <v>2</v>
      </c>
      <c r="AG231">
        <v>0</v>
      </c>
      <c r="AH231">
        <v>0</v>
      </c>
      <c r="AI231">
        <v>0</v>
      </c>
      <c r="AM231">
        <v>0</v>
      </c>
      <c r="AR231" t="s">
        <v>872</v>
      </c>
      <c r="AS231" t="s">
        <v>3748</v>
      </c>
      <c r="AT231">
        <v>6</v>
      </c>
    </row>
    <row r="232" spans="1:46">
      <c r="A232">
        <v>231</v>
      </c>
      <c r="B232">
        <v>33</v>
      </c>
      <c r="C232" t="s">
        <v>74</v>
      </c>
      <c r="D232" t="s">
        <v>337</v>
      </c>
      <c r="E232" t="s">
        <v>338</v>
      </c>
      <c r="F232">
        <v>53060</v>
      </c>
      <c r="G232" s="1" t="s">
        <v>643</v>
      </c>
      <c r="H232" s="2" t="s">
        <v>656</v>
      </c>
      <c r="I232" s="2" t="s">
        <v>657</v>
      </c>
      <c r="J232" s="2"/>
      <c r="K232" s="21">
        <v>0</v>
      </c>
      <c r="L232" s="21">
        <v>2836702</v>
      </c>
      <c r="M232" s="21">
        <v>538973</v>
      </c>
      <c r="N232" s="21">
        <v>3375675</v>
      </c>
      <c r="O232">
        <v>0</v>
      </c>
      <c r="P232">
        <v>0</v>
      </c>
      <c r="Q232">
        <v>0</v>
      </c>
      <c r="R232">
        <v>0</v>
      </c>
      <c r="S232">
        <v>0</v>
      </c>
      <c r="T232" t="s">
        <v>77</v>
      </c>
      <c r="U232">
        <v>0</v>
      </c>
      <c r="V232">
        <v>0</v>
      </c>
      <c r="W232">
        <v>0</v>
      </c>
      <c r="X232">
        <v>0</v>
      </c>
      <c r="AC232">
        <v>0</v>
      </c>
      <c r="AE232">
        <v>0</v>
      </c>
      <c r="AF232">
        <v>2</v>
      </c>
      <c r="AG232">
        <v>0</v>
      </c>
      <c r="AH232">
        <v>0</v>
      </c>
      <c r="AI232">
        <v>0</v>
      </c>
      <c r="AM232">
        <v>0</v>
      </c>
      <c r="AR232" t="s">
        <v>872</v>
      </c>
      <c r="AS232" t="s">
        <v>990</v>
      </c>
      <c r="AT232">
        <v>6</v>
      </c>
    </row>
    <row r="233" spans="1:46">
      <c r="A233">
        <v>232</v>
      </c>
      <c r="B233">
        <v>33</v>
      </c>
      <c r="C233" t="s">
        <v>74</v>
      </c>
      <c r="D233" t="s">
        <v>592</v>
      </c>
      <c r="E233" t="s">
        <v>593</v>
      </c>
      <c r="F233">
        <v>53061</v>
      </c>
      <c r="G233" s="1" t="s">
        <v>643</v>
      </c>
      <c r="H233" s="2" t="s">
        <v>658</v>
      </c>
      <c r="I233" s="2"/>
      <c r="K233" s="21">
        <v>0</v>
      </c>
      <c r="L233" s="21">
        <v>51027781</v>
      </c>
      <c r="M233" s="21">
        <v>9695278</v>
      </c>
      <c r="N233" s="21">
        <v>60723059</v>
      </c>
      <c r="O233">
        <v>0</v>
      </c>
      <c r="P233">
        <v>0</v>
      </c>
      <c r="Q233">
        <v>0</v>
      </c>
      <c r="R233">
        <v>0</v>
      </c>
      <c r="S233">
        <v>0</v>
      </c>
      <c r="T233" t="s">
        <v>77</v>
      </c>
      <c r="U233">
        <v>0</v>
      </c>
      <c r="V233">
        <v>0</v>
      </c>
      <c r="W233">
        <v>0</v>
      </c>
      <c r="X233">
        <v>0</v>
      </c>
      <c r="AC233">
        <v>0</v>
      </c>
      <c r="AE233">
        <v>0</v>
      </c>
      <c r="AF233">
        <v>2</v>
      </c>
      <c r="AG233">
        <v>0</v>
      </c>
      <c r="AH233">
        <v>0</v>
      </c>
      <c r="AI233">
        <v>0</v>
      </c>
      <c r="AM233">
        <v>0</v>
      </c>
      <c r="AR233" t="s">
        <v>872</v>
      </c>
      <c r="AS233" t="s">
        <v>3780</v>
      </c>
      <c r="AT233">
        <v>6</v>
      </c>
    </row>
    <row r="234" spans="1:46">
      <c r="A234">
        <v>233</v>
      </c>
      <c r="B234">
        <v>33</v>
      </c>
      <c r="C234" t="s">
        <v>74</v>
      </c>
      <c r="D234" t="s">
        <v>226</v>
      </c>
      <c r="E234" t="s">
        <v>227</v>
      </c>
      <c r="F234">
        <v>53062</v>
      </c>
      <c r="G234" s="1" t="s">
        <v>643</v>
      </c>
      <c r="H234" s="2" t="s">
        <v>659</v>
      </c>
      <c r="I234" s="2">
        <v>45329.670925925922</v>
      </c>
      <c r="K234" s="21">
        <v>0</v>
      </c>
      <c r="L234" s="21">
        <v>194295520</v>
      </c>
      <c r="M234" s="21">
        <v>36916149</v>
      </c>
      <c r="N234" s="21">
        <v>231211669</v>
      </c>
      <c r="O234">
        <v>0</v>
      </c>
      <c r="P234">
        <v>0</v>
      </c>
      <c r="Q234">
        <v>0</v>
      </c>
      <c r="R234">
        <v>0</v>
      </c>
      <c r="S234">
        <v>0</v>
      </c>
      <c r="T234" t="s">
        <v>77</v>
      </c>
      <c r="U234">
        <v>0</v>
      </c>
      <c r="V234">
        <v>0</v>
      </c>
      <c r="W234">
        <v>0</v>
      </c>
      <c r="X234">
        <v>0</v>
      </c>
      <c r="AC234">
        <v>0</v>
      </c>
      <c r="AE234">
        <v>0</v>
      </c>
      <c r="AF234">
        <v>2</v>
      </c>
      <c r="AG234">
        <v>0</v>
      </c>
      <c r="AH234">
        <v>0</v>
      </c>
      <c r="AI234">
        <v>0</v>
      </c>
      <c r="AM234">
        <v>0</v>
      </c>
      <c r="AR234" t="s">
        <v>872</v>
      </c>
      <c r="AS234" t="s">
        <v>930</v>
      </c>
      <c r="AT234">
        <v>6</v>
      </c>
    </row>
    <row r="235" spans="1:46">
      <c r="A235">
        <v>234</v>
      </c>
      <c r="B235">
        <v>33</v>
      </c>
      <c r="C235" t="s">
        <v>74</v>
      </c>
      <c r="D235" t="s">
        <v>24</v>
      </c>
      <c r="E235" t="s">
        <v>25</v>
      </c>
      <c r="F235">
        <v>53063</v>
      </c>
      <c r="G235" s="1" t="s">
        <v>643</v>
      </c>
      <c r="H235" s="2" t="s">
        <v>660</v>
      </c>
      <c r="I235" s="2" t="s">
        <v>661</v>
      </c>
      <c r="K235" s="21">
        <v>0</v>
      </c>
      <c r="L235" s="21">
        <v>10687665</v>
      </c>
      <c r="M235" s="21">
        <v>2030656</v>
      </c>
      <c r="N235" s="21">
        <v>12718321</v>
      </c>
      <c r="O235">
        <v>0</v>
      </c>
      <c r="P235">
        <v>0</v>
      </c>
      <c r="Q235">
        <v>0</v>
      </c>
      <c r="R235">
        <v>0</v>
      </c>
      <c r="S235">
        <v>0</v>
      </c>
      <c r="T235" t="s">
        <v>77</v>
      </c>
      <c r="U235">
        <v>0</v>
      </c>
      <c r="V235">
        <v>0</v>
      </c>
      <c r="W235">
        <v>0</v>
      </c>
      <c r="X235">
        <v>0</v>
      </c>
      <c r="AC235">
        <v>0</v>
      </c>
      <c r="AE235">
        <v>0</v>
      </c>
      <c r="AF235">
        <v>2</v>
      </c>
      <c r="AG235">
        <v>0</v>
      </c>
      <c r="AH235">
        <v>0</v>
      </c>
      <c r="AI235">
        <v>0</v>
      </c>
      <c r="AM235">
        <v>0</v>
      </c>
      <c r="AR235" t="s">
        <v>872</v>
      </c>
      <c r="AS235" t="s">
        <v>995</v>
      </c>
      <c r="AT235">
        <v>6</v>
      </c>
    </row>
    <row r="236" spans="1:46">
      <c r="A236">
        <v>235</v>
      </c>
      <c r="B236">
        <v>33</v>
      </c>
      <c r="C236" t="s">
        <v>74</v>
      </c>
      <c r="D236" t="s">
        <v>24</v>
      </c>
      <c r="E236" t="s">
        <v>25</v>
      </c>
      <c r="F236">
        <v>53064</v>
      </c>
      <c r="G236" s="1" t="s">
        <v>643</v>
      </c>
      <c r="H236" s="2" t="s">
        <v>662</v>
      </c>
      <c r="I236" s="2" t="s">
        <v>663</v>
      </c>
      <c r="K236" s="21">
        <v>0</v>
      </c>
      <c r="L236" s="21">
        <v>291165</v>
      </c>
      <c r="M236" s="21">
        <v>55321</v>
      </c>
      <c r="N236" s="21">
        <v>346486</v>
      </c>
      <c r="O236">
        <v>0</v>
      </c>
      <c r="P236">
        <v>0</v>
      </c>
      <c r="Q236">
        <v>0</v>
      </c>
      <c r="R236">
        <v>0</v>
      </c>
      <c r="S236">
        <v>0</v>
      </c>
      <c r="T236" t="s">
        <v>77</v>
      </c>
      <c r="U236">
        <v>0</v>
      </c>
      <c r="V236">
        <v>0</v>
      </c>
      <c r="W236">
        <v>0</v>
      </c>
      <c r="X236">
        <v>0</v>
      </c>
      <c r="AC236">
        <v>0</v>
      </c>
      <c r="AE236">
        <v>0</v>
      </c>
      <c r="AF236">
        <v>2</v>
      </c>
      <c r="AG236">
        <v>0</v>
      </c>
      <c r="AH236">
        <v>0</v>
      </c>
      <c r="AI236">
        <v>0</v>
      </c>
      <c r="AM236">
        <v>0</v>
      </c>
      <c r="AR236" t="s">
        <v>872</v>
      </c>
      <c r="AS236" t="s">
        <v>995</v>
      </c>
      <c r="AT236">
        <v>6</v>
      </c>
    </row>
    <row r="237" spans="1:46">
      <c r="A237">
        <v>236</v>
      </c>
      <c r="B237">
        <v>33</v>
      </c>
      <c r="C237" t="s">
        <v>74</v>
      </c>
      <c r="D237" t="s">
        <v>24</v>
      </c>
      <c r="E237" t="s">
        <v>25</v>
      </c>
      <c r="F237">
        <v>53065</v>
      </c>
      <c r="G237" s="1" t="s">
        <v>643</v>
      </c>
      <c r="H237" s="2" t="s">
        <v>664</v>
      </c>
      <c r="I237" s="2" t="s">
        <v>665</v>
      </c>
      <c r="K237" s="21">
        <v>0</v>
      </c>
      <c r="L237" s="21">
        <v>5623821</v>
      </c>
      <c r="M237" s="21">
        <v>1068526</v>
      </c>
      <c r="N237" s="21">
        <v>6692347</v>
      </c>
      <c r="O237">
        <v>0</v>
      </c>
      <c r="P237">
        <v>0</v>
      </c>
      <c r="Q237">
        <v>0</v>
      </c>
      <c r="R237">
        <v>0</v>
      </c>
      <c r="S237">
        <v>0</v>
      </c>
      <c r="T237" t="s">
        <v>77</v>
      </c>
      <c r="U237">
        <v>0</v>
      </c>
      <c r="V237">
        <v>0</v>
      </c>
      <c r="W237">
        <v>0</v>
      </c>
      <c r="X237">
        <v>0</v>
      </c>
      <c r="AC237">
        <v>0</v>
      </c>
      <c r="AE237">
        <v>0</v>
      </c>
      <c r="AF237">
        <v>2</v>
      </c>
      <c r="AG237">
        <v>0</v>
      </c>
      <c r="AH237">
        <v>0</v>
      </c>
      <c r="AI237">
        <v>0</v>
      </c>
      <c r="AM237">
        <v>0</v>
      </c>
      <c r="AR237" t="s">
        <v>872</v>
      </c>
      <c r="AS237" t="s">
        <v>995</v>
      </c>
      <c r="AT237">
        <v>6</v>
      </c>
    </row>
    <row r="238" spans="1:46">
      <c r="A238">
        <v>237</v>
      </c>
      <c r="B238">
        <v>33</v>
      </c>
      <c r="C238" t="s">
        <v>74</v>
      </c>
      <c r="D238" t="s">
        <v>258</v>
      </c>
      <c r="E238" t="s">
        <v>259</v>
      </c>
      <c r="F238">
        <v>53066</v>
      </c>
      <c r="G238" s="1" t="s">
        <v>643</v>
      </c>
      <c r="H238" s="2" t="s">
        <v>666</v>
      </c>
      <c r="I238" s="2">
        <v>45358.698645833334</v>
      </c>
      <c r="K238" s="21">
        <v>0</v>
      </c>
      <c r="L238" s="21">
        <v>351717</v>
      </c>
      <c r="M238" s="21">
        <v>66826</v>
      </c>
      <c r="N238" s="21">
        <v>418543</v>
      </c>
      <c r="O238">
        <v>0</v>
      </c>
      <c r="P238">
        <v>0</v>
      </c>
      <c r="Q238">
        <v>0</v>
      </c>
      <c r="R238">
        <v>0</v>
      </c>
      <c r="S238">
        <v>0</v>
      </c>
      <c r="T238" t="s">
        <v>77</v>
      </c>
      <c r="U238">
        <v>0</v>
      </c>
      <c r="V238">
        <v>0</v>
      </c>
      <c r="W238">
        <v>0</v>
      </c>
      <c r="X238">
        <v>0</v>
      </c>
      <c r="Y238">
        <v>0</v>
      </c>
      <c r="AC238">
        <v>0</v>
      </c>
      <c r="AE238">
        <v>0</v>
      </c>
      <c r="AF238">
        <v>2</v>
      </c>
      <c r="AG238">
        <v>0</v>
      </c>
      <c r="AH238">
        <v>0</v>
      </c>
      <c r="AI238">
        <v>0</v>
      </c>
      <c r="AM238">
        <v>0</v>
      </c>
      <c r="AR238" t="s">
        <v>872</v>
      </c>
      <c r="AS238" t="s">
        <v>1012</v>
      </c>
      <c r="AT238">
        <v>6</v>
      </c>
    </row>
    <row r="239" spans="1:46">
      <c r="A239">
        <v>238</v>
      </c>
      <c r="B239">
        <v>33</v>
      </c>
      <c r="C239" t="s">
        <v>74</v>
      </c>
      <c r="D239" t="s">
        <v>389</v>
      </c>
      <c r="E239" t="s">
        <v>390</v>
      </c>
      <c r="F239">
        <v>53067</v>
      </c>
      <c r="G239" s="1" t="s">
        <v>643</v>
      </c>
      <c r="H239" s="2" t="s">
        <v>667</v>
      </c>
      <c r="I239" s="2"/>
      <c r="K239" s="21">
        <v>0</v>
      </c>
      <c r="L239" s="21">
        <v>1737573</v>
      </c>
      <c r="M239" s="21">
        <v>330139</v>
      </c>
      <c r="N239" s="21">
        <v>2067712</v>
      </c>
      <c r="O239">
        <v>0</v>
      </c>
      <c r="P239">
        <v>0</v>
      </c>
      <c r="Q239">
        <v>0</v>
      </c>
      <c r="R239">
        <v>0</v>
      </c>
      <c r="S239">
        <v>0</v>
      </c>
      <c r="T239" t="s">
        <v>77</v>
      </c>
      <c r="U239">
        <v>0</v>
      </c>
      <c r="V239">
        <v>0</v>
      </c>
      <c r="W239">
        <v>0</v>
      </c>
      <c r="X239">
        <v>0</v>
      </c>
      <c r="AC239">
        <v>0</v>
      </c>
      <c r="AE239">
        <v>0</v>
      </c>
      <c r="AF239">
        <v>2</v>
      </c>
      <c r="AG239">
        <v>0</v>
      </c>
      <c r="AH239">
        <v>0</v>
      </c>
      <c r="AI239">
        <v>0</v>
      </c>
      <c r="AM239">
        <v>0</v>
      </c>
      <c r="AR239" t="s">
        <v>872</v>
      </c>
      <c r="AS239" t="s">
        <v>3785</v>
      </c>
      <c r="AT239">
        <v>6</v>
      </c>
    </row>
    <row r="240" spans="1:46">
      <c r="A240">
        <v>239</v>
      </c>
      <c r="B240">
        <v>33</v>
      </c>
      <c r="C240" t="s">
        <v>74</v>
      </c>
      <c r="D240" t="s">
        <v>329</v>
      </c>
      <c r="E240" t="s">
        <v>330</v>
      </c>
      <c r="F240">
        <v>53068</v>
      </c>
      <c r="G240" s="1" t="s">
        <v>643</v>
      </c>
      <c r="H240" s="2" t="s">
        <v>668</v>
      </c>
      <c r="I240" s="2" t="s">
        <v>669</v>
      </c>
      <c r="K240" s="21">
        <v>0</v>
      </c>
      <c r="L240" s="21">
        <v>1696158</v>
      </c>
      <c r="M240" s="21">
        <v>322270</v>
      </c>
      <c r="N240" s="21">
        <v>2018428</v>
      </c>
      <c r="O240">
        <v>0</v>
      </c>
      <c r="P240">
        <v>0</v>
      </c>
      <c r="Q240">
        <v>0</v>
      </c>
      <c r="R240">
        <v>0</v>
      </c>
      <c r="S240">
        <v>0</v>
      </c>
      <c r="T240" t="s">
        <v>77</v>
      </c>
      <c r="U240">
        <v>0</v>
      </c>
      <c r="V240">
        <v>0</v>
      </c>
      <c r="W240">
        <v>0</v>
      </c>
      <c r="X240">
        <v>0</v>
      </c>
      <c r="AC240">
        <v>0</v>
      </c>
      <c r="AE240">
        <v>0</v>
      </c>
      <c r="AF240">
        <v>2</v>
      </c>
      <c r="AG240">
        <v>0</v>
      </c>
      <c r="AH240">
        <v>0</v>
      </c>
      <c r="AI240">
        <v>0</v>
      </c>
      <c r="AM240">
        <v>0</v>
      </c>
      <c r="AR240" t="s">
        <v>872</v>
      </c>
      <c r="AS240" t="s">
        <v>965</v>
      </c>
      <c r="AT240">
        <v>6</v>
      </c>
    </row>
    <row r="241" spans="1:46">
      <c r="A241">
        <v>240</v>
      </c>
      <c r="B241">
        <v>33</v>
      </c>
      <c r="C241" t="s">
        <v>74</v>
      </c>
      <c r="D241" t="s">
        <v>264</v>
      </c>
      <c r="E241" t="s">
        <v>265</v>
      </c>
      <c r="F241">
        <v>53069</v>
      </c>
      <c r="G241" s="1" t="s">
        <v>643</v>
      </c>
      <c r="H241" s="2" t="s">
        <v>670</v>
      </c>
      <c r="K241" s="21">
        <v>0</v>
      </c>
      <c r="L241" s="21">
        <v>1084995</v>
      </c>
      <c r="M241" s="21">
        <v>206149</v>
      </c>
      <c r="N241" s="21">
        <v>1291144</v>
      </c>
      <c r="O241">
        <v>0</v>
      </c>
      <c r="P241">
        <v>0</v>
      </c>
      <c r="Q241">
        <v>0</v>
      </c>
      <c r="R241">
        <v>0</v>
      </c>
      <c r="S241">
        <v>0</v>
      </c>
      <c r="T241" t="s">
        <v>77</v>
      </c>
      <c r="U241">
        <v>0</v>
      </c>
      <c r="V241">
        <v>0</v>
      </c>
      <c r="W241">
        <v>0</v>
      </c>
      <c r="X241">
        <v>0</v>
      </c>
      <c r="AC241">
        <v>0</v>
      </c>
      <c r="AE241">
        <v>0</v>
      </c>
      <c r="AF241">
        <v>2</v>
      </c>
      <c r="AG241">
        <v>0</v>
      </c>
      <c r="AH241">
        <v>0</v>
      </c>
      <c r="AI241">
        <v>0</v>
      </c>
      <c r="AM241">
        <v>0</v>
      </c>
      <c r="AR241" t="s">
        <v>872</v>
      </c>
      <c r="AS241" t="s">
        <v>3786</v>
      </c>
      <c r="AT241">
        <v>6</v>
      </c>
    </row>
    <row r="242" spans="1:46">
      <c r="A242">
        <v>241</v>
      </c>
      <c r="B242">
        <v>33</v>
      </c>
      <c r="C242" t="s">
        <v>74</v>
      </c>
      <c r="D242" t="s">
        <v>288</v>
      </c>
      <c r="E242" t="s">
        <v>289</v>
      </c>
      <c r="F242">
        <v>53070</v>
      </c>
      <c r="G242" s="1" t="s">
        <v>643</v>
      </c>
      <c r="H242" s="2" t="s">
        <v>671</v>
      </c>
      <c r="J242" t="s">
        <v>672</v>
      </c>
      <c r="K242" s="21">
        <v>0</v>
      </c>
      <c r="L242" s="21">
        <v>67846</v>
      </c>
      <c r="M242" s="21">
        <v>12891</v>
      </c>
      <c r="N242" s="21">
        <v>80737</v>
      </c>
      <c r="O242">
        <v>0</v>
      </c>
      <c r="P242">
        <v>0</v>
      </c>
      <c r="Q242">
        <v>0</v>
      </c>
      <c r="R242">
        <v>0</v>
      </c>
      <c r="S242">
        <v>0</v>
      </c>
      <c r="T242" t="s">
        <v>77</v>
      </c>
      <c r="U242">
        <v>0</v>
      </c>
      <c r="V242">
        <v>0</v>
      </c>
      <c r="W242">
        <v>0</v>
      </c>
      <c r="X242">
        <v>0</v>
      </c>
      <c r="AC242">
        <v>0</v>
      </c>
      <c r="AE242">
        <v>0</v>
      </c>
      <c r="AF242">
        <v>2</v>
      </c>
      <c r="AG242">
        <v>0</v>
      </c>
      <c r="AH242">
        <v>0</v>
      </c>
      <c r="AI242">
        <v>0</v>
      </c>
      <c r="AM242">
        <v>0</v>
      </c>
      <c r="AR242" t="s">
        <v>872</v>
      </c>
      <c r="AS242" t="s">
        <v>3768</v>
      </c>
      <c r="AT242">
        <v>6</v>
      </c>
    </row>
    <row r="243" spans="1:46">
      <c r="A243">
        <v>242</v>
      </c>
      <c r="B243">
        <v>33</v>
      </c>
      <c r="C243" t="s">
        <v>74</v>
      </c>
      <c r="D243" t="s">
        <v>339</v>
      </c>
      <c r="E243" t="s">
        <v>340</v>
      </c>
      <c r="F243">
        <v>53071</v>
      </c>
      <c r="G243" s="1" t="s">
        <v>643</v>
      </c>
      <c r="H243" s="2" t="s">
        <v>674</v>
      </c>
      <c r="I243" s="2"/>
      <c r="K243" s="21">
        <v>0</v>
      </c>
      <c r="L243" s="21">
        <v>403629</v>
      </c>
      <c r="M243" s="21">
        <v>76690</v>
      </c>
      <c r="N243" s="21">
        <v>480319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77</v>
      </c>
      <c r="U243">
        <v>0</v>
      </c>
      <c r="V243">
        <v>0</v>
      </c>
      <c r="W243">
        <v>0</v>
      </c>
      <c r="X243">
        <v>0</v>
      </c>
      <c r="AC243">
        <v>0</v>
      </c>
      <c r="AE243">
        <v>0</v>
      </c>
      <c r="AF243">
        <v>2</v>
      </c>
      <c r="AG243">
        <v>0</v>
      </c>
      <c r="AH243">
        <v>0</v>
      </c>
      <c r="AI243">
        <v>0</v>
      </c>
      <c r="AM243">
        <v>0</v>
      </c>
      <c r="AR243" t="s">
        <v>872</v>
      </c>
      <c r="AS243" t="s">
        <v>991</v>
      </c>
      <c r="AT243">
        <v>6</v>
      </c>
    </row>
    <row r="244" spans="1:46">
      <c r="A244">
        <v>243</v>
      </c>
      <c r="B244">
        <v>33</v>
      </c>
      <c r="C244" t="s">
        <v>74</v>
      </c>
      <c r="D244" t="s">
        <v>327</v>
      </c>
      <c r="E244" t="s">
        <v>328</v>
      </c>
      <c r="F244">
        <v>53072</v>
      </c>
      <c r="G244" s="1" t="s">
        <v>643</v>
      </c>
      <c r="H244" s="2" t="s">
        <v>675</v>
      </c>
      <c r="I244" s="2">
        <v>45298.847569444442</v>
      </c>
      <c r="K244" s="21">
        <v>0</v>
      </c>
      <c r="L244" s="21">
        <v>62655737</v>
      </c>
      <c r="M244" s="21">
        <v>11904590</v>
      </c>
      <c r="N244" s="21">
        <v>74560327</v>
      </c>
      <c r="O244">
        <v>0</v>
      </c>
      <c r="P244">
        <v>0</v>
      </c>
      <c r="Q244">
        <v>0</v>
      </c>
      <c r="R244">
        <v>0</v>
      </c>
      <c r="S244">
        <v>0</v>
      </c>
      <c r="T244" t="s">
        <v>77</v>
      </c>
      <c r="U244">
        <v>0</v>
      </c>
      <c r="V244">
        <v>0</v>
      </c>
      <c r="W244">
        <v>0</v>
      </c>
      <c r="X244">
        <v>0</v>
      </c>
      <c r="AC244">
        <v>0</v>
      </c>
      <c r="AE244">
        <v>0</v>
      </c>
      <c r="AF244">
        <v>2</v>
      </c>
      <c r="AG244">
        <v>0</v>
      </c>
      <c r="AH244">
        <v>0</v>
      </c>
      <c r="AI244">
        <v>0</v>
      </c>
      <c r="AM244">
        <v>0</v>
      </c>
      <c r="AR244" t="s">
        <v>872</v>
      </c>
      <c r="AS244" t="s">
        <v>949</v>
      </c>
      <c r="AT244">
        <v>6</v>
      </c>
    </row>
    <row r="245" spans="1:46">
      <c r="A245">
        <v>244</v>
      </c>
      <c r="B245">
        <v>33</v>
      </c>
      <c r="C245" t="s">
        <v>74</v>
      </c>
      <c r="D245" t="s">
        <v>260</v>
      </c>
      <c r="E245" t="s">
        <v>261</v>
      </c>
      <c r="F245">
        <v>53073</v>
      </c>
      <c r="G245" s="1" t="s">
        <v>676</v>
      </c>
      <c r="H245" s="2" t="s">
        <v>677</v>
      </c>
      <c r="I245" s="2"/>
      <c r="K245" s="21">
        <v>0</v>
      </c>
      <c r="L245" s="21">
        <v>5654643</v>
      </c>
      <c r="M245" s="21">
        <v>1074382</v>
      </c>
      <c r="N245" s="21">
        <v>6729025</v>
      </c>
      <c r="O245">
        <v>0</v>
      </c>
      <c r="P245">
        <v>0</v>
      </c>
      <c r="Q245">
        <v>0</v>
      </c>
      <c r="R245">
        <v>0</v>
      </c>
      <c r="S245">
        <v>0</v>
      </c>
      <c r="T245" t="s">
        <v>77</v>
      </c>
      <c r="U245">
        <v>0</v>
      </c>
      <c r="V245">
        <v>0</v>
      </c>
      <c r="W245">
        <v>0</v>
      </c>
      <c r="X245">
        <v>0</v>
      </c>
      <c r="Y245">
        <v>0</v>
      </c>
      <c r="AC245">
        <v>0</v>
      </c>
      <c r="AE245">
        <v>0</v>
      </c>
      <c r="AF245">
        <v>2</v>
      </c>
      <c r="AG245">
        <v>0</v>
      </c>
      <c r="AH245">
        <v>0</v>
      </c>
      <c r="AI245">
        <v>0</v>
      </c>
      <c r="AM245">
        <v>0</v>
      </c>
      <c r="AR245" t="s">
        <v>872</v>
      </c>
      <c r="AS245" t="s">
        <v>1038</v>
      </c>
      <c r="AT245">
        <v>6</v>
      </c>
    </row>
    <row r="246" spans="1:46">
      <c r="A246">
        <v>245</v>
      </c>
      <c r="B246">
        <v>33</v>
      </c>
      <c r="C246" t="s">
        <v>74</v>
      </c>
      <c r="D246" t="s">
        <v>260</v>
      </c>
      <c r="E246" t="s">
        <v>261</v>
      </c>
      <c r="F246">
        <v>53074</v>
      </c>
      <c r="G246" s="1" t="s">
        <v>676</v>
      </c>
      <c r="H246" s="2" t="s">
        <v>678</v>
      </c>
      <c r="K246" s="21">
        <v>0</v>
      </c>
      <c r="L246" s="21">
        <v>5500995</v>
      </c>
      <c r="M246" s="21">
        <v>1045189</v>
      </c>
      <c r="N246" s="21">
        <v>6546184</v>
      </c>
      <c r="O246">
        <v>0</v>
      </c>
      <c r="P246">
        <v>0</v>
      </c>
      <c r="Q246">
        <v>0</v>
      </c>
      <c r="R246">
        <v>0</v>
      </c>
      <c r="S246">
        <v>0</v>
      </c>
      <c r="T246" t="s">
        <v>77</v>
      </c>
      <c r="U246">
        <v>0</v>
      </c>
      <c r="V246">
        <v>0</v>
      </c>
      <c r="W246">
        <v>0</v>
      </c>
      <c r="X246">
        <v>0</v>
      </c>
      <c r="Y246">
        <v>0</v>
      </c>
      <c r="AC246">
        <v>0</v>
      </c>
      <c r="AE246">
        <v>0</v>
      </c>
      <c r="AF246">
        <v>2</v>
      </c>
      <c r="AG246">
        <v>0</v>
      </c>
      <c r="AH246">
        <v>0</v>
      </c>
      <c r="AI246">
        <v>0</v>
      </c>
      <c r="AM246">
        <v>0</v>
      </c>
      <c r="AR246" t="s">
        <v>872</v>
      </c>
      <c r="AS246" t="s">
        <v>1038</v>
      </c>
      <c r="AT246">
        <v>6</v>
      </c>
    </row>
    <row r="247" spans="1:46">
      <c r="A247">
        <v>246</v>
      </c>
      <c r="B247">
        <v>33</v>
      </c>
      <c r="C247" t="s">
        <v>74</v>
      </c>
      <c r="D247" t="s">
        <v>369</v>
      </c>
      <c r="E247" t="s">
        <v>370</v>
      </c>
      <c r="F247">
        <v>53075</v>
      </c>
      <c r="G247" s="1" t="s">
        <v>676</v>
      </c>
      <c r="H247" s="2" t="s">
        <v>679</v>
      </c>
      <c r="I247" s="2" t="s">
        <v>680</v>
      </c>
      <c r="K247" s="21">
        <v>0</v>
      </c>
      <c r="L247" s="21">
        <v>2368474</v>
      </c>
      <c r="M247" s="21">
        <v>450010</v>
      </c>
      <c r="N247" s="21">
        <v>2818484</v>
      </c>
      <c r="O247">
        <v>0</v>
      </c>
      <c r="P247">
        <v>0</v>
      </c>
      <c r="Q247">
        <v>0</v>
      </c>
      <c r="R247">
        <v>0</v>
      </c>
      <c r="S247">
        <v>0</v>
      </c>
      <c r="T247" t="s">
        <v>77</v>
      </c>
      <c r="U247">
        <v>0</v>
      </c>
      <c r="V247">
        <v>0</v>
      </c>
      <c r="W247">
        <v>0</v>
      </c>
      <c r="X247">
        <v>0</v>
      </c>
      <c r="AC247">
        <v>0</v>
      </c>
      <c r="AE247">
        <v>0</v>
      </c>
      <c r="AF247">
        <v>2</v>
      </c>
      <c r="AG247">
        <v>0</v>
      </c>
      <c r="AH247">
        <v>0</v>
      </c>
      <c r="AI247">
        <v>0</v>
      </c>
      <c r="AM247">
        <v>0</v>
      </c>
      <c r="AR247" t="s">
        <v>872</v>
      </c>
      <c r="AS247" t="s">
        <v>3787</v>
      </c>
      <c r="AT247">
        <v>6</v>
      </c>
    </row>
    <row r="248" spans="1:46">
      <c r="A248">
        <v>247</v>
      </c>
      <c r="B248">
        <v>33</v>
      </c>
      <c r="C248" t="s">
        <v>74</v>
      </c>
      <c r="D248" t="s">
        <v>387</v>
      </c>
      <c r="E248" t="s">
        <v>388</v>
      </c>
      <c r="F248">
        <v>53076</v>
      </c>
      <c r="G248" s="1" t="s">
        <v>676</v>
      </c>
      <c r="H248" s="2" t="s">
        <v>681</v>
      </c>
      <c r="I248" s="2" t="s">
        <v>682</v>
      </c>
      <c r="J248" s="2"/>
      <c r="K248" s="21">
        <v>0</v>
      </c>
      <c r="L248" s="21">
        <v>6976</v>
      </c>
      <c r="M248" s="21">
        <v>1325</v>
      </c>
      <c r="N248" s="21">
        <v>8301</v>
      </c>
      <c r="O248">
        <v>0</v>
      </c>
      <c r="P248">
        <v>0</v>
      </c>
      <c r="Q248">
        <v>0</v>
      </c>
      <c r="R248">
        <v>0</v>
      </c>
      <c r="S248">
        <v>0</v>
      </c>
      <c r="T248" t="s">
        <v>77</v>
      </c>
      <c r="U248">
        <v>0</v>
      </c>
      <c r="V248">
        <v>0</v>
      </c>
      <c r="W248">
        <v>0</v>
      </c>
      <c r="X248">
        <v>0</v>
      </c>
      <c r="AC248">
        <v>0</v>
      </c>
      <c r="AE248">
        <v>0</v>
      </c>
      <c r="AF248">
        <v>2</v>
      </c>
      <c r="AG248">
        <v>0</v>
      </c>
      <c r="AH248">
        <v>0</v>
      </c>
      <c r="AI248">
        <v>0</v>
      </c>
      <c r="AM248">
        <v>0</v>
      </c>
      <c r="AR248" t="s">
        <v>872</v>
      </c>
      <c r="AS248" t="s">
        <v>3775</v>
      </c>
      <c r="AT248">
        <v>6</v>
      </c>
    </row>
    <row r="249" spans="1:46">
      <c r="A249">
        <v>248</v>
      </c>
      <c r="B249">
        <v>33</v>
      </c>
      <c r="C249" t="s">
        <v>74</v>
      </c>
      <c r="D249" t="s">
        <v>191</v>
      </c>
      <c r="E249" t="s">
        <v>192</v>
      </c>
      <c r="F249">
        <v>53077</v>
      </c>
      <c r="G249" s="1" t="s">
        <v>676</v>
      </c>
      <c r="H249" s="2" t="s">
        <v>683</v>
      </c>
      <c r="I249" s="2"/>
      <c r="J249" s="2">
        <v>45358.518796296295</v>
      </c>
      <c r="K249" s="21">
        <v>0</v>
      </c>
      <c r="L249" s="21">
        <v>1911368</v>
      </c>
      <c r="M249" s="21">
        <v>363160</v>
      </c>
      <c r="N249" s="21">
        <v>2274528</v>
      </c>
      <c r="O249">
        <v>0</v>
      </c>
      <c r="P249">
        <v>0</v>
      </c>
      <c r="Q249">
        <v>0</v>
      </c>
      <c r="R249">
        <v>0</v>
      </c>
      <c r="S249">
        <v>0</v>
      </c>
      <c r="T249" t="s">
        <v>77</v>
      </c>
      <c r="U249">
        <v>0</v>
      </c>
      <c r="V249">
        <v>0</v>
      </c>
      <c r="W249">
        <v>0</v>
      </c>
      <c r="X249">
        <v>0</v>
      </c>
      <c r="AC249">
        <v>0</v>
      </c>
      <c r="AE249">
        <v>0</v>
      </c>
      <c r="AF249">
        <v>2</v>
      </c>
      <c r="AG249">
        <v>0</v>
      </c>
      <c r="AH249">
        <v>0</v>
      </c>
      <c r="AI249">
        <v>0</v>
      </c>
      <c r="AM249">
        <v>0</v>
      </c>
      <c r="AR249" t="s">
        <v>872</v>
      </c>
      <c r="AS249" t="s">
        <v>1031</v>
      </c>
      <c r="AT249">
        <v>6</v>
      </c>
    </row>
    <row r="250" spans="1:46">
      <c r="A250">
        <v>249</v>
      </c>
      <c r="B250">
        <v>33</v>
      </c>
      <c r="C250" t="s">
        <v>74</v>
      </c>
      <c r="D250" t="s">
        <v>345</v>
      </c>
      <c r="E250" t="s">
        <v>346</v>
      </c>
      <c r="F250">
        <v>53078</v>
      </c>
      <c r="G250" s="1" t="s">
        <v>676</v>
      </c>
      <c r="H250" s="2" t="s">
        <v>684</v>
      </c>
      <c r="I250" s="2" t="s">
        <v>685</v>
      </c>
      <c r="J250" s="2"/>
      <c r="K250" s="21">
        <v>0</v>
      </c>
      <c r="L250" s="21">
        <v>53512</v>
      </c>
      <c r="M250" s="21">
        <v>10167</v>
      </c>
      <c r="N250" s="21">
        <v>63679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77</v>
      </c>
      <c r="U250">
        <v>0</v>
      </c>
      <c r="V250">
        <v>0</v>
      </c>
      <c r="W250">
        <v>0</v>
      </c>
      <c r="X250">
        <v>0</v>
      </c>
      <c r="Y250">
        <v>0</v>
      </c>
      <c r="AC250">
        <v>0</v>
      </c>
      <c r="AE250">
        <v>0</v>
      </c>
      <c r="AF250">
        <v>2</v>
      </c>
      <c r="AG250">
        <v>0</v>
      </c>
      <c r="AH250">
        <v>0</v>
      </c>
      <c r="AI250">
        <v>0</v>
      </c>
      <c r="AM250">
        <v>0</v>
      </c>
      <c r="AR250" t="s">
        <v>872</v>
      </c>
      <c r="AS250" t="s">
        <v>1001</v>
      </c>
      <c r="AT250">
        <v>6</v>
      </c>
    </row>
    <row r="251" spans="1:46">
      <c r="A251">
        <v>250</v>
      </c>
      <c r="B251">
        <v>33</v>
      </c>
      <c r="C251" t="s">
        <v>74</v>
      </c>
      <c r="D251" t="s">
        <v>316</v>
      </c>
      <c r="E251" t="s">
        <v>317</v>
      </c>
      <c r="F251">
        <v>53079</v>
      </c>
      <c r="G251" s="1" t="s">
        <v>676</v>
      </c>
      <c r="H251" s="2" t="s">
        <v>686</v>
      </c>
      <c r="I251" s="2" t="s">
        <v>633</v>
      </c>
      <c r="K251" s="21">
        <v>0</v>
      </c>
      <c r="L251" s="21">
        <v>1426229</v>
      </c>
      <c r="M251" s="21">
        <v>270983</v>
      </c>
      <c r="N251" s="21">
        <v>1697212</v>
      </c>
      <c r="O251">
        <v>0</v>
      </c>
      <c r="P251">
        <v>0</v>
      </c>
      <c r="Q251">
        <v>0</v>
      </c>
      <c r="R251">
        <v>0</v>
      </c>
      <c r="S251">
        <v>0</v>
      </c>
      <c r="T251" t="s">
        <v>77</v>
      </c>
      <c r="U251">
        <v>0</v>
      </c>
      <c r="V251">
        <v>0</v>
      </c>
      <c r="W251">
        <v>0</v>
      </c>
      <c r="X251">
        <v>0</v>
      </c>
      <c r="Y251">
        <v>0</v>
      </c>
      <c r="AC251">
        <v>0</v>
      </c>
      <c r="AE251">
        <v>0</v>
      </c>
      <c r="AF251">
        <v>2</v>
      </c>
      <c r="AG251">
        <v>0</v>
      </c>
      <c r="AH251">
        <v>0</v>
      </c>
      <c r="AI251">
        <v>0</v>
      </c>
      <c r="AM251">
        <v>0</v>
      </c>
      <c r="AR251" t="s">
        <v>872</v>
      </c>
      <c r="AS251" t="s">
        <v>981</v>
      </c>
      <c r="AT251">
        <v>6</v>
      </c>
    </row>
    <row r="252" spans="1:46">
      <c r="A252">
        <v>251</v>
      </c>
      <c r="B252">
        <v>33</v>
      </c>
      <c r="C252" t="s">
        <v>74</v>
      </c>
      <c r="D252" t="s">
        <v>276</v>
      </c>
      <c r="E252" t="s">
        <v>277</v>
      </c>
      <c r="F252">
        <v>53080</v>
      </c>
      <c r="G252" s="1" t="s">
        <v>676</v>
      </c>
      <c r="H252" s="2" t="s">
        <v>687</v>
      </c>
      <c r="I252" s="2"/>
      <c r="K252" s="21">
        <v>0</v>
      </c>
      <c r="L252" s="21">
        <v>2802897</v>
      </c>
      <c r="M252" s="21">
        <v>532550</v>
      </c>
      <c r="N252" s="21">
        <v>3335447</v>
      </c>
      <c r="O252">
        <v>0</v>
      </c>
      <c r="P252">
        <v>0</v>
      </c>
      <c r="Q252">
        <v>0</v>
      </c>
      <c r="R252">
        <v>0</v>
      </c>
      <c r="S252">
        <v>0</v>
      </c>
      <c r="T252" t="s">
        <v>77</v>
      </c>
      <c r="U252">
        <v>0</v>
      </c>
      <c r="V252">
        <v>0</v>
      </c>
      <c r="W252">
        <v>0</v>
      </c>
      <c r="X252">
        <v>0</v>
      </c>
      <c r="AC252">
        <v>0</v>
      </c>
      <c r="AE252">
        <v>0</v>
      </c>
      <c r="AF252">
        <v>2</v>
      </c>
      <c r="AG252">
        <v>0</v>
      </c>
      <c r="AH252">
        <v>0</v>
      </c>
      <c r="AI252">
        <v>0</v>
      </c>
      <c r="AM252">
        <v>0</v>
      </c>
      <c r="AR252" t="s">
        <v>872</v>
      </c>
      <c r="AS252" t="s">
        <v>976</v>
      </c>
      <c r="AT252">
        <v>6</v>
      </c>
    </row>
    <row r="253" spans="1:46">
      <c r="A253">
        <v>252</v>
      </c>
      <c r="B253">
        <v>33</v>
      </c>
      <c r="C253" t="s">
        <v>74</v>
      </c>
      <c r="D253" t="s">
        <v>276</v>
      </c>
      <c r="E253" t="s">
        <v>277</v>
      </c>
      <c r="F253">
        <v>53081</v>
      </c>
      <c r="G253" s="1" t="s">
        <v>676</v>
      </c>
      <c r="H253" s="2" t="s">
        <v>688</v>
      </c>
      <c r="I253" s="2"/>
      <c r="K253" s="21">
        <v>0</v>
      </c>
      <c r="L253" s="21">
        <v>2928251</v>
      </c>
      <c r="M253" s="21">
        <v>556368</v>
      </c>
      <c r="N253" s="21">
        <v>3484619</v>
      </c>
      <c r="O253">
        <v>0</v>
      </c>
      <c r="P253">
        <v>0</v>
      </c>
      <c r="Q253">
        <v>0</v>
      </c>
      <c r="R253">
        <v>0</v>
      </c>
      <c r="S253">
        <v>0</v>
      </c>
      <c r="T253" t="s">
        <v>77</v>
      </c>
      <c r="U253">
        <v>0</v>
      </c>
      <c r="V253">
        <v>0</v>
      </c>
      <c r="W253">
        <v>0</v>
      </c>
      <c r="X253">
        <v>0</v>
      </c>
      <c r="AC253">
        <v>0</v>
      </c>
      <c r="AE253">
        <v>0</v>
      </c>
      <c r="AF253">
        <v>2</v>
      </c>
      <c r="AG253">
        <v>0</v>
      </c>
      <c r="AH253">
        <v>0</v>
      </c>
      <c r="AI253">
        <v>0</v>
      </c>
      <c r="AM253">
        <v>0</v>
      </c>
      <c r="AR253" t="s">
        <v>872</v>
      </c>
      <c r="AS253" t="s">
        <v>976</v>
      </c>
      <c r="AT253">
        <v>6</v>
      </c>
    </row>
    <row r="254" spans="1:46">
      <c r="A254">
        <v>253</v>
      </c>
      <c r="B254">
        <v>33</v>
      </c>
      <c r="C254" t="s">
        <v>74</v>
      </c>
      <c r="D254" t="s">
        <v>276</v>
      </c>
      <c r="E254" t="s">
        <v>277</v>
      </c>
      <c r="F254">
        <v>53082</v>
      </c>
      <c r="G254" s="1" t="s">
        <v>676</v>
      </c>
      <c r="H254" s="2" t="s">
        <v>689</v>
      </c>
      <c r="K254" s="21">
        <v>0</v>
      </c>
      <c r="L254" s="21">
        <v>3523780</v>
      </c>
      <c r="M254" s="21">
        <v>669518</v>
      </c>
      <c r="N254" s="21">
        <v>4193298</v>
      </c>
      <c r="O254">
        <v>0</v>
      </c>
      <c r="P254">
        <v>0</v>
      </c>
      <c r="Q254">
        <v>0</v>
      </c>
      <c r="R254">
        <v>0</v>
      </c>
      <c r="S254">
        <v>0</v>
      </c>
      <c r="T254" t="s">
        <v>77</v>
      </c>
      <c r="U254">
        <v>0</v>
      </c>
      <c r="V254">
        <v>0</v>
      </c>
      <c r="W254">
        <v>0</v>
      </c>
      <c r="X254">
        <v>0</v>
      </c>
      <c r="AC254">
        <v>0</v>
      </c>
      <c r="AE254">
        <v>0</v>
      </c>
      <c r="AF254">
        <v>2</v>
      </c>
      <c r="AG254">
        <v>0</v>
      </c>
      <c r="AH254">
        <v>0</v>
      </c>
      <c r="AI254">
        <v>0</v>
      </c>
      <c r="AM254">
        <v>0</v>
      </c>
      <c r="AR254" t="s">
        <v>872</v>
      </c>
      <c r="AS254" t="s">
        <v>976</v>
      </c>
      <c r="AT254">
        <v>6</v>
      </c>
    </row>
    <row r="255" spans="1:46">
      <c r="A255">
        <v>254</v>
      </c>
      <c r="B255">
        <v>33</v>
      </c>
      <c r="C255" t="s">
        <v>74</v>
      </c>
      <c r="D255" t="s">
        <v>331</v>
      </c>
      <c r="E255" t="s">
        <v>332</v>
      </c>
      <c r="F255">
        <v>53083</v>
      </c>
      <c r="G255" s="1" t="s">
        <v>676</v>
      </c>
      <c r="H255" s="2" t="s">
        <v>690</v>
      </c>
      <c r="J255" s="2"/>
      <c r="K255" s="21">
        <v>0</v>
      </c>
      <c r="L255" s="21">
        <v>1148785</v>
      </c>
      <c r="M255" s="21">
        <v>218269</v>
      </c>
      <c r="N255" s="21">
        <v>1367054</v>
      </c>
      <c r="O255">
        <v>0</v>
      </c>
      <c r="P255">
        <v>0</v>
      </c>
      <c r="Q255">
        <v>0</v>
      </c>
      <c r="R255">
        <v>0</v>
      </c>
      <c r="S255">
        <v>0</v>
      </c>
      <c r="T255" t="s">
        <v>77</v>
      </c>
      <c r="U255">
        <v>0</v>
      </c>
      <c r="V255">
        <v>0</v>
      </c>
      <c r="W255">
        <v>0</v>
      </c>
      <c r="X255">
        <v>0</v>
      </c>
      <c r="AC255">
        <v>0</v>
      </c>
      <c r="AE255">
        <v>0</v>
      </c>
      <c r="AF255">
        <v>2</v>
      </c>
      <c r="AG255">
        <v>0</v>
      </c>
      <c r="AH255">
        <v>0</v>
      </c>
      <c r="AI255">
        <v>0</v>
      </c>
      <c r="AM255">
        <v>0</v>
      </c>
      <c r="AR255" t="s">
        <v>872</v>
      </c>
      <c r="AS255" t="s">
        <v>977</v>
      </c>
      <c r="AT255">
        <v>6</v>
      </c>
    </row>
    <row r="256" spans="1:46">
      <c r="A256">
        <v>255</v>
      </c>
      <c r="B256">
        <v>33</v>
      </c>
      <c r="C256" t="s">
        <v>74</v>
      </c>
      <c r="D256" t="s">
        <v>238</v>
      </c>
      <c r="E256" t="s">
        <v>239</v>
      </c>
      <c r="F256">
        <v>53084</v>
      </c>
      <c r="G256" s="1" t="s">
        <v>676</v>
      </c>
      <c r="H256" s="2" t="s">
        <v>691</v>
      </c>
      <c r="I256" s="2"/>
      <c r="K256" s="21">
        <v>0</v>
      </c>
      <c r="L256" s="21">
        <v>5605369</v>
      </c>
      <c r="M256" s="21">
        <v>1065019</v>
      </c>
      <c r="N256" s="21">
        <v>6670388</v>
      </c>
      <c r="O256">
        <v>0</v>
      </c>
      <c r="P256">
        <v>0</v>
      </c>
      <c r="Q256">
        <v>0</v>
      </c>
      <c r="R256">
        <v>0</v>
      </c>
      <c r="S256">
        <v>0</v>
      </c>
      <c r="T256" t="s">
        <v>77</v>
      </c>
      <c r="U256">
        <v>0</v>
      </c>
      <c r="V256">
        <v>0</v>
      </c>
      <c r="W256">
        <v>0</v>
      </c>
      <c r="X256">
        <v>0</v>
      </c>
      <c r="AC256">
        <v>0</v>
      </c>
      <c r="AE256">
        <v>0</v>
      </c>
      <c r="AF256">
        <v>2</v>
      </c>
      <c r="AG256">
        <v>0</v>
      </c>
      <c r="AH256">
        <v>0</v>
      </c>
      <c r="AI256">
        <v>0</v>
      </c>
      <c r="AM256">
        <v>0</v>
      </c>
      <c r="AR256" t="s">
        <v>872</v>
      </c>
      <c r="AS256" t="s">
        <v>992</v>
      </c>
      <c r="AT256">
        <v>6</v>
      </c>
    </row>
    <row r="257" spans="1:46">
      <c r="A257">
        <v>256</v>
      </c>
      <c r="B257">
        <v>33</v>
      </c>
      <c r="C257" t="s">
        <v>74</v>
      </c>
      <c r="D257" t="s">
        <v>238</v>
      </c>
      <c r="E257" t="s">
        <v>239</v>
      </c>
      <c r="F257">
        <v>53085</v>
      </c>
      <c r="G257" s="1" t="s">
        <v>676</v>
      </c>
      <c r="H257" s="2" t="s">
        <v>692</v>
      </c>
      <c r="I257" s="2"/>
      <c r="K257" s="21">
        <v>0</v>
      </c>
      <c r="L257" s="21">
        <v>6422564</v>
      </c>
      <c r="M257" s="21">
        <v>1220287</v>
      </c>
      <c r="N257" s="21">
        <v>7642851</v>
      </c>
      <c r="O257">
        <v>0</v>
      </c>
      <c r="P257">
        <v>0</v>
      </c>
      <c r="Q257">
        <v>0</v>
      </c>
      <c r="R257">
        <v>0</v>
      </c>
      <c r="S257">
        <v>0</v>
      </c>
      <c r="T257" t="s">
        <v>77</v>
      </c>
      <c r="U257">
        <v>0</v>
      </c>
      <c r="V257">
        <v>0</v>
      </c>
      <c r="W257">
        <v>0</v>
      </c>
      <c r="X257">
        <v>0</v>
      </c>
      <c r="AC257">
        <v>0</v>
      </c>
      <c r="AE257">
        <v>0</v>
      </c>
      <c r="AF257">
        <v>2</v>
      </c>
      <c r="AG257">
        <v>0</v>
      </c>
      <c r="AH257">
        <v>0</v>
      </c>
      <c r="AI257">
        <v>0</v>
      </c>
      <c r="AM257">
        <v>0</v>
      </c>
      <c r="AR257" t="s">
        <v>872</v>
      </c>
      <c r="AS257" t="s">
        <v>992</v>
      </c>
      <c r="AT257">
        <v>6</v>
      </c>
    </row>
    <row r="258" spans="1:46">
      <c r="A258">
        <v>257</v>
      </c>
      <c r="B258">
        <v>33</v>
      </c>
      <c r="C258" t="s">
        <v>74</v>
      </c>
      <c r="D258" t="s">
        <v>693</v>
      </c>
      <c r="E258" t="s">
        <v>694</v>
      </c>
      <c r="F258">
        <v>53086</v>
      </c>
      <c r="G258" s="1" t="s">
        <v>676</v>
      </c>
      <c r="H258" s="2" t="s">
        <v>695</v>
      </c>
      <c r="I258" s="2"/>
      <c r="K258" s="21">
        <v>0</v>
      </c>
      <c r="L258" s="21">
        <v>709698</v>
      </c>
      <c r="M258" s="21">
        <v>134843</v>
      </c>
      <c r="N258" s="21">
        <v>844541</v>
      </c>
      <c r="O258">
        <v>0</v>
      </c>
      <c r="P258">
        <v>0</v>
      </c>
      <c r="Q258">
        <v>0</v>
      </c>
      <c r="R258">
        <v>0</v>
      </c>
      <c r="S258">
        <v>0</v>
      </c>
      <c r="T258" t="s">
        <v>77</v>
      </c>
      <c r="U258">
        <v>0</v>
      </c>
      <c r="V258">
        <v>0</v>
      </c>
      <c r="W258">
        <v>0</v>
      </c>
      <c r="X258">
        <v>0</v>
      </c>
      <c r="AC258">
        <v>0</v>
      </c>
      <c r="AE258">
        <v>0</v>
      </c>
      <c r="AF258">
        <v>2</v>
      </c>
      <c r="AG258">
        <v>0</v>
      </c>
      <c r="AH258">
        <v>0</v>
      </c>
      <c r="AI258">
        <v>0</v>
      </c>
      <c r="AM258">
        <v>0</v>
      </c>
      <c r="AR258" t="s">
        <v>872</v>
      </c>
      <c r="AS258" t="s">
        <v>3788</v>
      </c>
      <c r="AT258">
        <v>6</v>
      </c>
    </row>
    <row r="259" spans="1:46">
      <c r="A259">
        <v>258</v>
      </c>
      <c r="B259">
        <v>33</v>
      </c>
      <c r="C259" t="s">
        <v>74</v>
      </c>
      <c r="D259" t="s">
        <v>29</v>
      </c>
      <c r="E259" t="s">
        <v>30</v>
      </c>
      <c r="F259">
        <v>53087</v>
      </c>
      <c r="G259" s="1" t="s">
        <v>676</v>
      </c>
      <c r="H259" s="2" t="s">
        <v>696</v>
      </c>
      <c r="I259" s="2"/>
      <c r="J259" s="2">
        <v>45329.462118055555</v>
      </c>
      <c r="K259" s="21">
        <v>0</v>
      </c>
      <c r="L259" s="21">
        <v>701841</v>
      </c>
      <c r="M259" s="21">
        <v>133349</v>
      </c>
      <c r="N259" s="21">
        <v>835190</v>
      </c>
      <c r="O259">
        <v>0</v>
      </c>
      <c r="P259">
        <v>0</v>
      </c>
      <c r="Q259">
        <v>0</v>
      </c>
      <c r="R259">
        <v>0</v>
      </c>
      <c r="S259">
        <v>0</v>
      </c>
      <c r="T259" t="s">
        <v>77</v>
      </c>
      <c r="U259">
        <v>0</v>
      </c>
      <c r="V259">
        <v>0</v>
      </c>
      <c r="W259">
        <v>0</v>
      </c>
      <c r="X259">
        <v>0</v>
      </c>
      <c r="AC259">
        <v>0</v>
      </c>
      <c r="AE259">
        <v>0</v>
      </c>
      <c r="AF259">
        <v>2</v>
      </c>
      <c r="AG259">
        <v>0</v>
      </c>
      <c r="AH259">
        <v>0</v>
      </c>
      <c r="AI259">
        <v>0</v>
      </c>
      <c r="AM259">
        <v>0</v>
      </c>
      <c r="AR259" t="s">
        <v>872</v>
      </c>
      <c r="AS259" t="s">
        <v>975</v>
      </c>
      <c r="AT259">
        <v>6</v>
      </c>
    </row>
    <row r="260" spans="1:46">
      <c r="A260">
        <v>259</v>
      </c>
      <c r="B260">
        <v>33</v>
      </c>
      <c r="C260" t="s">
        <v>74</v>
      </c>
      <c r="D260" t="s">
        <v>240</v>
      </c>
      <c r="E260" t="s">
        <v>241</v>
      </c>
      <c r="F260">
        <v>53088</v>
      </c>
      <c r="G260" s="1" t="s">
        <v>676</v>
      </c>
      <c r="H260" s="2" t="s">
        <v>697</v>
      </c>
      <c r="I260" t="s">
        <v>698</v>
      </c>
      <c r="K260" s="21">
        <v>0</v>
      </c>
      <c r="L260" s="21">
        <v>511801</v>
      </c>
      <c r="M260" s="21">
        <v>97242</v>
      </c>
      <c r="N260" s="21">
        <v>609043</v>
      </c>
      <c r="O260">
        <v>0</v>
      </c>
      <c r="P260">
        <v>0</v>
      </c>
      <c r="Q260">
        <v>0</v>
      </c>
      <c r="R260">
        <v>0</v>
      </c>
      <c r="S260">
        <v>0</v>
      </c>
      <c r="T260" t="s">
        <v>77</v>
      </c>
      <c r="U260">
        <v>0</v>
      </c>
      <c r="V260">
        <v>0</v>
      </c>
      <c r="W260">
        <v>0</v>
      </c>
      <c r="X260">
        <v>0</v>
      </c>
      <c r="AC260">
        <v>0</v>
      </c>
      <c r="AE260">
        <v>0</v>
      </c>
      <c r="AF260">
        <v>2</v>
      </c>
      <c r="AG260">
        <v>0</v>
      </c>
      <c r="AH260">
        <v>0</v>
      </c>
      <c r="AI260">
        <v>0</v>
      </c>
      <c r="AM260">
        <v>0</v>
      </c>
      <c r="AR260" t="s">
        <v>872</v>
      </c>
      <c r="AS260" t="s">
        <v>1003</v>
      </c>
      <c r="AT260">
        <v>6</v>
      </c>
    </row>
    <row r="261" spans="1:46">
      <c r="A261">
        <v>260</v>
      </c>
      <c r="B261">
        <v>33</v>
      </c>
      <c r="C261" t="s">
        <v>74</v>
      </c>
      <c r="D261" t="s">
        <v>270</v>
      </c>
      <c r="E261" t="s">
        <v>271</v>
      </c>
      <c r="F261">
        <v>53089</v>
      </c>
      <c r="G261" s="1" t="s">
        <v>676</v>
      </c>
      <c r="H261" s="2" t="s">
        <v>699</v>
      </c>
      <c r="I261" t="s">
        <v>700</v>
      </c>
      <c r="K261" s="21">
        <v>0</v>
      </c>
      <c r="L261" s="21">
        <v>1427014</v>
      </c>
      <c r="M261" s="21">
        <v>271133</v>
      </c>
      <c r="N261" s="21">
        <v>1698147</v>
      </c>
      <c r="O261">
        <v>0</v>
      </c>
      <c r="P261">
        <v>0</v>
      </c>
      <c r="Q261">
        <v>0</v>
      </c>
      <c r="R261">
        <v>0</v>
      </c>
      <c r="S261">
        <v>0</v>
      </c>
      <c r="T261" t="s">
        <v>77</v>
      </c>
      <c r="U261">
        <v>0</v>
      </c>
      <c r="V261">
        <v>0</v>
      </c>
      <c r="W261">
        <v>0</v>
      </c>
      <c r="X261">
        <v>0</v>
      </c>
      <c r="AC261">
        <v>0</v>
      </c>
      <c r="AE261">
        <v>0</v>
      </c>
      <c r="AF261">
        <v>2</v>
      </c>
      <c r="AG261">
        <v>0</v>
      </c>
      <c r="AH261">
        <v>0</v>
      </c>
      <c r="AI261">
        <v>0</v>
      </c>
      <c r="AM261">
        <v>0</v>
      </c>
      <c r="AR261" t="s">
        <v>872</v>
      </c>
      <c r="AS261" t="s">
        <v>936</v>
      </c>
      <c r="AT261">
        <v>6</v>
      </c>
    </row>
    <row r="262" spans="1:46">
      <c r="A262">
        <v>261</v>
      </c>
      <c r="B262">
        <v>33</v>
      </c>
      <c r="C262" t="s">
        <v>74</v>
      </c>
      <c r="D262" t="s">
        <v>379</v>
      </c>
      <c r="E262" t="s">
        <v>380</v>
      </c>
      <c r="F262">
        <v>53090</v>
      </c>
      <c r="G262" s="1" t="s">
        <v>676</v>
      </c>
      <c r="H262" s="2" t="s">
        <v>701</v>
      </c>
      <c r="I262" s="2"/>
      <c r="J262" s="2">
        <v>45389.676493055558</v>
      </c>
      <c r="K262" s="21">
        <v>0</v>
      </c>
      <c r="L262" s="21">
        <v>5845064</v>
      </c>
      <c r="M262" s="21">
        <v>1110562</v>
      </c>
      <c r="N262" s="21">
        <v>6955626</v>
      </c>
      <c r="O262">
        <v>0</v>
      </c>
      <c r="P262">
        <v>0</v>
      </c>
      <c r="Q262">
        <v>0</v>
      </c>
      <c r="R262">
        <v>0</v>
      </c>
      <c r="S262">
        <v>0</v>
      </c>
      <c r="T262" t="s">
        <v>77</v>
      </c>
      <c r="U262">
        <v>0</v>
      </c>
      <c r="V262">
        <v>0</v>
      </c>
      <c r="W262">
        <v>0</v>
      </c>
      <c r="X262">
        <v>0</v>
      </c>
      <c r="AC262">
        <v>0</v>
      </c>
      <c r="AE262">
        <v>0</v>
      </c>
      <c r="AF262">
        <v>2</v>
      </c>
      <c r="AG262">
        <v>0</v>
      </c>
      <c r="AH262">
        <v>0</v>
      </c>
      <c r="AI262">
        <v>0</v>
      </c>
      <c r="AM262">
        <v>0</v>
      </c>
      <c r="AR262" t="s">
        <v>872</v>
      </c>
      <c r="AS262" t="s">
        <v>3789</v>
      </c>
      <c r="AT262">
        <v>6</v>
      </c>
    </row>
    <row r="263" spans="1:46">
      <c r="A263">
        <v>262</v>
      </c>
      <c r="B263">
        <v>33</v>
      </c>
      <c r="C263" t="s">
        <v>74</v>
      </c>
      <c r="D263" t="s">
        <v>379</v>
      </c>
      <c r="E263" t="s">
        <v>380</v>
      </c>
      <c r="F263">
        <v>53091</v>
      </c>
      <c r="G263" s="1" t="s">
        <v>676</v>
      </c>
      <c r="H263" s="2" t="s">
        <v>702</v>
      </c>
      <c r="I263" s="2"/>
      <c r="J263" s="2">
        <v>45389.676145833335</v>
      </c>
      <c r="K263" s="21">
        <v>0</v>
      </c>
      <c r="L263" s="21">
        <v>7328039</v>
      </c>
      <c r="M263" s="21">
        <v>1392327</v>
      </c>
      <c r="N263" s="21">
        <v>8720366</v>
      </c>
      <c r="O263">
        <v>0</v>
      </c>
      <c r="P263">
        <v>0</v>
      </c>
      <c r="Q263">
        <v>0</v>
      </c>
      <c r="R263">
        <v>0</v>
      </c>
      <c r="S263">
        <v>0</v>
      </c>
      <c r="T263" t="s">
        <v>77</v>
      </c>
      <c r="U263">
        <v>0</v>
      </c>
      <c r="V263">
        <v>0</v>
      </c>
      <c r="W263">
        <v>0</v>
      </c>
      <c r="X263">
        <v>0</v>
      </c>
      <c r="AC263">
        <v>0</v>
      </c>
      <c r="AE263">
        <v>0</v>
      </c>
      <c r="AF263">
        <v>2</v>
      </c>
      <c r="AG263">
        <v>0</v>
      </c>
      <c r="AH263">
        <v>0</v>
      </c>
      <c r="AI263">
        <v>0</v>
      </c>
      <c r="AM263">
        <v>0</v>
      </c>
      <c r="AR263" t="s">
        <v>872</v>
      </c>
      <c r="AS263" t="s">
        <v>3789</v>
      </c>
      <c r="AT263">
        <v>6</v>
      </c>
    </row>
    <row r="264" spans="1:46">
      <c r="A264">
        <v>263</v>
      </c>
      <c r="B264">
        <v>33</v>
      </c>
      <c r="C264" t="s">
        <v>74</v>
      </c>
      <c r="D264" t="s">
        <v>379</v>
      </c>
      <c r="E264" t="s">
        <v>380</v>
      </c>
      <c r="F264">
        <v>53092</v>
      </c>
      <c r="G264" s="1" t="s">
        <v>676</v>
      </c>
      <c r="H264" s="2" t="s">
        <v>703</v>
      </c>
      <c r="J264" s="2">
        <v>45389.676840277774</v>
      </c>
      <c r="K264" s="21">
        <v>0</v>
      </c>
      <c r="L264" s="21">
        <v>6561686</v>
      </c>
      <c r="M264" s="21">
        <v>1246720</v>
      </c>
      <c r="N264" s="21">
        <v>7808406</v>
      </c>
      <c r="O264">
        <v>0</v>
      </c>
      <c r="P264">
        <v>0</v>
      </c>
      <c r="Q264">
        <v>0</v>
      </c>
      <c r="R264">
        <v>0</v>
      </c>
      <c r="S264">
        <v>0</v>
      </c>
      <c r="T264" t="s">
        <v>77</v>
      </c>
      <c r="U264">
        <v>0</v>
      </c>
      <c r="V264">
        <v>0</v>
      </c>
      <c r="W264">
        <v>0</v>
      </c>
      <c r="X264">
        <v>0</v>
      </c>
      <c r="AC264">
        <v>0</v>
      </c>
      <c r="AE264">
        <v>0</v>
      </c>
      <c r="AF264">
        <v>2</v>
      </c>
      <c r="AG264">
        <v>0</v>
      </c>
      <c r="AH264">
        <v>0</v>
      </c>
      <c r="AI264">
        <v>0</v>
      </c>
      <c r="AM264">
        <v>0</v>
      </c>
      <c r="AR264" t="s">
        <v>872</v>
      </c>
      <c r="AS264" t="s">
        <v>3789</v>
      </c>
      <c r="AT264">
        <v>6</v>
      </c>
    </row>
    <row r="265" spans="1:46">
      <c r="A265">
        <v>264</v>
      </c>
      <c r="B265">
        <v>33</v>
      </c>
      <c r="C265" t="s">
        <v>74</v>
      </c>
      <c r="D265" t="s">
        <v>238</v>
      </c>
      <c r="E265" t="s">
        <v>239</v>
      </c>
      <c r="F265">
        <v>53093</v>
      </c>
      <c r="G265" s="1" t="s">
        <v>676</v>
      </c>
      <c r="H265" s="2" t="s">
        <v>704</v>
      </c>
      <c r="I265" s="2"/>
      <c r="J265" s="2"/>
      <c r="K265" s="21">
        <v>0</v>
      </c>
      <c r="L265" s="21">
        <v>1458478</v>
      </c>
      <c r="M265" s="21">
        <v>277111</v>
      </c>
      <c r="N265" s="21">
        <v>1735589</v>
      </c>
      <c r="O265">
        <v>0</v>
      </c>
      <c r="P265">
        <v>0</v>
      </c>
      <c r="Q265">
        <v>0</v>
      </c>
      <c r="R265">
        <v>0</v>
      </c>
      <c r="S265">
        <v>0</v>
      </c>
      <c r="T265" t="s">
        <v>77</v>
      </c>
      <c r="U265">
        <v>0</v>
      </c>
      <c r="V265">
        <v>0</v>
      </c>
      <c r="W265">
        <v>0</v>
      </c>
      <c r="X265">
        <v>0</v>
      </c>
      <c r="AC265">
        <v>0</v>
      </c>
      <c r="AE265">
        <v>0</v>
      </c>
      <c r="AF265">
        <v>2</v>
      </c>
      <c r="AG265">
        <v>0</v>
      </c>
      <c r="AH265">
        <v>0</v>
      </c>
      <c r="AI265">
        <v>0</v>
      </c>
      <c r="AM265">
        <v>0</v>
      </c>
      <c r="AR265" t="s">
        <v>872</v>
      </c>
      <c r="AS265" t="s">
        <v>992</v>
      </c>
      <c r="AT265">
        <v>6</v>
      </c>
    </row>
    <row r="266" spans="1:46">
      <c r="A266">
        <v>265</v>
      </c>
      <c r="B266">
        <v>33</v>
      </c>
      <c r="C266" t="s">
        <v>74</v>
      </c>
      <c r="D266" t="s">
        <v>238</v>
      </c>
      <c r="E266" t="s">
        <v>239</v>
      </c>
      <c r="F266">
        <v>53094</v>
      </c>
      <c r="G266" s="1" t="s">
        <v>676</v>
      </c>
      <c r="H266" s="2" t="s">
        <v>705</v>
      </c>
      <c r="I266" s="2"/>
      <c r="K266" s="21">
        <v>0</v>
      </c>
      <c r="L266" s="21">
        <v>5766037</v>
      </c>
      <c r="M266" s="21">
        <v>1095548</v>
      </c>
      <c r="N266" s="21">
        <v>6861585</v>
      </c>
      <c r="O266">
        <v>0</v>
      </c>
      <c r="P266">
        <v>0</v>
      </c>
      <c r="Q266">
        <v>0</v>
      </c>
      <c r="R266">
        <v>0</v>
      </c>
      <c r="S266">
        <v>0</v>
      </c>
      <c r="T266" t="s">
        <v>77</v>
      </c>
      <c r="U266">
        <v>0</v>
      </c>
      <c r="V266">
        <v>0</v>
      </c>
      <c r="W266">
        <v>0</v>
      </c>
      <c r="X266">
        <v>0</v>
      </c>
      <c r="AC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M266">
        <v>0</v>
      </c>
      <c r="AR266" t="s">
        <v>872</v>
      </c>
      <c r="AS266" t="s">
        <v>992</v>
      </c>
      <c r="AT266">
        <v>6</v>
      </c>
    </row>
    <row r="267" spans="1:46">
      <c r="A267">
        <v>266</v>
      </c>
      <c r="B267">
        <v>33</v>
      </c>
      <c r="C267" t="s">
        <v>74</v>
      </c>
      <c r="D267" t="s">
        <v>111</v>
      </c>
      <c r="E267" t="s">
        <v>112</v>
      </c>
      <c r="F267">
        <v>53095</v>
      </c>
      <c r="G267" s="1" t="s">
        <v>706</v>
      </c>
      <c r="H267" s="2" t="s">
        <v>707</v>
      </c>
      <c r="I267" s="2" t="s">
        <v>708</v>
      </c>
      <c r="K267" s="21">
        <v>0</v>
      </c>
      <c r="L267" s="21">
        <v>2805509</v>
      </c>
      <c r="M267" s="21">
        <v>533047</v>
      </c>
      <c r="N267" s="21">
        <v>3338556</v>
      </c>
      <c r="O267">
        <v>0</v>
      </c>
      <c r="P267">
        <v>0</v>
      </c>
      <c r="Q267">
        <v>0</v>
      </c>
      <c r="R267">
        <v>0</v>
      </c>
      <c r="S267">
        <v>0</v>
      </c>
      <c r="T267" t="s">
        <v>77</v>
      </c>
      <c r="U267">
        <v>0</v>
      </c>
      <c r="V267">
        <v>0</v>
      </c>
      <c r="W267">
        <v>0</v>
      </c>
      <c r="X267">
        <v>0</v>
      </c>
      <c r="AC267">
        <v>0</v>
      </c>
      <c r="AE267">
        <v>0</v>
      </c>
      <c r="AF267">
        <v>2</v>
      </c>
      <c r="AG267">
        <v>0</v>
      </c>
      <c r="AH267">
        <v>0</v>
      </c>
      <c r="AI267">
        <v>0</v>
      </c>
      <c r="AM267">
        <v>0</v>
      </c>
      <c r="AR267" t="s">
        <v>872</v>
      </c>
      <c r="AS267" t="s">
        <v>942</v>
      </c>
      <c r="AT267">
        <v>6</v>
      </c>
    </row>
    <row r="268" spans="1:46">
      <c r="A268">
        <v>267</v>
      </c>
      <c r="B268">
        <v>33</v>
      </c>
      <c r="C268" t="s">
        <v>74</v>
      </c>
      <c r="D268" t="s">
        <v>266</v>
      </c>
      <c r="E268" t="s">
        <v>267</v>
      </c>
      <c r="F268">
        <v>53096</v>
      </c>
      <c r="G268" s="1" t="s">
        <v>706</v>
      </c>
      <c r="H268" s="2" t="s">
        <v>709</v>
      </c>
      <c r="I268" s="2" t="s">
        <v>710</v>
      </c>
      <c r="K268" s="21">
        <v>0</v>
      </c>
      <c r="L268" s="21">
        <v>1302764</v>
      </c>
      <c r="M268" s="21">
        <v>247525</v>
      </c>
      <c r="N268" s="21">
        <v>1550289</v>
      </c>
      <c r="O268">
        <v>0</v>
      </c>
      <c r="P268">
        <v>0</v>
      </c>
      <c r="Q268">
        <v>0</v>
      </c>
      <c r="R268">
        <v>0</v>
      </c>
      <c r="S268">
        <v>0</v>
      </c>
      <c r="T268" t="s">
        <v>77</v>
      </c>
      <c r="U268">
        <v>0</v>
      </c>
      <c r="V268">
        <v>0</v>
      </c>
      <c r="W268">
        <v>0</v>
      </c>
      <c r="X268">
        <v>0</v>
      </c>
      <c r="AC268">
        <v>0</v>
      </c>
      <c r="AE268">
        <v>0</v>
      </c>
      <c r="AF268">
        <v>2</v>
      </c>
      <c r="AG268">
        <v>0</v>
      </c>
      <c r="AH268">
        <v>0</v>
      </c>
      <c r="AI268">
        <v>0</v>
      </c>
      <c r="AM268">
        <v>0</v>
      </c>
      <c r="AR268" t="s">
        <v>872</v>
      </c>
      <c r="AS268" t="s">
        <v>1035</v>
      </c>
      <c r="AT268">
        <v>6</v>
      </c>
    </row>
    <row r="269" spans="1:46">
      <c r="A269">
        <v>268</v>
      </c>
      <c r="B269">
        <v>33</v>
      </c>
      <c r="C269" t="s">
        <v>74</v>
      </c>
      <c r="D269" t="s">
        <v>87</v>
      </c>
      <c r="E269" t="s">
        <v>88</v>
      </c>
      <c r="F269">
        <v>53097</v>
      </c>
      <c r="G269" s="1" t="s">
        <v>706</v>
      </c>
      <c r="H269" s="2" t="s">
        <v>711</v>
      </c>
      <c r="I269" s="2" t="s">
        <v>712</v>
      </c>
      <c r="K269" s="21">
        <v>0</v>
      </c>
      <c r="L269" s="21">
        <v>420351</v>
      </c>
      <c r="M269" s="21">
        <v>79867</v>
      </c>
      <c r="N269" s="21">
        <v>500218</v>
      </c>
      <c r="O269">
        <v>0</v>
      </c>
      <c r="P269">
        <v>0</v>
      </c>
      <c r="Q269">
        <v>0</v>
      </c>
      <c r="R269">
        <v>0</v>
      </c>
      <c r="S269">
        <v>0</v>
      </c>
      <c r="T269" t="s">
        <v>77</v>
      </c>
      <c r="U269">
        <v>0</v>
      </c>
      <c r="V269">
        <v>0</v>
      </c>
      <c r="W269">
        <v>0</v>
      </c>
      <c r="X269">
        <v>0</v>
      </c>
      <c r="AC269">
        <v>0</v>
      </c>
      <c r="AE269">
        <v>0</v>
      </c>
      <c r="AF269">
        <v>2</v>
      </c>
      <c r="AG269">
        <v>0</v>
      </c>
      <c r="AH269">
        <v>0</v>
      </c>
      <c r="AI269">
        <v>0</v>
      </c>
      <c r="AM269">
        <v>0</v>
      </c>
      <c r="AR269" t="s">
        <v>872</v>
      </c>
      <c r="AS269" t="s">
        <v>951</v>
      </c>
      <c r="AT269">
        <v>6</v>
      </c>
    </row>
    <row r="270" spans="1:46">
      <c r="A270">
        <v>269</v>
      </c>
      <c r="B270">
        <v>33</v>
      </c>
      <c r="C270" t="s">
        <v>74</v>
      </c>
      <c r="D270" t="s">
        <v>79</v>
      </c>
      <c r="E270" t="s">
        <v>80</v>
      </c>
      <c r="F270">
        <v>53098</v>
      </c>
      <c r="G270" s="1" t="s">
        <v>706</v>
      </c>
      <c r="H270" s="2" t="s">
        <v>713</v>
      </c>
      <c r="I270" s="2" t="s">
        <v>714</v>
      </c>
      <c r="K270" s="21">
        <v>0</v>
      </c>
      <c r="L270" s="21">
        <v>5706</v>
      </c>
      <c r="M270" s="21">
        <v>1084</v>
      </c>
      <c r="N270" s="21">
        <v>6790</v>
      </c>
      <c r="O270">
        <v>0</v>
      </c>
      <c r="P270">
        <v>0</v>
      </c>
      <c r="Q270">
        <v>0</v>
      </c>
      <c r="R270">
        <v>0</v>
      </c>
      <c r="S270">
        <v>0</v>
      </c>
      <c r="T270" t="s">
        <v>77</v>
      </c>
      <c r="U270">
        <v>0</v>
      </c>
      <c r="V270">
        <v>0</v>
      </c>
      <c r="W270">
        <v>0</v>
      </c>
      <c r="X270">
        <v>0</v>
      </c>
      <c r="AC270">
        <v>0</v>
      </c>
      <c r="AE270">
        <v>0</v>
      </c>
      <c r="AF270">
        <v>2</v>
      </c>
      <c r="AG270">
        <v>0</v>
      </c>
      <c r="AH270">
        <v>0</v>
      </c>
      <c r="AI270">
        <v>0</v>
      </c>
      <c r="AM270">
        <v>0</v>
      </c>
      <c r="AR270" t="s">
        <v>872</v>
      </c>
      <c r="AS270" t="s">
        <v>1013</v>
      </c>
      <c r="AT270">
        <v>6</v>
      </c>
    </row>
    <row r="271" spans="1:46">
      <c r="A271">
        <v>270</v>
      </c>
      <c r="B271">
        <v>33</v>
      </c>
      <c r="C271" t="s">
        <v>74</v>
      </c>
      <c r="D271" t="s">
        <v>75</v>
      </c>
      <c r="E271" t="s">
        <v>76</v>
      </c>
      <c r="F271">
        <v>53099</v>
      </c>
      <c r="G271" s="1" t="s">
        <v>706</v>
      </c>
      <c r="H271" s="2" t="s">
        <v>715</v>
      </c>
      <c r="K271" s="21">
        <v>0</v>
      </c>
      <c r="L271" s="21">
        <v>26091448</v>
      </c>
      <c r="M271" s="21">
        <v>4957376</v>
      </c>
      <c r="N271" s="21">
        <v>31048824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77</v>
      </c>
      <c r="U271">
        <v>0</v>
      </c>
      <c r="V271">
        <v>0</v>
      </c>
      <c r="W271">
        <v>0</v>
      </c>
      <c r="X271">
        <v>0</v>
      </c>
      <c r="AC271">
        <v>0</v>
      </c>
      <c r="AE271">
        <v>0</v>
      </c>
      <c r="AF271">
        <v>2</v>
      </c>
      <c r="AG271">
        <v>0</v>
      </c>
      <c r="AH271">
        <v>0</v>
      </c>
      <c r="AI271">
        <v>0</v>
      </c>
      <c r="AM271">
        <v>0</v>
      </c>
      <c r="AR271" t="s">
        <v>872</v>
      </c>
      <c r="AS271" t="s">
        <v>1020</v>
      </c>
      <c r="AT271">
        <v>6</v>
      </c>
    </row>
    <row r="272" spans="1:46">
      <c r="A272">
        <v>271</v>
      </c>
      <c r="B272">
        <v>33</v>
      </c>
      <c r="C272" t="s">
        <v>74</v>
      </c>
      <c r="D272" t="s">
        <v>716</v>
      </c>
      <c r="E272" t="s">
        <v>717</v>
      </c>
      <c r="F272">
        <v>53100</v>
      </c>
      <c r="G272" s="1" t="s">
        <v>706</v>
      </c>
      <c r="H272" s="2" t="s">
        <v>718</v>
      </c>
      <c r="I272" s="2"/>
      <c r="J272" s="2"/>
      <c r="K272" s="21">
        <v>0</v>
      </c>
      <c r="L272" s="21">
        <v>5135508</v>
      </c>
      <c r="M272" s="21">
        <v>975747</v>
      </c>
      <c r="N272" s="21">
        <v>6111255</v>
      </c>
      <c r="O272">
        <v>0</v>
      </c>
      <c r="P272">
        <v>0</v>
      </c>
      <c r="Q272">
        <v>0</v>
      </c>
      <c r="R272">
        <v>0</v>
      </c>
      <c r="S272">
        <v>0</v>
      </c>
      <c r="T272" t="s">
        <v>77</v>
      </c>
      <c r="U272">
        <v>0</v>
      </c>
      <c r="V272">
        <v>0</v>
      </c>
      <c r="W272">
        <v>0</v>
      </c>
      <c r="X272">
        <v>0</v>
      </c>
      <c r="AC272">
        <v>0</v>
      </c>
      <c r="AE272">
        <v>0</v>
      </c>
      <c r="AF272">
        <v>2</v>
      </c>
      <c r="AG272">
        <v>0</v>
      </c>
      <c r="AH272">
        <v>0</v>
      </c>
      <c r="AI272">
        <v>0</v>
      </c>
      <c r="AM272">
        <v>0</v>
      </c>
      <c r="AR272" t="s">
        <v>872</v>
      </c>
      <c r="AS272" t="s">
        <v>3790</v>
      </c>
      <c r="AT272">
        <v>6</v>
      </c>
    </row>
    <row r="273" spans="1:46">
      <c r="A273">
        <v>272</v>
      </c>
      <c r="B273">
        <v>33</v>
      </c>
      <c r="C273" t="s">
        <v>74</v>
      </c>
      <c r="D273" t="s">
        <v>323</v>
      </c>
      <c r="E273" t="s">
        <v>324</v>
      </c>
      <c r="F273">
        <v>53101</v>
      </c>
      <c r="G273" s="1" t="s">
        <v>706</v>
      </c>
      <c r="H273" s="2" t="s">
        <v>719</v>
      </c>
      <c r="I273" s="2">
        <v>45450.168171296296</v>
      </c>
      <c r="K273" s="21">
        <v>0</v>
      </c>
      <c r="L273" s="21">
        <v>11430880</v>
      </c>
      <c r="M273" s="21">
        <v>2171867</v>
      </c>
      <c r="N273" s="21">
        <v>13602747</v>
      </c>
      <c r="O273">
        <v>0</v>
      </c>
      <c r="P273">
        <v>0</v>
      </c>
      <c r="Q273">
        <v>0</v>
      </c>
      <c r="R273">
        <v>0</v>
      </c>
      <c r="S273">
        <v>0</v>
      </c>
      <c r="T273" t="s">
        <v>77</v>
      </c>
      <c r="U273">
        <v>0</v>
      </c>
      <c r="V273">
        <v>0</v>
      </c>
      <c r="W273">
        <v>0</v>
      </c>
      <c r="X273">
        <v>0</v>
      </c>
      <c r="AC273">
        <v>0</v>
      </c>
      <c r="AE273">
        <v>0</v>
      </c>
      <c r="AF273">
        <v>2</v>
      </c>
      <c r="AG273">
        <v>0</v>
      </c>
      <c r="AH273">
        <v>0</v>
      </c>
      <c r="AI273">
        <v>0</v>
      </c>
      <c r="AM273">
        <v>0</v>
      </c>
      <c r="AR273" t="s">
        <v>872</v>
      </c>
      <c r="AS273" t="s">
        <v>938</v>
      </c>
      <c r="AT273">
        <v>6</v>
      </c>
    </row>
    <row r="274" spans="1:46">
      <c r="A274">
        <v>273</v>
      </c>
      <c r="B274">
        <v>33</v>
      </c>
      <c r="C274" t="s">
        <v>74</v>
      </c>
      <c r="D274" t="s">
        <v>111</v>
      </c>
      <c r="E274" t="s">
        <v>112</v>
      </c>
      <c r="F274">
        <v>53102</v>
      </c>
      <c r="G274" s="1" t="s">
        <v>706</v>
      </c>
      <c r="H274" s="2" t="s">
        <v>720</v>
      </c>
      <c r="I274" s="2" t="s">
        <v>721</v>
      </c>
      <c r="K274" s="21">
        <v>0</v>
      </c>
      <c r="L274" s="21">
        <v>746798</v>
      </c>
      <c r="M274" s="21">
        <v>141892</v>
      </c>
      <c r="N274" s="21">
        <v>888690</v>
      </c>
      <c r="O274">
        <v>0</v>
      </c>
      <c r="P274">
        <v>0</v>
      </c>
      <c r="Q274">
        <v>0</v>
      </c>
      <c r="R274">
        <v>0</v>
      </c>
      <c r="S274">
        <v>0</v>
      </c>
      <c r="T274" t="s">
        <v>77</v>
      </c>
      <c r="U274">
        <v>0</v>
      </c>
      <c r="V274">
        <v>0</v>
      </c>
      <c r="W274">
        <v>0</v>
      </c>
      <c r="X274">
        <v>0</v>
      </c>
      <c r="Y274">
        <v>0</v>
      </c>
      <c r="AC274">
        <v>0</v>
      </c>
      <c r="AE274">
        <v>0</v>
      </c>
      <c r="AF274">
        <v>2</v>
      </c>
      <c r="AG274">
        <v>0</v>
      </c>
      <c r="AH274">
        <v>0</v>
      </c>
      <c r="AI274">
        <v>0</v>
      </c>
      <c r="AM274">
        <v>0</v>
      </c>
      <c r="AR274" t="s">
        <v>872</v>
      </c>
      <c r="AS274" t="s">
        <v>942</v>
      </c>
      <c r="AT274">
        <v>6</v>
      </c>
    </row>
    <row r="275" spans="1:46">
      <c r="A275">
        <v>274</v>
      </c>
      <c r="B275">
        <v>33</v>
      </c>
      <c r="C275" t="s">
        <v>74</v>
      </c>
      <c r="D275" t="s">
        <v>361</v>
      </c>
      <c r="E275" t="s">
        <v>362</v>
      </c>
      <c r="F275">
        <v>53103</v>
      </c>
      <c r="G275" s="1" t="s">
        <v>706</v>
      </c>
      <c r="H275" s="2" t="s">
        <v>722</v>
      </c>
      <c r="I275" s="2" t="s">
        <v>723</v>
      </c>
      <c r="K275" s="21">
        <v>0</v>
      </c>
      <c r="L275" s="21">
        <v>684734</v>
      </c>
      <c r="M275" s="21">
        <v>130099</v>
      </c>
      <c r="N275" s="21">
        <v>814833</v>
      </c>
      <c r="O275">
        <v>0</v>
      </c>
      <c r="P275">
        <v>0</v>
      </c>
      <c r="Q275">
        <v>0</v>
      </c>
      <c r="R275">
        <v>0</v>
      </c>
      <c r="S275">
        <v>0</v>
      </c>
      <c r="T275" t="s">
        <v>77</v>
      </c>
      <c r="U275">
        <v>0</v>
      </c>
      <c r="V275">
        <v>0</v>
      </c>
      <c r="W275">
        <v>0</v>
      </c>
      <c r="X275">
        <v>0</v>
      </c>
      <c r="AC275">
        <v>0</v>
      </c>
      <c r="AE275">
        <v>0</v>
      </c>
      <c r="AF275">
        <v>2</v>
      </c>
      <c r="AG275">
        <v>0</v>
      </c>
      <c r="AH275">
        <v>0</v>
      </c>
      <c r="AI275">
        <v>0</v>
      </c>
      <c r="AM275">
        <v>0</v>
      </c>
      <c r="AR275" t="s">
        <v>872</v>
      </c>
      <c r="AS275" t="s">
        <v>3791</v>
      </c>
      <c r="AT275">
        <v>6</v>
      </c>
    </row>
    <row r="276" spans="1:46">
      <c r="A276">
        <v>275</v>
      </c>
      <c r="B276">
        <v>33</v>
      </c>
      <c r="C276" t="s">
        <v>74</v>
      </c>
      <c r="D276" t="s">
        <v>361</v>
      </c>
      <c r="E276" t="s">
        <v>362</v>
      </c>
      <c r="F276">
        <v>53104</v>
      </c>
      <c r="G276" s="1" t="s">
        <v>706</v>
      </c>
      <c r="H276" s="2" t="s">
        <v>724</v>
      </c>
      <c r="I276" s="2" t="s">
        <v>723</v>
      </c>
      <c r="K276" s="21">
        <v>0</v>
      </c>
      <c r="L276" s="21">
        <v>684734</v>
      </c>
      <c r="M276" s="21">
        <v>130099</v>
      </c>
      <c r="N276" s="21">
        <v>814833</v>
      </c>
      <c r="O276">
        <v>0</v>
      </c>
      <c r="P276">
        <v>0</v>
      </c>
      <c r="Q276">
        <v>0</v>
      </c>
      <c r="R276">
        <v>0</v>
      </c>
      <c r="S276">
        <v>0</v>
      </c>
      <c r="T276" t="s">
        <v>77</v>
      </c>
      <c r="U276">
        <v>0</v>
      </c>
      <c r="V276">
        <v>0</v>
      </c>
      <c r="W276">
        <v>0</v>
      </c>
      <c r="X276">
        <v>0</v>
      </c>
      <c r="AC276">
        <v>0</v>
      </c>
      <c r="AE276">
        <v>0</v>
      </c>
      <c r="AF276">
        <v>2</v>
      </c>
      <c r="AG276">
        <v>0</v>
      </c>
      <c r="AH276">
        <v>0</v>
      </c>
      <c r="AI276">
        <v>0</v>
      </c>
      <c r="AM276">
        <v>0</v>
      </c>
      <c r="AR276" t="s">
        <v>872</v>
      </c>
      <c r="AS276" t="s">
        <v>3791</v>
      </c>
      <c r="AT276">
        <v>6</v>
      </c>
    </row>
    <row r="277" spans="1:46">
      <c r="A277">
        <v>276</v>
      </c>
      <c r="B277">
        <v>33</v>
      </c>
      <c r="C277" t="s">
        <v>74</v>
      </c>
      <c r="D277" t="s">
        <v>335</v>
      </c>
      <c r="E277" t="s">
        <v>336</v>
      </c>
      <c r="F277">
        <v>53105</v>
      </c>
      <c r="G277" s="1" t="s">
        <v>706</v>
      </c>
      <c r="H277" s="2" t="s">
        <v>725</v>
      </c>
      <c r="I277" s="2"/>
      <c r="K277" s="21">
        <v>0</v>
      </c>
      <c r="L277" s="21">
        <v>353399</v>
      </c>
      <c r="M277" s="21">
        <v>67146</v>
      </c>
      <c r="N277" s="21">
        <v>420545</v>
      </c>
      <c r="O277">
        <v>0</v>
      </c>
      <c r="P277">
        <v>0</v>
      </c>
      <c r="Q277">
        <v>0</v>
      </c>
      <c r="R277">
        <v>0</v>
      </c>
      <c r="S277">
        <v>0</v>
      </c>
      <c r="T277" t="s">
        <v>77</v>
      </c>
      <c r="U277">
        <v>0</v>
      </c>
      <c r="V277">
        <v>0</v>
      </c>
      <c r="W277">
        <v>0</v>
      </c>
      <c r="X277">
        <v>0</v>
      </c>
      <c r="AC277">
        <v>0</v>
      </c>
      <c r="AE277">
        <v>0</v>
      </c>
      <c r="AF277">
        <v>2</v>
      </c>
      <c r="AG277">
        <v>0</v>
      </c>
      <c r="AH277">
        <v>0</v>
      </c>
      <c r="AI277">
        <v>0</v>
      </c>
      <c r="AM277">
        <v>0</v>
      </c>
      <c r="AR277" t="s">
        <v>872</v>
      </c>
      <c r="AS277" t="s">
        <v>985</v>
      </c>
      <c r="AT277">
        <v>6</v>
      </c>
    </row>
    <row r="278" spans="1:46">
      <c r="A278">
        <v>277</v>
      </c>
      <c r="B278">
        <v>33</v>
      </c>
      <c r="C278" t="s">
        <v>74</v>
      </c>
      <c r="D278" t="s">
        <v>133</v>
      </c>
      <c r="E278" t="s">
        <v>134</v>
      </c>
      <c r="F278">
        <v>53106</v>
      </c>
      <c r="G278" s="1" t="s">
        <v>706</v>
      </c>
      <c r="H278" s="2" t="s">
        <v>726</v>
      </c>
      <c r="I278" s="2">
        <v>45389.368136574078</v>
      </c>
      <c r="K278" s="21">
        <v>0</v>
      </c>
      <c r="L278" s="21">
        <v>1050898</v>
      </c>
      <c r="M278" s="21">
        <v>199671</v>
      </c>
      <c r="N278" s="21">
        <v>1250569</v>
      </c>
      <c r="O278">
        <v>0</v>
      </c>
      <c r="P278">
        <v>0</v>
      </c>
      <c r="Q278">
        <v>0</v>
      </c>
      <c r="R278">
        <v>0</v>
      </c>
      <c r="S278">
        <v>0</v>
      </c>
      <c r="T278" t="s">
        <v>77</v>
      </c>
      <c r="U278">
        <v>0</v>
      </c>
      <c r="V278">
        <v>0</v>
      </c>
      <c r="W278">
        <v>0</v>
      </c>
      <c r="X278">
        <v>0</v>
      </c>
      <c r="AC278">
        <v>0</v>
      </c>
      <c r="AE278">
        <v>0</v>
      </c>
      <c r="AF278">
        <v>2</v>
      </c>
      <c r="AG278">
        <v>0</v>
      </c>
      <c r="AH278">
        <v>0</v>
      </c>
      <c r="AI278">
        <v>0</v>
      </c>
      <c r="AM278">
        <v>0</v>
      </c>
      <c r="AR278" t="s">
        <v>872</v>
      </c>
      <c r="AS278" t="s">
        <v>979</v>
      </c>
      <c r="AT278">
        <v>6</v>
      </c>
    </row>
    <row r="279" spans="1:46">
      <c r="A279">
        <v>278</v>
      </c>
      <c r="B279">
        <v>33</v>
      </c>
      <c r="C279" t="s">
        <v>74</v>
      </c>
      <c r="D279" t="s">
        <v>290</v>
      </c>
      <c r="E279" t="s">
        <v>291</v>
      </c>
      <c r="F279">
        <v>53107</v>
      </c>
      <c r="G279" s="1" t="s">
        <v>706</v>
      </c>
      <c r="H279" s="2" t="s">
        <v>727</v>
      </c>
      <c r="I279" s="2"/>
      <c r="K279" s="21">
        <v>0</v>
      </c>
      <c r="L279" s="21">
        <v>11554921</v>
      </c>
      <c r="M279" s="21">
        <v>2195435</v>
      </c>
      <c r="N279" s="21">
        <v>13750356</v>
      </c>
      <c r="O279">
        <v>0</v>
      </c>
      <c r="P279">
        <v>0</v>
      </c>
      <c r="Q279">
        <v>0</v>
      </c>
      <c r="R279">
        <v>0</v>
      </c>
      <c r="S279">
        <v>0</v>
      </c>
      <c r="T279" t="s">
        <v>77</v>
      </c>
      <c r="U279">
        <v>0</v>
      </c>
      <c r="V279">
        <v>0</v>
      </c>
      <c r="W279">
        <v>0</v>
      </c>
      <c r="X279">
        <v>0</v>
      </c>
      <c r="AC279">
        <v>0</v>
      </c>
      <c r="AE279">
        <v>0</v>
      </c>
      <c r="AF279">
        <v>2</v>
      </c>
      <c r="AG279">
        <v>0</v>
      </c>
      <c r="AH279">
        <v>0</v>
      </c>
      <c r="AI279">
        <v>0</v>
      </c>
      <c r="AM279">
        <v>0</v>
      </c>
      <c r="AR279" t="s">
        <v>872</v>
      </c>
      <c r="AS279" t="s">
        <v>945</v>
      </c>
      <c r="AT279">
        <v>6</v>
      </c>
    </row>
    <row r="280" spans="1:46">
      <c r="A280">
        <v>279</v>
      </c>
      <c r="B280">
        <v>33</v>
      </c>
      <c r="C280" t="s">
        <v>74</v>
      </c>
      <c r="D280" t="s">
        <v>728</v>
      </c>
      <c r="E280" t="s">
        <v>729</v>
      </c>
      <c r="F280">
        <v>53108</v>
      </c>
      <c r="G280" s="1" t="s">
        <v>706</v>
      </c>
      <c r="H280" s="2" t="s">
        <v>730</v>
      </c>
      <c r="I280" s="2"/>
      <c r="K280" s="21">
        <v>0</v>
      </c>
      <c r="L280" s="21">
        <v>342367</v>
      </c>
      <c r="M280" s="21">
        <v>65050</v>
      </c>
      <c r="N280" s="21">
        <v>407417</v>
      </c>
      <c r="O280">
        <v>0</v>
      </c>
      <c r="P280">
        <v>0</v>
      </c>
      <c r="Q280">
        <v>0</v>
      </c>
      <c r="R280">
        <v>0</v>
      </c>
      <c r="S280">
        <v>0</v>
      </c>
      <c r="T280" t="s">
        <v>77</v>
      </c>
      <c r="U280">
        <v>0</v>
      </c>
      <c r="V280">
        <v>0</v>
      </c>
      <c r="W280">
        <v>0</v>
      </c>
      <c r="X280">
        <v>0</v>
      </c>
      <c r="Y280">
        <v>0</v>
      </c>
      <c r="AC280">
        <v>0</v>
      </c>
      <c r="AE280">
        <v>0</v>
      </c>
      <c r="AF280">
        <v>2</v>
      </c>
      <c r="AG280">
        <v>0</v>
      </c>
      <c r="AH280">
        <v>0</v>
      </c>
      <c r="AI280">
        <v>0</v>
      </c>
      <c r="AM280">
        <v>0</v>
      </c>
      <c r="AR280" t="s">
        <v>872</v>
      </c>
      <c r="AS280" t="s">
        <v>3792</v>
      </c>
      <c r="AT280">
        <v>6</v>
      </c>
    </row>
    <row r="281" spans="1:46">
      <c r="A281">
        <v>280</v>
      </c>
      <c r="B281">
        <v>33</v>
      </c>
      <c r="C281" t="s">
        <v>74</v>
      </c>
      <c r="D281" t="s">
        <v>731</v>
      </c>
      <c r="E281" t="s">
        <v>732</v>
      </c>
      <c r="F281">
        <v>53109</v>
      </c>
      <c r="G281" s="1" t="s">
        <v>706</v>
      </c>
      <c r="H281" s="2" t="s">
        <v>733</v>
      </c>
      <c r="K281" s="21">
        <v>0</v>
      </c>
      <c r="L281" s="21">
        <v>12522081</v>
      </c>
      <c r="M281" s="21">
        <v>2379195</v>
      </c>
      <c r="N281" s="21">
        <v>14901276</v>
      </c>
      <c r="O281">
        <v>0</v>
      </c>
      <c r="P281">
        <v>0</v>
      </c>
      <c r="Q281">
        <v>0</v>
      </c>
      <c r="R281">
        <v>0</v>
      </c>
      <c r="S281">
        <v>0</v>
      </c>
      <c r="T281" t="s">
        <v>77</v>
      </c>
      <c r="U281">
        <v>0</v>
      </c>
      <c r="V281">
        <v>0</v>
      </c>
      <c r="W281">
        <v>0</v>
      </c>
      <c r="X281">
        <v>0</v>
      </c>
      <c r="AC281">
        <v>0</v>
      </c>
      <c r="AE281">
        <v>0</v>
      </c>
      <c r="AF281">
        <v>2</v>
      </c>
      <c r="AG281">
        <v>0</v>
      </c>
      <c r="AH281">
        <v>0</v>
      </c>
      <c r="AI281">
        <v>0</v>
      </c>
      <c r="AM281">
        <v>0</v>
      </c>
      <c r="AR281" t="s">
        <v>872</v>
      </c>
      <c r="AS281" t="s">
        <v>3793</v>
      </c>
      <c r="AT281">
        <v>6</v>
      </c>
    </row>
    <row r="282" spans="1:46">
      <c r="A282">
        <v>281</v>
      </c>
      <c r="B282">
        <v>33</v>
      </c>
      <c r="C282" t="s">
        <v>74</v>
      </c>
      <c r="D282" t="s">
        <v>731</v>
      </c>
      <c r="E282" t="s">
        <v>732</v>
      </c>
      <c r="F282">
        <v>53110</v>
      </c>
      <c r="G282" s="1" t="s">
        <v>706</v>
      </c>
      <c r="H282" s="2" t="s">
        <v>734</v>
      </c>
      <c r="J282" t="s">
        <v>735</v>
      </c>
      <c r="K282" s="21">
        <v>0</v>
      </c>
      <c r="L282" s="21">
        <v>12427929</v>
      </c>
      <c r="M282" s="21">
        <v>2361306</v>
      </c>
      <c r="N282" s="21">
        <v>14789235</v>
      </c>
      <c r="O282">
        <v>0</v>
      </c>
      <c r="P282">
        <v>0</v>
      </c>
      <c r="Q282">
        <v>0</v>
      </c>
      <c r="R282">
        <v>0</v>
      </c>
      <c r="S282">
        <v>0</v>
      </c>
      <c r="T282" t="s">
        <v>77</v>
      </c>
      <c r="U282">
        <v>0</v>
      </c>
      <c r="V282">
        <v>0</v>
      </c>
      <c r="W282">
        <v>0</v>
      </c>
      <c r="X282">
        <v>0</v>
      </c>
      <c r="AC282">
        <v>0</v>
      </c>
      <c r="AE282">
        <v>0</v>
      </c>
      <c r="AF282">
        <v>2</v>
      </c>
      <c r="AG282">
        <v>0</v>
      </c>
      <c r="AH282">
        <v>0</v>
      </c>
      <c r="AI282">
        <v>0</v>
      </c>
      <c r="AM282">
        <v>0</v>
      </c>
      <c r="AR282" t="s">
        <v>872</v>
      </c>
      <c r="AS282" t="s">
        <v>3793</v>
      </c>
      <c r="AT282">
        <v>6</v>
      </c>
    </row>
    <row r="283" spans="1:46">
      <c r="A283">
        <v>282</v>
      </c>
      <c r="B283">
        <v>33</v>
      </c>
      <c r="C283" t="s">
        <v>74</v>
      </c>
      <c r="D283" t="s">
        <v>737</v>
      </c>
      <c r="E283" t="s">
        <v>738</v>
      </c>
      <c r="F283">
        <v>53111</v>
      </c>
      <c r="G283" s="1" t="s">
        <v>706</v>
      </c>
      <c r="H283" s="2" t="s">
        <v>739</v>
      </c>
      <c r="I283" s="2"/>
      <c r="K283" s="21">
        <v>0</v>
      </c>
      <c r="L283" s="21">
        <v>2291007</v>
      </c>
      <c r="M283" s="21">
        <v>435292</v>
      </c>
      <c r="N283" s="21">
        <v>2726299</v>
      </c>
      <c r="O283">
        <v>0</v>
      </c>
      <c r="P283">
        <v>0</v>
      </c>
      <c r="Q283">
        <v>0</v>
      </c>
      <c r="R283">
        <v>0</v>
      </c>
      <c r="S283">
        <v>0</v>
      </c>
      <c r="T283" t="s">
        <v>77</v>
      </c>
      <c r="U283">
        <v>0</v>
      </c>
      <c r="V283">
        <v>0</v>
      </c>
      <c r="W283">
        <v>0</v>
      </c>
      <c r="X283">
        <v>0</v>
      </c>
      <c r="AC283">
        <v>0</v>
      </c>
      <c r="AE283">
        <v>0</v>
      </c>
      <c r="AF283">
        <v>2</v>
      </c>
      <c r="AG283">
        <v>0</v>
      </c>
      <c r="AH283">
        <v>0</v>
      </c>
      <c r="AI283">
        <v>0</v>
      </c>
      <c r="AM283">
        <v>0</v>
      </c>
      <c r="AR283" t="s">
        <v>872</v>
      </c>
      <c r="AS283" t="s">
        <v>3794</v>
      </c>
      <c r="AT283">
        <v>6</v>
      </c>
    </row>
    <row r="284" spans="1:46">
      <c r="A284">
        <v>283</v>
      </c>
      <c r="B284">
        <v>33</v>
      </c>
      <c r="C284" t="s">
        <v>74</v>
      </c>
      <c r="D284" t="s">
        <v>371</v>
      </c>
      <c r="E284" t="s">
        <v>372</v>
      </c>
      <c r="F284">
        <v>53112</v>
      </c>
      <c r="G284" s="1" t="s">
        <v>706</v>
      </c>
      <c r="H284" s="2" t="s">
        <v>740</v>
      </c>
      <c r="I284" s="2"/>
      <c r="J284" s="2"/>
      <c r="K284" s="21">
        <v>0</v>
      </c>
      <c r="L284" s="21">
        <v>4079876</v>
      </c>
      <c r="M284" s="21">
        <v>775176</v>
      </c>
      <c r="N284" s="21">
        <v>4855052</v>
      </c>
      <c r="O284">
        <v>0</v>
      </c>
      <c r="P284">
        <v>0</v>
      </c>
      <c r="Q284">
        <v>0</v>
      </c>
      <c r="R284">
        <v>0</v>
      </c>
      <c r="S284">
        <v>0</v>
      </c>
      <c r="T284" t="s">
        <v>77</v>
      </c>
      <c r="U284">
        <v>0</v>
      </c>
      <c r="V284">
        <v>0</v>
      </c>
      <c r="W284">
        <v>0</v>
      </c>
      <c r="X284">
        <v>0</v>
      </c>
      <c r="AC284">
        <v>0</v>
      </c>
      <c r="AE284">
        <v>0</v>
      </c>
      <c r="AF284">
        <v>2</v>
      </c>
      <c r="AG284">
        <v>0</v>
      </c>
      <c r="AH284">
        <v>0</v>
      </c>
      <c r="AI284">
        <v>0</v>
      </c>
      <c r="AM284">
        <v>0</v>
      </c>
      <c r="AR284" t="s">
        <v>872</v>
      </c>
      <c r="AS284" t="s">
        <v>3784</v>
      </c>
      <c r="AT284">
        <v>6</v>
      </c>
    </row>
    <row r="285" spans="1:46">
      <c r="A285">
        <v>284</v>
      </c>
      <c r="B285">
        <v>33</v>
      </c>
      <c r="C285" t="s">
        <v>74</v>
      </c>
      <c r="D285" t="s">
        <v>93</v>
      </c>
      <c r="E285" t="s">
        <v>94</v>
      </c>
      <c r="F285">
        <v>53114</v>
      </c>
      <c r="G285" s="1" t="s">
        <v>706</v>
      </c>
      <c r="H285" s="2" t="s">
        <v>741</v>
      </c>
      <c r="I285" s="2"/>
      <c r="K285" s="21">
        <v>0</v>
      </c>
      <c r="L285" s="21">
        <v>7983151</v>
      </c>
      <c r="M285" s="21">
        <v>1516799</v>
      </c>
      <c r="N285" s="21">
        <v>9499950</v>
      </c>
      <c r="O285">
        <v>0</v>
      </c>
      <c r="P285">
        <v>0</v>
      </c>
      <c r="Q285">
        <v>0</v>
      </c>
      <c r="R285">
        <v>0</v>
      </c>
      <c r="S285">
        <v>0</v>
      </c>
      <c r="T285" t="s">
        <v>77</v>
      </c>
      <c r="U285">
        <v>0</v>
      </c>
      <c r="V285">
        <v>0</v>
      </c>
      <c r="W285">
        <v>0</v>
      </c>
      <c r="X285">
        <v>0</v>
      </c>
      <c r="AC285">
        <v>0</v>
      </c>
      <c r="AE285">
        <v>0</v>
      </c>
      <c r="AF285">
        <v>2</v>
      </c>
      <c r="AG285">
        <v>0</v>
      </c>
      <c r="AH285">
        <v>0</v>
      </c>
      <c r="AI285">
        <v>0</v>
      </c>
      <c r="AM285">
        <v>0</v>
      </c>
      <c r="AR285" t="s">
        <v>872</v>
      </c>
      <c r="AS285" t="s">
        <v>954</v>
      </c>
      <c r="AT285">
        <v>6</v>
      </c>
    </row>
    <row r="286" spans="1:46">
      <c r="A286">
        <v>285</v>
      </c>
      <c r="B286">
        <v>33</v>
      </c>
      <c r="C286" t="s">
        <v>74</v>
      </c>
      <c r="D286" t="s">
        <v>361</v>
      </c>
      <c r="E286" t="s">
        <v>362</v>
      </c>
      <c r="F286">
        <v>53115</v>
      </c>
      <c r="G286" s="1" t="s">
        <v>706</v>
      </c>
      <c r="H286" s="2" t="s">
        <v>742</v>
      </c>
      <c r="I286" s="2" t="s">
        <v>743</v>
      </c>
      <c r="K286" s="21">
        <v>0</v>
      </c>
      <c r="L286" s="21">
        <v>684734</v>
      </c>
      <c r="M286" s="21">
        <v>130099</v>
      </c>
      <c r="N286" s="21">
        <v>814833</v>
      </c>
      <c r="O286">
        <v>0</v>
      </c>
      <c r="P286">
        <v>0</v>
      </c>
      <c r="Q286">
        <v>0</v>
      </c>
      <c r="R286">
        <v>0</v>
      </c>
      <c r="S286">
        <v>0</v>
      </c>
      <c r="T286" t="s">
        <v>77</v>
      </c>
      <c r="U286">
        <v>0</v>
      </c>
      <c r="V286">
        <v>0</v>
      </c>
      <c r="W286">
        <v>0</v>
      </c>
      <c r="X286">
        <v>0</v>
      </c>
      <c r="AC286">
        <v>0</v>
      </c>
      <c r="AE286">
        <v>0</v>
      </c>
      <c r="AF286">
        <v>2</v>
      </c>
      <c r="AG286">
        <v>0</v>
      </c>
      <c r="AH286">
        <v>0</v>
      </c>
      <c r="AI286">
        <v>0</v>
      </c>
      <c r="AM286">
        <v>0</v>
      </c>
      <c r="AR286" t="s">
        <v>872</v>
      </c>
      <c r="AS286" t="s">
        <v>3791</v>
      </c>
      <c r="AT286">
        <v>6</v>
      </c>
    </row>
    <row r="287" spans="1:46">
      <c r="A287">
        <v>286</v>
      </c>
      <c r="B287">
        <v>33</v>
      </c>
      <c r="C287" t="s">
        <v>74</v>
      </c>
      <c r="D287" t="s">
        <v>93</v>
      </c>
      <c r="E287" t="s">
        <v>94</v>
      </c>
      <c r="F287">
        <v>53116</v>
      </c>
      <c r="G287" s="1" t="s">
        <v>706</v>
      </c>
      <c r="H287" s="2" t="s">
        <v>744</v>
      </c>
      <c r="I287" s="2"/>
      <c r="K287" s="21">
        <v>0</v>
      </c>
      <c r="L287" s="21">
        <v>2219681</v>
      </c>
      <c r="M287" s="21">
        <v>421739</v>
      </c>
      <c r="N287" s="21">
        <v>2641420</v>
      </c>
      <c r="O287">
        <v>0</v>
      </c>
      <c r="P287">
        <v>0</v>
      </c>
      <c r="Q287">
        <v>0</v>
      </c>
      <c r="R287">
        <v>0</v>
      </c>
      <c r="S287">
        <v>0</v>
      </c>
      <c r="T287" t="s">
        <v>77</v>
      </c>
      <c r="U287">
        <v>0</v>
      </c>
      <c r="V287">
        <v>0</v>
      </c>
      <c r="W287">
        <v>0</v>
      </c>
      <c r="X287">
        <v>0</v>
      </c>
      <c r="AC287">
        <v>0</v>
      </c>
      <c r="AE287">
        <v>0</v>
      </c>
      <c r="AF287">
        <v>2</v>
      </c>
      <c r="AG287">
        <v>0</v>
      </c>
      <c r="AH287">
        <v>0</v>
      </c>
      <c r="AI287">
        <v>0</v>
      </c>
      <c r="AM287">
        <v>0</v>
      </c>
      <c r="AR287" t="s">
        <v>872</v>
      </c>
      <c r="AS287" t="s">
        <v>954</v>
      </c>
      <c r="AT287">
        <v>6</v>
      </c>
    </row>
    <row r="288" spans="1:46">
      <c r="A288">
        <v>287</v>
      </c>
      <c r="B288">
        <v>33</v>
      </c>
      <c r="C288" t="s">
        <v>74</v>
      </c>
      <c r="D288" t="s">
        <v>745</v>
      </c>
      <c r="E288" t="s">
        <v>746</v>
      </c>
      <c r="F288">
        <v>53117</v>
      </c>
      <c r="G288" s="1" t="s">
        <v>706</v>
      </c>
      <c r="H288" s="2" t="s">
        <v>747</v>
      </c>
      <c r="I288" s="2">
        <v>45358.456793981481</v>
      </c>
      <c r="K288" s="21">
        <v>0</v>
      </c>
      <c r="L288" s="21">
        <v>5355764</v>
      </c>
      <c r="M288" s="21">
        <v>1017595</v>
      </c>
      <c r="N288" s="21">
        <v>6373359</v>
      </c>
      <c r="O288">
        <v>0</v>
      </c>
      <c r="P288">
        <v>0</v>
      </c>
      <c r="Q288">
        <v>0</v>
      </c>
      <c r="R288">
        <v>0</v>
      </c>
      <c r="S288">
        <v>0</v>
      </c>
      <c r="T288" t="s">
        <v>77</v>
      </c>
      <c r="U288">
        <v>0</v>
      </c>
      <c r="V288">
        <v>0</v>
      </c>
      <c r="W288">
        <v>0</v>
      </c>
      <c r="X288">
        <v>0</v>
      </c>
      <c r="AC288">
        <v>0</v>
      </c>
      <c r="AE288">
        <v>0</v>
      </c>
      <c r="AF288">
        <v>2</v>
      </c>
      <c r="AG288">
        <v>0</v>
      </c>
      <c r="AH288">
        <v>0</v>
      </c>
      <c r="AI288">
        <v>0</v>
      </c>
      <c r="AM288">
        <v>0</v>
      </c>
      <c r="AR288" t="s">
        <v>872</v>
      </c>
      <c r="AS288" t="s">
        <v>3795</v>
      </c>
      <c r="AT288">
        <v>6</v>
      </c>
    </row>
    <row r="289" spans="1:46">
      <c r="A289">
        <v>288</v>
      </c>
      <c r="B289">
        <v>33</v>
      </c>
      <c r="C289" t="s">
        <v>74</v>
      </c>
      <c r="D289" t="s">
        <v>375</v>
      </c>
      <c r="E289" t="s">
        <v>376</v>
      </c>
      <c r="F289">
        <v>53118</v>
      </c>
      <c r="G289" s="1" t="s">
        <v>706</v>
      </c>
      <c r="H289" s="2" t="s">
        <v>748</v>
      </c>
      <c r="I289" s="2">
        <v>45389.417129629626</v>
      </c>
      <c r="K289" s="21">
        <v>0</v>
      </c>
      <c r="L289" s="21">
        <v>713265</v>
      </c>
      <c r="M289" s="21">
        <v>135520</v>
      </c>
      <c r="N289" s="21">
        <v>848785</v>
      </c>
      <c r="O289">
        <v>0</v>
      </c>
      <c r="P289">
        <v>0</v>
      </c>
      <c r="Q289">
        <v>0</v>
      </c>
      <c r="R289">
        <v>0</v>
      </c>
      <c r="S289">
        <v>0</v>
      </c>
      <c r="T289" t="s">
        <v>77</v>
      </c>
      <c r="U289">
        <v>0</v>
      </c>
      <c r="V289">
        <v>0</v>
      </c>
      <c r="W289">
        <v>0</v>
      </c>
      <c r="X289">
        <v>0</v>
      </c>
      <c r="AC289">
        <v>0</v>
      </c>
      <c r="AE289">
        <v>0</v>
      </c>
      <c r="AF289">
        <v>2</v>
      </c>
      <c r="AG289">
        <v>0</v>
      </c>
      <c r="AH289">
        <v>0</v>
      </c>
      <c r="AI289">
        <v>0</v>
      </c>
      <c r="AM289">
        <v>0</v>
      </c>
      <c r="AR289" t="s">
        <v>872</v>
      </c>
      <c r="AS289" t="s">
        <v>3742</v>
      </c>
      <c r="AT289">
        <v>6</v>
      </c>
    </row>
    <row r="290" spans="1:46">
      <c r="A290">
        <v>289</v>
      </c>
      <c r="B290">
        <v>33</v>
      </c>
      <c r="C290" t="s">
        <v>74</v>
      </c>
      <c r="D290" t="s">
        <v>749</v>
      </c>
      <c r="E290" t="s">
        <v>750</v>
      </c>
      <c r="F290">
        <v>53113</v>
      </c>
      <c r="G290" s="1" t="s">
        <v>706</v>
      </c>
      <c r="H290" s="2" t="s">
        <v>751</v>
      </c>
      <c r="I290" s="2"/>
      <c r="K290" s="21">
        <v>0</v>
      </c>
      <c r="L290" s="21">
        <v>5617675</v>
      </c>
      <c r="M290" s="21">
        <v>1067358</v>
      </c>
      <c r="N290" s="21">
        <v>6685033</v>
      </c>
      <c r="O290">
        <v>0</v>
      </c>
      <c r="P290">
        <v>0</v>
      </c>
      <c r="Q290">
        <v>0</v>
      </c>
      <c r="R290">
        <v>0</v>
      </c>
      <c r="S290">
        <v>0</v>
      </c>
      <c r="T290" t="s">
        <v>77</v>
      </c>
      <c r="U290">
        <v>0</v>
      </c>
      <c r="V290">
        <v>0</v>
      </c>
      <c r="W290">
        <v>0</v>
      </c>
      <c r="X290">
        <v>0</v>
      </c>
      <c r="AC290">
        <v>0</v>
      </c>
      <c r="AE290">
        <v>0</v>
      </c>
      <c r="AF290">
        <v>2</v>
      </c>
      <c r="AG290">
        <v>0</v>
      </c>
      <c r="AH290">
        <v>0</v>
      </c>
      <c r="AI290">
        <v>0</v>
      </c>
      <c r="AM290">
        <v>0</v>
      </c>
      <c r="AR290" t="s">
        <v>872</v>
      </c>
      <c r="AS290" t="s">
        <v>3796</v>
      </c>
      <c r="AT290">
        <v>6</v>
      </c>
    </row>
    <row r="291" spans="1:46">
      <c r="A291">
        <v>290</v>
      </c>
      <c r="B291">
        <v>33</v>
      </c>
      <c r="C291" t="s">
        <v>74</v>
      </c>
      <c r="D291" t="s">
        <v>191</v>
      </c>
      <c r="E291" t="s">
        <v>192</v>
      </c>
      <c r="F291">
        <v>53119</v>
      </c>
      <c r="G291" s="1" t="s">
        <v>706</v>
      </c>
      <c r="H291" s="2" t="s">
        <v>752</v>
      </c>
      <c r="I291" s="2">
        <v>45358.432951388888</v>
      </c>
      <c r="K291" s="21">
        <v>0</v>
      </c>
      <c r="L291" s="21">
        <v>958952</v>
      </c>
      <c r="M291" s="21">
        <v>182200</v>
      </c>
      <c r="N291" s="21">
        <v>1141152</v>
      </c>
      <c r="O291">
        <v>0</v>
      </c>
      <c r="P291">
        <v>0</v>
      </c>
      <c r="Q291">
        <v>0</v>
      </c>
      <c r="R291">
        <v>0</v>
      </c>
      <c r="S291">
        <v>0</v>
      </c>
      <c r="T291" t="s">
        <v>77</v>
      </c>
      <c r="U291">
        <v>0</v>
      </c>
      <c r="V291">
        <v>0</v>
      </c>
      <c r="W291">
        <v>0</v>
      </c>
      <c r="X291">
        <v>0</v>
      </c>
      <c r="AC291">
        <v>0</v>
      </c>
      <c r="AE291">
        <v>0</v>
      </c>
      <c r="AF291">
        <v>2</v>
      </c>
      <c r="AG291">
        <v>0</v>
      </c>
      <c r="AH291">
        <v>0</v>
      </c>
      <c r="AI291">
        <v>0</v>
      </c>
      <c r="AM291">
        <v>0</v>
      </c>
      <c r="AR291" t="s">
        <v>872</v>
      </c>
      <c r="AS291" t="s">
        <v>1031</v>
      </c>
      <c r="AT291">
        <v>6</v>
      </c>
    </row>
    <row r="292" spans="1:46">
      <c r="A292">
        <v>291</v>
      </c>
      <c r="B292">
        <v>33</v>
      </c>
      <c r="C292" t="s">
        <v>74</v>
      </c>
      <c r="D292" t="s">
        <v>274</v>
      </c>
      <c r="E292" t="s">
        <v>275</v>
      </c>
      <c r="F292">
        <v>53120</v>
      </c>
      <c r="G292" s="1" t="s">
        <v>706</v>
      </c>
      <c r="H292" s="2" t="s">
        <v>753</v>
      </c>
      <c r="I292" s="2"/>
      <c r="K292" s="21">
        <v>0</v>
      </c>
      <c r="L292" s="21">
        <v>20028</v>
      </c>
      <c r="M292" s="21">
        <v>3805</v>
      </c>
      <c r="N292" s="21">
        <v>23833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77</v>
      </c>
      <c r="U292">
        <v>0</v>
      </c>
      <c r="V292">
        <v>0</v>
      </c>
      <c r="W292">
        <v>0</v>
      </c>
      <c r="X292">
        <v>0</v>
      </c>
      <c r="AC292">
        <v>0</v>
      </c>
      <c r="AE292">
        <v>0</v>
      </c>
      <c r="AF292">
        <v>2</v>
      </c>
      <c r="AG292">
        <v>0</v>
      </c>
      <c r="AH292">
        <v>0</v>
      </c>
      <c r="AI292">
        <v>0</v>
      </c>
      <c r="AM292">
        <v>0</v>
      </c>
      <c r="AR292" t="s">
        <v>872</v>
      </c>
      <c r="AS292" t="s">
        <v>1043</v>
      </c>
      <c r="AT292">
        <v>6</v>
      </c>
    </row>
    <row r="293" spans="1:46">
      <c r="A293">
        <v>292</v>
      </c>
      <c r="B293">
        <v>33</v>
      </c>
      <c r="C293" t="s">
        <v>74</v>
      </c>
      <c r="D293" t="s">
        <v>274</v>
      </c>
      <c r="E293" t="s">
        <v>275</v>
      </c>
      <c r="F293">
        <v>53121</v>
      </c>
      <c r="G293" s="1" t="s">
        <v>706</v>
      </c>
      <c r="H293" s="2" t="s">
        <v>754</v>
      </c>
      <c r="I293" s="2"/>
      <c r="K293" s="21">
        <v>0</v>
      </c>
      <c r="L293" s="21">
        <v>1566796</v>
      </c>
      <c r="M293" s="21">
        <v>297691</v>
      </c>
      <c r="N293" s="21">
        <v>1864487</v>
      </c>
      <c r="O293">
        <v>0</v>
      </c>
      <c r="P293">
        <v>0</v>
      </c>
      <c r="Q293">
        <v>0</v>
      </c>
      <c r="R293">
        <v>0</v>
      </c>
      <c r="S293">
        <v>0</v>
      </c>
      <c r="T293" t="s">
        <v>77</v>
      </c>
      <c r="U293">
        <v>0</v>
      </c>
      <c r="V293">
        <v>0</v>
      </c>
      <c r="W293">
        <v>0</v>
      </c>
      <c r="X293">
        <v>0</v>
      </c>
      <c r="AC293">
        <v>0</v>
      </c>
      <c r="AE293">
        <v>0</v>
      </c>
      <c r="AF293">
        <v>2</v>
      </c>
      <c r="AG293">
        <v>0</v>
      </c>
      <c r="AH293">
        <v>0</v>
      </c>
      <c r="AI293">
        <v>0</v>
      </c>
      <c r="AM293">
        <v>0</v>
      </c>
      <c r="AR293" t="s">
        <v>872</v>
      </c>
      <c r="AS293" t="s">
        <v>1043</v>
      </c>
      <c r="AT293">
        <v>6</v>
      </c>
    </row>
    <row r="294" spans="1:46">
      <c r="A294">
        <v>293</v>
      </c>
      <c r="B294">
        <v>33</v>
      </c>
      <c r="C294" t="s">
        <v>74</v>
      </c>
      <c r="D294" t="s">
        <v>274</v>
      </c>
      <c r="E294" t="s">
        <v>275</v>
      </c>
      <c r="F294">
        <v>53122</v>
      </c>
      <c r="G294" s="1" t="s">
        <v>706</v>
      </c>
      <c r="H294" s="2" t="s">
        <v>755</v>
      </c>
      <c r="I294" s="2"/>
      <c r="K294" s="21">
        <v>0</v>
      </c>
      <c r="L294" s="21">
        <v>1335384</v>
      </c>
      <c r="M294" s="21">
        <v>253723</v>
      </c>
      <c r="N294" s="21">
        <v>1589107</v>
      </c>
      <c r="O294">
        <v>0</v>
      </c>
      <c r="P294">
        <v>0</v>
      </c>
      <c r="Q294">
        <v>0</v>
      </c>
      <c r="R294">
        <v>0</v>
      </c>
      <c r="S294">
        <v>0</v>
      </c>
      <c r="T294" t="s">
        <v>77</v>
      </c>
      <c r="U294">
        <v>0</v>
      </c>
      <c r="V294">
        <v>0</v>
      </c>
      <c r="W294">
        <v>0</v>
      </c>
      <c r="X294">
        <v>0</v>
      </c>
      <c r="AC294">
        <v>0</v>
      </c>
      <c r="AE294">
        <v>0</v>
      </c>
      <c r="AF294">
        <v>2</v>
      </c>
      <c r="AG294">
        <v>0</v>
      </c>
      <c r="AH294">
        <v>0</v>
      </c>
      <c r="AI294">
        <v>0</v>
      </c>
      <c r="AM294">
        <v>0</v>
      </c>
      <c r="AR294" t="s">
        <v>872</v>
      </c>
      <c r="AS294" t="s">
        <v>1043</v>
      </c>
      <c r="AT294">
        <v>6</v>
      </c>
    </row>
    <row r="295" spans="1:46">
      <c r="A295">
        <v>294</v>
      </c>
      <c r="B295">
        <v>33</v>
      </c>
      <c r="C295" t="s">
        <v>74</v>
      </c>
      <c r="D295" t="s">
        <v>286</v>
      </c>
      <c r="E295" t="s">
        <v>287</v>
      </c>
      <c r="F295">
        <v>53123</v>
      </c>
      <c r="G295" s="1" t="s">
        <v>706</v>
      </c>
      <c r="H295" s="2" t="s">
        <v>756</v>
      </c>
      <c r="I295" s="2"/>
      <c r="J295" s="2"/>
      <c r="K295" s="21">
        <v>0</v>
      </c>
      <c r="L295" s="21">
        <v>6038108</v>
      </c>
      <c r="M295" s="21">
        <v>1147240</v>
      </c>
      <c r="N295" s="21">
        <v>7185348</v>
      </c>
      <c r="O295">
        <v>0</v>
      </c>
      <c r="P295">
        <v>0</v>
      </c>
      <c r="Q295">
        <v>0</v>
      </c>
      <c r="R295">
        <v>0</v>
      </c>
      <c r="S295">
        <v>0</v>
      </c>
      <c r="T295" t="s">
        <v>77</v>
      </c>
      <c r="U295">
        <v>0</v>
      </c>
      <c r="V295">
        <v>0</v>
      </c>
      <c r="W295">
        <v>0</v>
      </c>
      <c r="X295">
        <v>0</v>
      </c>
      <c r="AC295">
        <v>0</v>
      </c>
      <c r="AE295">
        <v>0</v>
      </c>
      <c r="AF295">
        <v>2</v>
      </c>
      <c r="AG295">
        <v>0</v>
      </c>
      <c r="AH295">
        <v>0</v>
      </c>
      <c r="AI295">
        <v>0</v>
      </c>
      <c r="AM295">
        <v>0</v>
      </c>
      <c r="AR295" t="s">
        <v>872</v>
      </c>
      <c r="AS295" t="s">
        <v>3769</v>
      </c>
      <c r="AT295">
        <v>6</v>
      </c>
    </row>
    <row r="296" spans="1:46">
      <c r="A296">
        <v>295</v>
      </c>
      <c r="B296">
        <v>33</v>
      </c>
      <c r="C296" t="s">
        <v>74</v>
      </c>
      <c r="D296" t="s">
        <v>286</v>
      </c>
      <c r="E296" t="s">
        <v>287</v>
      </c>
      <c r="F296">
        <v>53124</v>
      </c>
      <c r="G296" s="1" t="s">
        <v>706</v>
      </c>
      <c r="H296" s="2" t="s">
        <v>757</v>
      </c>
      <c r="I296" s="2"/>
      <c r="K296" s="21">
        <v>0</v>
      </c>
      <c r="L296" s="21">
        <v>2125385</v>
      </c>
      <c r="M296" s="21">
        <v>403823</v>
      </c>
      <c r="N296" s="21">
        <v>2529208</v>
      </c>
      <c r="O296">
        <v>0</v>
      </c>
      <c r="P296">
        <v>0</v>
      </c>
      <c r="Q296">
        <v>0</v>
      </c>
      <c r="R296">
        <v>0</v>
      </c>
      <c r="S296">
        <v>0</v>
      </c>
      <c r="T296" t="s">
        <v>77</v>
      </c>
      <c r="U296">
        <v>0</v>
      </c>
      <c r="V296">
        <v>0</v>
      </c>
      <c r="W296">
        <v>0</v>
      </c>
      <c r="X296">
        <v>0</v>
      </c>
      <c r="AC296">
        <v>0</v>
      </c>
      <c r="AE296">
        <v>0</v>
      </c>
      <c r="AF296">
        <v>2</v>
      </c>
      <c r="AG296">
        <v>0</v>
      </c>
      <c r="AH296">
        <v>0</v>
      </c>
      <c r="AI296">
        <v>0</v>
      </c>
      <c r="AM296">
        <v>0</v>
      </c>
      <c r="AR296" t="s">
        <v>872</v>
      </c>
      <c r="AS296" t="s">
        <v>3769</v>
      </c>
      <c r="AT296">
        <v>6</v>
      </c>
    </row>
    <row r="297" spans="1:46">
      <c r="A297">
        <v>296</v>
      </c>
      <c r="B297">
        <v>33</v>
      </c>
      <c r="C297" t="s">
        <v>74</v>
      </c>
      <c r="D297" t="s">
        <v>758</v>
      </c>
      <c r="E297" t="s">
        <v>759</v>
      </c>
      <c r="F297">
        <v>53125</v>
      </c>
      <c r="G297" s="1" t="s">
        <v>706</v>
      </c>
      <c r="H297" s="2">
        <v>45329.410902777781</v>
      </c>
      <c r="I297" s="2">
        <v>45389.380682870367</v>
      </c>
      <c r="J297" s="2"/>
      <c r="K297" s="21">
        <v>0</v>
      </c>
      <c r="L297" s="21">
        <v>12522081</v>
      </c>
      <c r="M297" s="21">
        <v>2379195</v>
      </c>
      <c r="N297" s="21">
        <v>14901276</v>
      </c>
      <c r="O297">
        <v>0</v>
      </c>
      <c r="P297">
        <v>0</v>
      </c>
      <c r="Q297">
        <v>0</v>
      </c>
      <c r="R297">
        <v>0</v>
      </c>
      <c r="S297">
        <v>0</v>
      </c>
      <c r="T297" t="s">
        <v>77</v>
      </c>
      <c r="U297">
        <v>0</v>
      </c>
      <c r="V297">
        <v>0</v>
      </c>
      <c r="W297">
        <v>0</v>
      </c>
      <c r="X297">
        <v>0</v>
      </c>
      <c r="AC297">
        <v>0</v>
      </c>
      <c r="AE297">
        <v>0</v>
      </c>
      <c r="AF297">
        <v>2</v>
      </c>
      <c r="AG297">
        <v>0</v>
      </c>
      <c r="AH297">
        <v>0</v>
      </c>
      <c r="AI297">
        <v>0</v>
      </c>
      <c r="AM297">
        <v>0</v>
      </c>
      <c r="AR297" t="s">
        <v>872</v>
      </c>
      <c r="AS297" t="s">
        <v>3797</v>
      </c>
      <c r="AT297">
        <v>6</v>
      </c>
    </row>
    <row r="298" spans="1:46">
      <c r="A298">
        <v>297</v>
      </c>
      <c r="B298">
        <v>34</v>
      </c>
      <c r="C298" t="s">
        <v>74</v>
      </c>
      <c r="D298" t="s">
        <v>113</v>
      </c>
      <c r="E298" t="s">
        <v>114</v>
      </c>
      <c r="F298">
        <v>3069</v>
      </c>
      <c r="G298" s="1">
        <v>45453</v>
      </c>
      <c r="H298" s="2">
        <v>45571.707060185188</v>
      </c>
      <c r="I298" s="2"/>
      <c r="K298" s="21">
        <v>2970562</v>
      </c>
      <c r="L298" s="21">
        <v>0</v>
      </c>
      <c r="M298" s="21">
        <v>0</v>
      </c>
      <c r="N298" s="21">
        <v>2970562</v>
      </c>
      <c r="O298">
        <v>0</v>
      </c>
      <c r="P298">
        <v>0</v>
      </c>
      <c r="Q298">
        <v>0</v>
      </c>
      <c r="R298">
        <v>0</v>
      </c>
      <c r="S298">
        <v>0</v>
      </c>
      <c r="T298" t="s">
        <v>77</v>
      </c>
      <c r="U298">
        <v>0</v>
      </c>
      <c r="V298">
        <v>0</v>
      </c>
      <c r="W298">
        <v>0</v>
      </c>
      <c r="X298">
        <v>0</v>
      </c>
      <c r="AC298">
        <v>0</v>
      </c>
      <c r="AE298">
        <v>0</v>
      </c>
      <c r="AF298">
        <v>2</v>
      </c>
      <c r="AG298">
        <v>0</v>
      </c>
      <c r="AH298">
        <v>0</v>
      </c>
      <c r="AI298">
        <v>0</v>
      </c>
      <c r="AM298">
        <v>0</v>
      </c>
      <c r="AR298" t="s">
        <v>880</v>
      </c>
      <c r="AS298" t="s">
        <v>978</v>
      </c>
      <c r="AT298">
        <v>6</v>
      </c>
    </row>
    <row r="299" spans="1:46">
      <c r="A299">
        <v>298</v>
      </c>
      <c r="B299">
        <v>61</v>
      </c>
      <c r="C299" t="s">
        <v>74</v>
      </c>
      <c r="D299" t="s">
        <v>272</v>
      </c>
      <c r="E299" t="s">
        <v>273</v>
      </c>
      <c r="F299">
        <v>4287</v>
      </c>
      <c r="G299" s="1">
        <v>45449</v>
      </c>
      <c r="H299" s="2">
        <v>45449.474664351852</v>
      </c>
      <c r="I299" s="2"/>
      <c r="K299" s="21">
        <v>0</v>
      </c>
      <c r="L299" s="21">
        <v>-7270401</v>
      </c>
      <c r="M299" s="21">
        <v>-1381377</v>
      </c>
      <c r="N299" s="21">
        <v>-8651778</v>
      </c>
      <c r="O299">
        <v>0</v>
      </c>
      <c r="P299">
        <v>0</v>
      </c>
      <c r="Q299">
        <v>0</v>
      </c>
      <c r="R299">
        <v>0</v>
      </c>
      <c r="S299">
        <v>0</v>
      </c>
      <c r="T299" t="s">
        <v>77</v>
      </c>
      <c r="U299">
        <v>0</v>
      </c>
      <c r="V299">
        <v>0</v>
      </c>
      <c r="W299">
        <v>0</v>
      </c>
      <c r="X299">
        <v>0</v>
      </c>
      <c r="Y299">
        <v>33</v>
      </c>
      <c r="Z299">
        <v>52828</v>
      </c>
      <c r="AC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M299">
        <v>0</v>
      </c>
      <c r="AR299" t="s">
        <v>881</v>
      </c>
      <c r="AS299" t="s">
        <v>399</v>
      </c>
      <c r="AT299">
        <v>6</v>
      </c>
    </row>
    <row r="300" spans="1:46">
      <c r="A300">
        <v>299</v>
      </c>
      <c r="B300">
        <v>61</v>
      </c>
      <c r="C300" t="s">
        <v>74</v>
      </c>
      <c r="D300" t="s">
        <v>81</v>
      </c>
      <c r="E300" t="s">
        <v>82</v>
      </c>
      <c r="F300">
        <v>4288</v>
      </c>
      <c r="G300" s="1">
        <v>45449</v>
      </c>
      <c r="H300" s="2">
        <v>45449.486539351848</v>
      </c>
      <c r="I300" s="2">
        <v>45602.60434027778</v>
      </c>
      <c r="K300" s="21">
        <v>0</v>
      </c>
      <c r="L300" s="21">
        <v>-5843290</v>
      </c>
      <c r="M300" s="21">
        <v>-1110225</v>
      </c>
      <c r="N300" s="21">
        <v>-6953515</v>
      </c>
      <c r="O300">
        <v>0</v>
      </c>
      <c r="P300">
        <v>0</v>
      </c>
      <c r="Q300">
        <v>0</v>
      </c>
      <c r="R300">
        <v>0</v>
      </c>
      <c r="S300">
        <v>0</v>
      </c>
      <c r="T300" t="s">
        <v>77</v>
      </c>
      <c r="U300">
        <v>0</v>
      </c>
      <c r="V300">
        <v>0</v>
      </c>
      <c r="W300">
        <v>0</v>
      </c>
      <c r="X300">
        <v>0</v>
      </c>
      <c r="Y300">
        <v>33</v>
      </c>
      <c r="Z300">
        <v>52861</v>
      </c>
      <c r="AC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M300">
        <v>0</v>
      </c>
      <c r="AR300" t="s">
        <v>881</v>
      </c>
      <c r="AS300" t="s">
        <v>408</v>
      </c>
      <c r="AT300">
        <v>6</v>
      </c>
    </row>
    <row r="301" spans="1:46">
      <c r="A301">
        <v>300</v>
      </c>
      <c r="B301">
        <v>61</v>
      </c>
      <c r="C301" t="s">
        <v>74</v>
      </c>
      <c r="D301" t="s">
        <v>252</v>
      </c>
      <c r="E301" t="s">
        <v>253</v>
      </c>
      <c r="F301">
        <v>4289</v>
      </c>
      <c r="G301" s="1">
        <v>45449</v>
      </c>
      <c r="H301" s="2">
        <v>45449.645046296297</v>
      </c>
      <c r="I301" s="2"/>
      <c r="K301" s="21">
        <v>0</v>
      </c>
      <c r="L301" s="21">
        <v>-5948510</v>
      </c>
      <c r="M301" s="21">
        <v>-1130217</v>
      </c>
      <c r="N301" s="21">
        <v>-7078727</v>
      </c>
      <c r="O301">
        <v>0</v>
      </c>
      <c r="P301">
        <v>0</v>
      </c>
      <c r="Q301">
        <v>0</v>
      </c>
      <c r="R301">
        <v>0</v>
      </c>
      <c r="S301">
        <v>0</v>
      </c>
      <c r="T301" t="s">
        <v>77</v>
      </c>
      <c r="U301">
        <v>0</v>
      </c>
      <c r="V301">
        <v>0</v>
      </c>
      <c r="W301">
        <v>0</v>
      </c>
      <c r="X301">
        <v>0</v>
      </c>
      <c r="Y301">
        <v>33</v>
      </c>
      <c r="Z301">
        <v>52826</v>
      </c>
      <c r="AC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M301">
        <v>0</v>
      </c>
      <c r="AR301" t="s">
        <v>881</v>
      </c>
      <c r="AS301" t="s">
        <v>398</v>
      </c>
      <c r="AT301">
        <v>6</v>
      </c>
    </row>
    <row r="302" spans="1:46">
      <c r="A302">
        <v>301</v>
      </c>
      <c r="B302">
        <v>61</v>
      </c>
      <c r="C302" t="s">
        <v>74</v>
      </c>
      <c r="D302" t="s">
        <v>280</v>
      </c>
      <c r="E302" t="s">
        <v>281</v>
      </c>
      <c r="F302">
        <v>4290</v>
      </c>
      <c r="G302" s="1">
        <v>45450</v>
      </c>
      <c r="H302" s="2">
        <v>45479.591331018521</v>
      </c>
      <c r="K302" s="21">
        <v>0</v>
      </c>
      <c r="L302" s="21">
        <v>-1123607</v>
      </c>
      <c r="M302" s="21">
        <v>-213486</v>
      </c>
      <c r="N302" s="21">
        <v>-1337093</v>
      </c>
      <c r="O302">
        <v>0</v>
      </c>
      <c r="P302">
        <v>0</v>
      </c>
      <c r="Q302">
        <v>0</v>
      </c>
      <c r="R302">
        <v>0</v>
      </c>
      <c r="S302">
        <v>0</v>
      </c>
      <c r="T302" t="s">
        <v>77</v>
      </c>
      <c r="U302">
        <v>0</v>
      </c>
      <c r="V302">
        <v>0</v>
      </c>
      <c r="W302">
        <v>0</v>
      </c>
      <c r="X302">
        <v>0</v>
      </c>
      <c r="Y302">
        <v>33</v>
      </c>
      <c r="Z302">
        <v>52811</v>
      </c>
      <c r="AC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M302">
        <v>0</v>
      </c>
      <c r="AR302" t="s">
        <v>881</v>
      </c>
      <c r="AS302" t="s">
        <v>397</v>
      </c>
      <c r="AT302">
        <v>6</v>
      </c>
    </row>
    <row r="303" spans="1:46">
      <c r="A303">
        <v>302</v>
      </c>
      <c r="B303">
        <v>61</v>
      </c>
      <c r="C303" t="s">
        <v>74</v>
      </c>
      <c r="D303" t="s">
        <v>218</v>
      </c>
      <c r="E303" t="s">
        <v>219</v>
      </c>
      <c r="F303">
        <v>4291</v>
      </c>
      <c r="G303" s="1" t="s">
        <v>443</v>
      </c>
      <c r="H303" s="2" t="s">
        <v>760</v>
      </c>
      <c r="I303" s="2"/>
      <c r="K303" s="21">
        <v>0</v>
      </c>
      <c r="L303" s="21">
        <v>-2063067</v>
      </c>
      <c r="M303" s="21">
        <v>-391983</v>
      </c>
      <c r="N303" s="21">
        <v>-2455050</v>
      </c>
      <c r="O303">
        <v>0</v>
      </c>
      <c r="P303">
        <v>0</v>
      </c>
      <c r="Q303">
        <v>0</v>
      </c>
      <c r="R303">
        <v>0</v>
      </c>
      <c r="S303">
        <v>0</v>
      </c>
      <c r="T303" t="s">
        <v>77</v>
      </c>
      <c r="U303">
        <v>0</v>
      </c>
      <c r="V303">
        <v>0</v>
      </c>
      <c r="W303">
        <v>0</v>
      </c>
      <c r="X303">
        <v>0</v>
      </c>
      <c r="Y303">
        <v>33</v>
      </c>
      <c r="Z303">
        <v>52835</v>
      </c>
      <c r="AC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M303">
        <v>0</v>
      </c>
      <c r="AR303" t="s">
        <v>881</v>
      </c>
      <c r="AS303" t="s">
        <v>402</v>
      </c>
      <c r="AT303">
        <v>6</v>
      </c>
    </row>
    <row r="304" spans="1:46">
      <c r="A304">
        <v>303</v>
      </c>
      <c r="B304">
        <v>61</v>
      </c>
      <c r="C304" t="s">
        <v>74</v>
      </c>
      <c r="D304" t="s">
        <v>115</v>
      </c>
      <c r="E304" t="s">
        <v>116</v>
      </c>
      <c r="F304">
        <v>4292</v>
      </c>
      <c r="G304" s="1" t="s">
        <v>478</v>
      </c>
      <c r="H304" s="2" t="s">
        <v>761</v>
      </c>
      <c r="K304" s="21">
        <v>0</v>
      </c>
      <c r="L304" s="21">
        <v>-7817335</v>
      </c>
      <c r="M304" s="21">
        <v>-1485294</v>
      </c>
      <c r="N304" s="21">
        <v>-9302629</v>
      </c>
      <c r="O304">
        <v>0</v>
      </c>
      <c r="P304">
        <v>0</v>
      </c>
      <c r="Q304">
        <v>0</v>
      </c>
      <c r="R304">
        <v>0</v>
      </c>
      <c r="S304">
        <v>0</v>
      </c>
      <c r="T304" t="s">
        <v>77</v>
      </c>
      <c r="U304">
        <v>0</v>
      </c>
      <c r="V304">
        <v>0</v>
      </c>
      <c r="W304">
        <v>0</v>
      </c>
      <c r="X304">
        <v>0</v>
      </c>
      <c r="Y304">
        <v>33</v>
      </c>
      <c r="Z304">
        <v>52562</v>
      </c>
      <c r="AC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M304">
        <v>0</v>
      </c>
      <c r="AR304" t="s">
        <v>881</v>
      </c>
      <c r="AS304" t="s">
        <v>391</v>
      </c>
      <c r="AT304">
        <v>6</v>
      </c>
    </row>
    <row r="305" spans="1:46">
      <c r="A305">
        <v>304</v>
      </c>
      <c r="B305">
        <v>61</v>
      </c>
      <c r="C305" t="s">
        <v>74</v>
      </c>
      <c r="D305" t="s">
        <v>187</v>
      </c>
      <c r="E305" t="s">
        <v>188</v>
      </c>
      <c r="F305">
        <v>4293</v>
      </c>
      <c r="G305" s="1" t="s">
        <v>498</v>
      </c>
      <c r="H305" s="2" t="s">
        <v>762</v>
      </c>
      <c r="I305" s="2"/>
      <c r="K305" s="21">
        <v>0</v>
      </c>
      <c r="L305" s="21">
        <v>-26942041</v>
      </c>
      <c r="M305" s="21">
        <v>-5118988</v>
      </c>
      <c r="N305" s="21">
        <v>-32061029</v>
      </c>
      <c r="O305">
        <v>0</v>
      </c>
      <c r="P305">
        <v>0</v>
      </c>
      <c r="Q305">
        <v>0</v>
      </c>
      <c r="R305">
        <v>0</v>
      </c>
      <c r="S305">
        <v>0</v>
      </c>
      <c r="T305" t="s">
        <v>77</v>
      </c>
      <c r="U305">
        <v>0</v>
      </c>
      <c r="V305">
        <v>0</v>
      </c>
      <c r="W305">
        <v>0</v>
      </c>
      <c r="X305">
        <v>0</v>
      </c>
      <c r="Y305">
        <v>33</v>
      </c>
      <c r="Z305">
        <v>52936</v>
      </c>
      <c r="AC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M305">
        <v>0</v>
      </c>
      <c r="AR305" t="s">
        <v>881</v>
      </c>
      <c r="AS305" t="s">
        <v>453</v>
      </c>
      <c r="AT305">
        <v>6</v>
      </c>
    </row>
    <row r="306" spans="1:46">
      <c r="A306">
        <v>305</v>
      </c>
      <c r="B306">
        <v>61</v>
      </c>
      <c r="C306" t="s">
        <v>74</v>
      </c>
      <c r="D306" t="s">
        <v>167</v>
      </c>
      <c r="E306" t="s">
        <v>168</v>
      </c>
      <c r="F306">
        <v>4294</v>
      </c>
      <c r="G306" s="1" t="s">
        <v>498</v>
      </c>
      <c r="H306" s="2" t="s">
        <v>763</v>
      </c>
      <c r="I306" s="2"/>
      <c r="K306" s="21">
        <v>0</v>
      </c>
      <c r="L306" s="21">
        <v>-5273838</v>
      </c>
      <c r="M306" s="21">
        <v>-1002029</v>
      </c>
      <c r="N306" s="21">
        <v>-6275867</v>
      </c>
      <c r="O306">
        <v>0</v>
      </c>
      <c r="P306">
        <v>0</v>
      </c>
      <c r="Q306">
        <v>0</v>
      </c>
      <c r="R306">
        <v>0</v>
      </c>
      <c r="S306">
        <v>0</v>
      </c>
      <c r="T306" t="s">
        <v>77</v>
      </c>
      <c r="U306">
        <v>0</v>
      </c>
      <c r="V306">
        <v>0</v>
      </c>
      <c r="W306">
        <v>0</v>
      </c>
      <c r="X306">
        <v>0</v>
      </c>
      <c r="Y306">
        <v>33</v>
      </c>
      <c r="Z306">
        <v>52930</v>
      </c>
      <c r="AC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M306">
        <v>0</v>
      </c>
      <c r="AR306" t="s">
        <v>881</v>
      </c>
      <c r="AS306" t="s">
        <v>439</v>
      </c>
      <c r="AT306">
        <v>6</v>
      </c>
    </row>
    <row r="307" spans="1:46">
      <c r="A307">
        <v>306</v>
      </c>
      <c r="B307">
        <v>61</v>
      </c>
      <c r="C307" t="s">
        <v>74</v>
      </c>
      <c r="D307" t="s">
        <v>286</v>
      </c>
      <c r="E307" t="s">
        <v>287</v>
      </c>
      <c r="F307">
        <v>4295</v>
      </c>
      <c r="G307" s="1" t="s">
        <v>498</v>
      </c>
      <c r="H307" s="2" t="s">
        <v>764</v>
      </c>
      <c r="I307" s="2"/>
      <c r="J307" s="2" t="s">
        <v>486</v>
      </c>
      <c r="K307" s="21">
        <v>0</v>
      </c>
      <c r="L307" s="21">
        <v>-5359815</v>
      </c>
      <c r="M307" s="21">
        <v>-1018365</v>
      </c>
      <c r="N307" s="21">
        <v>-6378180</v>
      </c>
      <c r="O307">
        <v>0</v>
      </c>
      <c r="P307">
        <v>0</v>
      </c>
      <c r="Q307">
        <v>0</v>
      </c>
      <c r="R307">
        <v>0</v>
      </c>
      <c r="S307">
        <v>0</v>
      </c>
      <c r="T307" t="s">
        <v>77</v>
      </c>
      <c r="U307">
        <v>0</v>
      </c>
      <c r="V307">
        <v>0</v>
      </c>
      <c r="W307">
        <v>0</v>
      </c>
      <c r="X307">
        <v>0</v>
      </c>
      <c r="Y307">
        <v>33</v>
      </c>
      <c r="Z307">
        <v>52958</v>
      </c>
      <c r="AC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M307">
        <v>0</v>
      </c>
      <c r="AR307" t="s">
        <v>881</v>
      </c>
      <c r="AS307" t="s">
        <v>487</v>
      </c>
      <c r="AT307">
        <v>6</v>
      </c>
    </row>
    <row r="308" spans="1:46">
      <c r="A308">
        <v>307</v>
      </c>
      <c r="B308">
        <v>61</v>
      </c>
      <c r="C308" t="s">
        <v>74</v>
      </c>
      <c r="D308" t="s">
        <v>347</v>
      </c>
      <c r="E308" t="s">
        <v>348</v>
      </c>
      <c r="F308">
        <v>4296</v>
      </c>
      <c r="G308" s="1" t="s">
        <v>597</v>
      </c>
      <c r="H308" s="2" t="s">
        <v>765</v>
      </c>
      <c r="I308" s="2"/>
      <c r="J308" t="s">
        <v>635</v>
      </c>
      <c r="K308" s="21">
        <v>0</v>
      </c>
      <c r="L308" s="21">
        <v>-31493997</v>
      </c>
      <c r="M308" s="21">
        <v>-5983859</v>
      </c>
      <c r="N308" s="21">
        <v>-37477856</v>
      </c>
      <c r="O308">
        <v>0</v>
      </c>
      <c r="P308">
        <v>0</v>
      </c>
      <c r="Q308">
        <v>0</v>
      </c>
      <c r="R308">
        <v>0</v>
      </c>
      <c r="S308">
        <v>0</v>
      </c>
      <c r="T308" t="s">
        <v>77</v>
      </c>
      <c r="U308">
        <v>0</v>
      </c>
      <c r="V308">
        <v>0</v>
      </c>
      <c r="W308">
        <v>0</v>
      </c>
      <c r="X308">
        <v>0</v>
      </c>
      <c r="Y308">
        <v>33</v>
      </c>
      <c r="Z308">
        <v>53050</v>
      </c>
      <c r="AC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M308">
        <v>0</v>
      </c>
      <c r="AR308" t="s">
        <v>881</v>
      </c>
      <c r="AS308" t="s">
        <v>636</v>
      </c>
      <c r="AT308">
        <v>6</v>
      </c>
    </row>
    <row r="309" spans="1:46">
      <c r="A309">
        <v>308</v>
      </c>
      <c r="B309">
        <v>61</v>
      </c>
      <c r="C309" t="s">
        <v>74</v>
      </c>
      <c r="D309" t="s">
        <v>592</v>
      </c>
      <c r="E309" t="s">
        <v>593</v>
      </c>
      <c r="F309">
        <v>4297</v>
      </c>
      <c r="G309" s="1" t="s">
        <v>597</v>
      </c>
      <c r="H309" s="2" t="s">
        <v>766</v>
      </c>
      <c r="I309" s="2"/>
      <c r="K309" s="21">
        <v>0</v>
      </c>
      <c r="L309" s="21">
        <v>-16998611</v>
      </c>
      <c r="M309" s="21">
        <v>-3229736</v>
      </c>
      <c r="N309" s="21">
        <v>-20228347</v>
      </c>
      <c r="O309">
        <v>0</v>
      </c>
      <c r="P309">
        <v>0</v>
      </c>
      <c r="Q309">
        <v>0</v>
      </c>
      <c r="R309">
        <v>0</v>
      </c>
      <c r="S309">
        <v>0</v>
      </c>
      <c r="T309" t="s">
        <v>77</v>
      </c>
      <c r="U309">
        <v>0</v>
      </c>
      <c r="V309">
        <v>0</v>
      </c>
      <c r="W309">
        <v>0</v>
      </c>
      <c r="X309">
        <v>0</v>
      </c>
      <c r="Y309">
        <v>33</v>
      </c>
      <c r="Z309">
        <v>53028</v>
      </c>
      <c r="AC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M309">
        <v>0</v>
      </c>
      <c r="AR309" t="s">
        <v>881</v>
      </c>
      <c r="AS309" t="s">
        <v>600</v>
      </c>
      <c r="AT309">
        <v>6</v>
      </c>
    </row>
    <row r="310" spans="1:46">
      <c r="A310">
        <v>309</v>
      </c>
      <c r="B310">
        <v>61</v>
      </c>
      <c r="C310" t="s">
        <v>74</v>
      </c>
      <c r="D310" t="s">
        <v>592</v>
      </c>
      <c r="E310" t="s">
        <v>593</v>
      </c>
      <c r="F310">
        <v>4298</v>
      </c>
      <c r="G310" s="1" t="s">
        <v>597</v>
      </c>
      <c r="H310" s="2" t="s">
        <v>767</v>
      </c>
      <c r="K310" s="21">
        <v>0</v>
      </c>
      <c r="L310" s="21">
        <v>-15572120</v>
      </c>
      <c r="M310" s="21">
        <v>-2958703</v>
      </c>
      <c r="N310" s="21">
        <v>-18530823</v>
      </c>
      <c r="O310">
        <v>0</v>
      </c>
      <c r="P310">
        <v>0</v>
      </c>
      <c r="Q310">
        <v>0</v>
      </c>
      <c r="R310">
        <v>0</v>
      </c>
      <c r="S310">
        <v>0</v>
      </c>
      <c r="T310" t="s">
        <v>77</v>
      </c>
      <c r="U310">
        <v>0</v>
      </c>
      <c r="V310">
        <v>0</v>
      </c>
      <c r="W310">
        <v>0</v>
      </c>
      <c r="X310">
        <v>0</v>
      </c>
      <c r="Y310">
        <v>33</v>
      </c>
      <c r="Z310">
        <v>53027</v>
      </c>
      <c r="AC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M310">
        <v>0</v>
      </c>
      <c r="AR310" t="s">
        <v>881</v>
      </c>
      <c r="AS310" t="s">
        <v>596</v>
      </c>
      <c r="AT310">
        <v>6</v>
      </c>
    </row>
    <row r="311" spans="1:46">
      <c r="A311">
        <v>310</v>
      </c>
      <c r="B311">
        <v>61</v>
      </c>
      <c r="C311" t="s">
        <v>74</v>
      </c>
      <c r="D311" t="s">
        <v>731</v>
      </c>
      <c r="E311" t="s">
        <v>732</v>
      </c>
      <c r="F311">
        <v>4299</v>
      </c>
      <c r="G311" s="1" t="s">
        <v>706</v>
      </c>
      <c r="H311" s="2" t="s">
        <v>768</v>
      </c>
      <c r="J311" t="s">
        <v>735</v>
      </c>
      <c r="K311" s="21">
        <v>0</v>
      </c>
      <c r="L311" s="21">
        <v>-12427929</v>
      </c>
      <c r="M311" s="21">
        <v>-2361306</v>
      </c>
      <c r="N311" s="21">
        <v>-14789235</v>
      </c>
      <c r="O311">
        <v>0</v>
      </c>
      <c r="P311">
        <v>0</v>
      </c>
      <c r="Q311">
        <v>0</v>
      </c>
      <c r="R311">
        <v>0</v>
      </c>
      <c r="S311">
        <v>0</v>
      </c>
      <c r="T311" t="s">
        <v>77</v>
      </c>
      <c r="U311">
        <v>0</v>
      </c>
      <c r="V311">
        <v>0</v>
      </c>
      <c r="W311">
        <v>0</v>
      </c>
      <c r="X311">
        <v>0</v>
      </c>
      <c r="Y311">
        <v>33</v>
      </c>
      <c r="Z311">
        <v>53110</v>
      </c>
      <c r="AC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M311">
        <v>0</v>
      </c>
      <c r="AR311" t="s">
        <v>881</v>
      </c>
      <c r="AS311" t="s">
        <v>736</v>
      </c>
      <c r="AT311">
        <v>6</v>
      </c>
    </row>
    <row r="312" spans="1:46">
      <c r="A312">
        <v>311</v>
      </c>
      <c r="B312">
        <v>61</v>
      </c>
      <c r="C312" t="s">
        <v>74</v>
      </c>
      <c r="D312" t="s">
        <v>371</v>
      </c>
      <c r="E312" t="s">
        <v>372</v>
      </c>
      <c r="F312">
        <v>4300</v>
      </c>
      <c r="G312" s="1" t="s">
        <v>706</v>
      </c>
      <c r="H312" s="2" t="s">
        <v>769</v>
      </c>
      <c r="I312" s="2"/>
      <c r="K312" s="21">
        <v>0</v>
      </c>
      <c r="L312" s="21">
        <v>-4042510</v>
      </c>
      <c r="M312" s="21">
        <v>-768077</v>
      </c>
      <c r="N312" s="21">
        <v>-4810587</v>
      </c>
      <c r="O312">
        <v>0</v>
      </c>
      <c r="P312">
        <v>0</v>
      </c>
      <c r="Q312">
        <v>0</v>
      </c>
      <c r="R312">
        <v>0</v>
      </c>
      <c r="S312">
        <v>0</v>
      </c>
      <c r="T312" t="s">
        <v>77</v>
      </c>
      <c r="U312">
        <v>0</v>
      </c>
      <c r="V312">
        <v>0</v>
      </c>
      <c r="W312">
        <v>0</v>
      </c>
      <c r="X312">
        <v>0</v>
      </c>
      <c r="Y312">
        <v>33</v>
      </c>
      <c r="Z312">
        <v>53058</v>
      </c>
      <c r="AC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M312">
        <v>0</v>
      </c>
      <c r="AR312" t="s">
        <v>881</v>
      </c>
      <c r="AS312" t="s">
        <v>653</v>
      </c>
      <c r="AT312">
        <v>6</v>
      </c>
    </row>
    <row r="313" spans="1:46">
      <c r="A313">
        <v>312</v>
      </c>
      <c r="B313">
        <v>61</v>
      </c>
      <c r="C313" t="s">
        <v>74</v>
      </c>
      <c r="D313" t="s">
        <v>288</v>
      </c>
      <c r="E313" t="s">
        <v>289</v>
      </c>
      <c r="F313">
        <v>4301</v>
      </c>
      <c r="G313" s="1" t="s">
        <v>706</v>
      </c>
      <c r="H313" s="2" t="s">
        <v>770</v>
      </c>
      <c r="I313" s="2"/>
      <c r="J313" s="2"/>
      <c r="K313" s="21">
        <v>0</v>
      </c>
      <c r="L313" s="21">
        <v>-67846</v>
      </c>
      <c r="M313" s="21">
        <v>-12891</v>
      </c>
      <c r="N313" s="21">
        <v>-80737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77</v>
      </c>
      <c r="U313">
        <v>0</v>
      </c>
      <c r="V313">
        <v>0</v>
      </c>
      <c r="W313">
        <v>0</v>
      </c>
      <c r="X313">
        <v>0</v>
      </c>
      <c r="Y313">
        <v>33</v>
      </c>
      <c r="Z313">
        <v>53070</v>
      </c>
      <c r="AC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M313">
        <v>0</v>
      </c>
      <c r="AR313" t="s">
        <v>881</v>
      </c>
      <c r="AS313" t="s">
        <v>673</v>
      </c>
      <c r="AT313">
        <v>6</v>
      </c>
    </row>
    <row r="314" spans="1:46">
      <c r="A314">
        <v>313</v>
      </c>
      <c r="B314">
        <v>61</v>
      </c>
      <c r="C314" t="s">
        <v>74</v>
      </c>
      <c r="D314" t="s">
        <v>218</v>
      </c>
      <c r="E314" t="s">
        <v>219</v>
      </c>
      <c r="F314">
        <v>4302</v>
      </c>
      <c r="G314" s="1" t="s">
        <v>706</v>
      </c>
      <c r="H314" s="2" t="s">
        <v>771</v>
      </c>
      <c r="K314" s="21">
        <v>0</v>
      </c>
      <c r="L314" s="21">
        <v>-962480</v>
      </c>
      <c r="M314" s="21">
        <v>-182871</v>
      </c>
      <c r="N314" s="21">
        <v>-1145351</v>
      </c>
      <c r="O314">
        <v>0</v>
      </c>
      <c r="P314">
        <v>0</v>
      </c>
      <c r="Q314">
        <v>0</v>
      </c>
      <c r="R314">
        <v>0</v>
      </c>
      <c r="S314">
        <v>0</v>
      </c>
      <c r="T314" t="s">
        <v>77</v>
      </c>
      <c r="U314">
        <v>0</v>
      </c>
      <c r="V314">
        <v>0</v>
      </c>
      <c r="W314">
        <v>0</v>
      </c>
      <c r="X314">
        <v>0</v>
      </c>
      <c r="Y314">
        <v>33</v>
      </c>
      <c r="Z314">
        <v>53002</v>
      </c>
      <c r="AC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M314">
        <v>0</v>
      </c>
      <c r="AR314" t="s">
        <v>881</v>
      </c>
      <c r="AS314" t="s">
        <v>551</v>
      </c>
      <c r="AT314">
        <v>6</v>
      </c>
    </row>
    <row r="315" spans="1:46">
      <c r="A315">
        <v>314</v>
      </c>
      <c r="B315">
        <v>61</v>
      </c>
      <c r="C315" t="s">
        <v>74</v>
      </c>
      <c r="D315" t="s">
        <v>167</v>
      </c>
      <c r="E315" t="s">
        <v>168</v>
      </c>
      <c r="F315">
        <v>4303</v>
      </c>
      <c r="G315" s="1" t="s">
        <v>706</v>
      </c>
      <c r="H315" s="2" t="s">
        <v>772</v>
      </c>
      <c r="K315" s="21">
        <v>0</v>
      </c>
      <c r="L315" s="21">
        <v>-2753712</v>
      </c>
      <c r="M315" s="21">
        <v>-523205</v>
      </c>
      <c r="N315" s="21">
        <v>-3276917</v>
      </c>
      <c r="O315">
        <v>0</v>
      </c>
      <c r="P315">
        <v>0</v>
      </c>
      <c r="Q315">
        <v>0</v>
      </c>
      <c r="R315">
        <v>0</v>
      </c>
      <c r="S315">
        <v>0</v>
      </c>
      <c r="T315" t="s">
        <v>77</v>
      </c>
      <c r="U315">
        <v>0</v>
      </c>
      <c r="V315">
        <v>0</v>
      </c>
      <c r="W315">
        <v>0</v>
      </c>
      <c r="X315">
        <v>0</v>
      </c>
      <c r="Y315">
        <v>33</v>
      </c>
      <c r="Z315">
        <v>52971</v>
      </c>
      <c r="AC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M315">
        <v>0</v>
      </c>
      <c r="AR315" t="s">
        <v>881</v>
      </c>
      <c r="AS315" t="s">
        <v>508</v>
      </c>
      <c r="AT315">
        <v>6</v>
      </c>
    </row>
    <row r="316" spans="1:46">
      <c r="A316">
        <v>315</v>
      </c>
      <c r="B316">
        <v>110</v>
      </c>
      <c r="C316" t="s">
        <v>74</v>
      </c>
      <c r="D316" t="s">
        <v>319</v>
      </c>
      <c r="E316" t="s">
        <v>320</v>
      </c>
      <c r="F316">
        <v>50108</v>
      </c>
      <c r="G316" s="1" t="s">
        <v>706</v>
      </c>
      <c r="H316" s="2" t="s">
        <v>773</v>
      </c>
      <c r="K316" s="21">
        <v>567215356</v>
      </c>
      <c r="L316" s="21">
        <v>0</v>
      </c>
      <c r="M316" s="21">
        <v>0</v>
      </c>
      <c r="N316" s="21">
        <v>567215356</v>
      </c>
      <c r="O316">
        <v>0</v>
      </c>
      <c r="P316">
        <v>0</v>
      </c>
      <c r="Q316">
        <v>0</v>
      </c>
      <c r="R316">
        <v>0</v>
      </c>
      <c r="S316">
        <v>0</v>
      </c>
      <c r="T316" t="s">
        <v>77</v>
      </c>
      <c r="U316">
        <v>0</v>
      </c>
      <c r="V316">
        <v>0</v>
      </c>
      <c r="W316">
        <v>0</v>
      </c>
      <c r="X316">
        <v>0</v>
      </c>
      <c r="Y316">
        <v>0</v>
      </c>
      <c r="AC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M316">
        <v>0</v>
      </c>
      <c r="AR316" t="s">
        <v>1045</v>
      </c>
      <c r="AS316" t="s">
        <v>1046</v>
      </c>
      <c r="AT316">
        <v>6</v>
      </c>
    </row>
    <row r="317" spans="1:46">
      <c r="A317">
        <v>316</v>
      </c>
      <c r="B317">
        <v>110</v>
      </c>
      <c r="C317" t="s">
        <v>74</v>
      </c>
      <c r="D317" t="s">
        <v>319</v>
      </c>
      <c r="E317" t="s">
        <v>360</v>
      </c>
      <c r="F317">
        <v>50109</v>
      </c>
      <c r="G317" s="1" t="s">
        <v>706</v>
      </c>
      <c r="H317" s="2" t="s">
        <v>774</v>
      </c>
      <c r="I317" s="2"/>
      <c r="K317" s="21">
        <v>36388602</v>
      </c>
      <c r="L317" s="21">
        <v>0</v>
      </c>
      <c r="M317" s="21">
        <v>0</v>
      </c>
      <c r="N317" s="21">
        <v>36388602</v>
      </c>
      <c r="O317">
        <v>0</v>
      </c>
      <c r="P317">
        <v>0</v>
      </c>
      <c r="Q317">
        <v>0</v>
      </c>
      <c r="R317">
        <v>0</v>
      </c>
      <c r="S317">
        <v>0</v>
      </c>
      <c r="T317" t="s">
        <v>77</v>
      </c>
      <c r="U317">
        <v>0</v>
      </c>
      <c r="V317">
        <v>0</v>
      </c>
      <c r="W317">
        <v>0</v>
      </c>
      <c r="X317">
        <v>0</v>
      </c>
      <c r="Y317">
        <v>0</v>
      </c>
      <c r="AC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M317">
        <v>0</v>
      </c>
      <c r="AR317" t="s">
        <v>1045</v>
      </c>
      <c r="AS317" t="s">
        <v>1046</v>
      </c>
      <c r="AT317">
        <v>6</v>
      </c>
    </row>
    <row r="318" spans="1:46">
      <c r="A318">
        <v>317</v>
      </c>
      <c r="B318">
        <v>110</v>
      </c>
      <c r="C318" t="s">
        <v>74</v>
      </c>
      <c r="D318" t="s">
        <v>319</v>
      </c>
      <c r="E318" t="s">
        <v>320</v>
      </c>
      <c r="F318">
        <v>50110</v>
      </c>
      <c r="G318" s="1" t="s">
        <v>706</v>
      </c>
      <c r="H318" s="2" t="s">
        <v>775</v>
      </c>
      <c r="K318" s="21">
        <v>40567032</v>
      </c>
      <c r="L318" s="21">
        <v>0</v>
      </c>
      <c r="M318" s="21">
        <v>0</v>
      </c>
      <c r="N318" s="21">
        <v>40567032</v>
      </c>
      <c r="O318">
        <v>0</v>
      </c>
      <c r="P318">
        <v>0</v>
      </c>
      <c r="Q318">
        <v>0</v>
      </c>
      <c r="R318">
        <v>0</v>
      </c>
      <c r="S318">
        <v>0</v>
      </c>
      <c r="T318" t="s">
        <v>77</v>
      </c>
      <c r="U318">
        <v>0</v>
      </c>
      <c r="V318">
        <v>0</v>
      </c>
      <c r="W318">
        <v>0</v>
      </c>
      <c r="X318">
        <v>0</v>
      </c>
      <c r="Y318">
        <v>0</v>
      </c>
      <c r="AC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M318">
        <v>0</v>
      </c>
      <c r="AR318" t="s">
        <v>1045</v>
      </c>
      <c r="AS318" t="s">
        <v>1046</v>
      </c>
      <c r="AT318">
        <v>6</v>
      </c>
    </row>
    <row r="319" spans="1:46">
      <c r="A319">
        <v>318</v>
      </c>
      <c r="B319">
        <v>110</v>
      </c>
      <c r="C319" t="s">
        <v>74</v>
      </c>
      <c r="D319" t="s">
        <v>319</v>
      </c>
      <c r="E319" t="s">
        <v>360</v>
      </c>
      <c r="F319">
        <v>50111</v>
      </c>
      <c r="G319" s="1" t="s">
        <v>706</v>
      </c>
      <c r="H319" s="2" t="s">
        <v>776</v>
      </c>
      <c r="K319" s="21">
        <v>22564947</v>
      </c>
      <c r="L319" s="21">
        <v>0</v>
      </c>
      <c r="M319" s="21">
        <v>0</v>
      </c>
      <c r="N319" s="21">
        <v>22564947</v>
      </c>
      <c r="O319">
        <v>0</v>
      </c>
      <c r="P319">
        <v>0</v>
      </c>
      <c r="Q319">
        <v>0</v>
      </c>
      <c r="R319">
        <v>0</v>
      </c>
      <c r="S319">
        <v>0</v>
      </c>
      <c r="T319" t="s">
        <v>77</v>
      </c>
      <c r="U319">
        <v>0</v>
      </c>
      <c r="V319">
        <v>0</v>
      </c>
      <c r="W319">
        <v>0</v>
      </c>
      <c r="X319">
        <v>0</v>
      </c>
      <c r="Y319">
        <v>0</v>
      </c>
      <c r="AC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M319">
        <v>0</v>
      </c>
      <c r="AR319" t="s">
        <v>1045</v>
      </c>
      <c r="AS319" t="s">
        <v>1046</v>
      </c>
      <c r="AT319">
        <v>6</v>
      </c>
    </row>
    <row r="320" spans="1:46">
      <c r="G320" s="1"/>
      <c r="H320" s="2"/>
      <c r="I320" s="2"/>
    </row>
    <row r="321" spans="7:9">
      <c r="G321" s="1"/>
      <c r="H321" s="2"/>
      <c r="I321" s="2"/>
    </row>
    <row r="322" spans="7:9">
      <c r="G322" s="1"/>
      <c r="H322" s="2"/>
      <c r="I322" s="2"/>
    </row>
    <row r="323" spans="7:9">
      <c r="G323" s="1"/>
      <c r="H323" s="2"/>
      <c r="I323" s="2"/>
    </row>
    <row r="324" spans="7:9">
      <c r="G324" s="1"/>
      <c r="H324" s="2"/>
      <c r="I324" s="2"/>
    </row>
    <row r="325" spans="7:9">
      <c r="G325" s="1"/>
      <c r="H325" s="2"/>
    </row>
    <row r="326" spans="7:9">
      <c r="G326" s="1"/>
      <c r="H326" s="2"/>
    </row>
    <row r="327" spans="7:9">
      <c r="G327" s="1"/>
      <c r="H327" s="2"/>
    </row>
    <row r="328" spans="7:9">
      <c r="G328" s="1"/>
      <c r="H328" s="2"/>
      <c r="I328" s="2"/>
    </row>
    <row r="329" spans="7:9">
      <c r="G329" s="1"/>
      <c r="H329" s="2"/>
      <c r="I329" s="2"/>
    </row>
    <row r="330" spans="7:9">
      <c r="G330" s="1"/>
      <c r="H330" s="2"/>
      <c r="I330" s="2"/>
    </row>
    <row r="331" spans="7:9">
      <c r="G331" s="1"/>
      <c r="H331" s="2"/>
    </row>
    <row r="332" spans="7:9">
      <c r="G332" s="1"/>
      <c r="H332" s="2"/>
      <c r="I332" s="2"/>
    </row>
    <row r="333" spans="7:9">
      <c r="G333" s="1"/>
      <c r="H333" s="2"/>
      <c r="I333" s="2"/>
    </row>
    <row r="334" spans="7:9">
      <c r="G334" s="1"/>
      <c r="H334" s="2"/>
      <c r="I334" s="2"/>
    </row>
    <row r="335" spans="7:9">
      <c r="G335" s="1"/>
      <c r="H335" s="2"/>
      <c r="I335" s="2"/>
    </row>
    <row r="336" spans="7:9">
      <c r="G336" s="1"/>
      <c r="H336" s="2"/>
      <c r="I336" s="2"/>
    </row>
    <row r="337" spans="7:9">
      <c r="G337" s="1"/>
      <c r="H337" s="2"/>
    </row>
    <row r="338" spans="7:9">
      <c r="G338" s="1"/>
      <c r="H338" s="2"/>
      <c r="I338" s="2"/>
    </row>
    <row r="339" spans="7:9">
      <c r="G339" s="1"/>
      <c r="H339" s="2"/>
      <c r="I339" s="2"/>
    </row>
    <row r="340" spans="7:9">
      <c r="G340" s="1"/>
      <c r="H340" s="2"/>
      <c r="I340" s="2"/>
    </row>
    <row r="341" spans="7:9">
      <c r="G341" s="1"/>
      <c r="H341" s="2"/>
      <c r="I341" s="2"/>
    </row>
    <row r="342" spans="7:9">
      <c r="G342" s="1"/>
      <c r="H342" s="2"/>
      <c r="I342" s="2"/>
    </row>
    <row r="343" spans="7:9">
      <c r="G343" s="1"/>
      <c r="H343" s="2"/>
      <c r="I343" s="2"/>
    </row>
    <row r="344" spans="7:9">
      <c r="G344" s="1"/>
      <c r="H344" s="2"/>
      <c r="I344" s="2"/>
    </row>
    <row r="345" spans="7:9">
      <c r="G345" s="1"/>
      <c r="H345" s="2"/>
      <c r="I345" s="2"/>
    </row>
    <row r="346" spans="7:9">
      <c r="G346" s="1"/>
      <c r="H346" s="2"/>
      <c r="I346" s="2"/>
    </row>
    <row r="347" spans="7:9">
      <c r="G347" s="1"/>
      <c r="H347" s="2"/>
      <c r="I347" s="2"/>
    </row>
    <row r="348" spans="7:9">
      <c r="G348" s="1"/>
      <c r="H348" s="2"/>
      <c r="I348" s="2"/>
    </row>
    <row r="349" spans="7:9">
      <c r="G349" s="1"/>
      <c r="H349" s="2"/>
      <c r="I349" s="2"/>
    </row>
    <row r="350" spans="7:9">
      <c r="G350" s="1"/>
      <c r="H350" s="2"/>
      <c r="I350" s="2"/>
    </row>
    <row r="351" spans="7:9">
      <c r="G351" s="1"/>
      <c r="H351" s="2"/>
      <c r="I351" s="2"/>
    </row>
    <row r="352" spans="7:9">
      <c r="G352" s="1"/>
      <c r="H352" s="2"/>
      <c r="I352" s="2"/>
    </row>
    <row r="353" spans="7:9">
      <c r="G353" s="1"/>
      <c r="H353" s="2"/>
      <c r="I353" s="2"/>
    </row>
    <row r="354" spans="7:9">
      <c r="G354" s="1"/>
      <c r="H354" s="2"/>
      <c r="I354" s="2"/>
    </row>
    <row r="355" spans="7:9">
      <c r="G355" s="1"/>
      <c r="H355" s="2"/>
      <c r="I355" s="2"/>
    </row>
    <row r="356" spans="7:9">
      <c r="G356" s="1"/>
      <c r="H356" s="2"/>
      <c r="I356" s="2"/>
    </row>
    <row r="357" spans="7:9">
      <c r="G357" s="1"/>
      <c r="H357" s="2"/>
      <c r="I357" s="2"/>
    </row>
    <row r="358" spans="7:9">
      <c r="G358" s="1"/>
      <c r="H358" s="2"/>
      <c r="I358" s="2"/>
    </row>
    <row r="359" spans="7:9">
      <c r="G359" s="1"/>
      <c r="H359" s="2"/>
      <c r="I359" s="2"/>
    </row>
    <row r="360" spans="7:9">
      <c r="G360" s="1"/>
      <c r="H360" s="2"/>
      <c r="I360" s="2"/>
    </row>
    <row r="361" spans="7:9">
      <c r="G361" s="1"/>
      <c r="H361" s="2"/>
      <c r="I361" s="2"/>
    </row>
    <row r="362" spans="7:9">
      <c r="G362" s="1"/>
      <c r="H362" s="2"/>
      <c r="I362" s="2"/>
    </row>
    <row r="363" spans="7:9">
      <c r="G363" s="1"/>
      <c r="H363" s="2"/>
    </row>
    <row r="364" spans="7:9">
      <c r="G364" s="1"/>
      <c r="H364" s="2"/>
    </row>
    <row r="365" spans="7:9">
      <c r="G365" s="1"/>
      <c r="H365" s="2"/>
      <c r="I365" s="2"/>
    </row>
    <row r="366" spans="7:9">
      <c r="G366" s="1"/>
      <c r="H366" s="2"/>
    </row>
    <row r="367" spans="7:9">
      <c r="G367" s="1"/>
      <c r="H367" s="2"/>
    </row>
    <row r="368" spans="7:9">
      <c r="G368" s="1"/>
      <c r="H368" s="2"/>
    </row>
    <row r="369" spans="7:9">
      <c r="G369" s="1"/>
      <c r="H369" s="2"/>
    </row>
    <row r="370" spans="7:9">
      <c r="G370" s="1"/>
      <c r="H370" s="2"/>
    </row>
    <row r="371" spans="7:9">
      <c r="G371" s="1"/>
      <c r="H371" s="2"/>
      <c r="I371" s="2"/>
    </row>
    <row r="372" spans="7:9">
      <c r="G372" s="1"/>
      <c r="H372" s="2"/>
    </row>
    <row r="373" spans="7:9">
      <c r="G373" s="1"/>
      <c r="H373" s="2"/>
    </row>
    <row r="374" spans="7:9">
      <c r="G374" s="1"/>
      <c r="H374" s="2"/>
    </row>
    <row r="375" spans="7:9">
      <c r="G375" s="1"/>
      <c r="H375" s="2"/>
    </row>
    <row r="376" spans="7:9">
      <c r="G376" s="1"/>
      <c r="H376" s="2"/>
    </row>
    <row r="377" spans="7:9">
      <c r="G377" s="1"/>
      <c r="H377" s="2"/>
    </row>
    <row r="378" spans="7:9">
      <c r="G378" s="1"/>
      <c r="H378" s="2"/>
    </row>
    <row r="379" spans="7:9">
      <c r="G379" s="1"/>
      <c r="H379" s="2"/>
    </row>
    <row r="380" spans="7:9">
      <c r="G380" s="1"/>
      <c r="H380" s="2"/>
    </row>
    <row r="381" spans="7:9">
      <c r="G381" s="1"/>
      <c r="H381" s="2"/>
    </row>
    <row r="382" spans="7:9">
      <c r="G382" s="1"/>
      <c r="H382" s="2"/>
    </row>
    <row r="383" spans="7:9">
      <c r="G383" s="1"/>
      <c r="H383" s="2"/>
    </row>
    <row r="384" spans="7:9">
      <c r="G384" s="1"/>
      <c r="H384" s="2"/>
    </row>
    <row r="385" spans="7:8">
      <c r="G385" s="1"/>
      <c r="H385" s="2"/>
    </row>
    <row r="386" spans="7:8">
      <c r="G386" s="1"/>
      <c r="H386" s="2"/>
    </row>
    <row r="387" spans="7:8">
      <c r="G387" s="1"/>
      <c r="H387" s="2"/>
    </row>
    <row r="388" spans="7:8">
      <c r="G388" s="1"/>
      <c r="H388" s="2"/>
    </row>
    <row r="389" spans="7:8">
      <c r="G389" s="1"/>
      <c r="H389" s="2"/>
    </row>
    <row r="390" spans="7:8">
      <c r="G390" s="1"/>
      <c r="H390" s="2"/>
    </row>
    <row r="391" spans="7:8">
      <c r="G391" s="1"/>
      <c r="H391" s="2"/>
    </row>
    <row r="392" spans="7:8">
      <c r="G392" s="1"/>
      <c r="H392" s="2"/>
    </row>
    <row r="393" spans="7:8">
      <c r="G393" s="1"/>
      <c r="H393" s="2"/>
    </row>
    <row r="394" spans="7:8">
      <c r="G394" s="1"/>
      <c r="H394" s="2"/>
    </row>
    <row r="395" spans="7:8">
      <c r="G395" s="1"/>
      <c r="H395" s="2"/>
    </row>
    <row r="396" spans="7:8">
      <c r="G396" s="1"/>
      <c r="H396" s="2"/>
    </row>
    <row r="397" spans="7:8">
      <c r="G397" s="1"/>
      <c r="H397" s="2"/>
    </row>
    <row r="398" spans="7:8">
      <c r="G398" s="1"/>
      <c r="H398" s="2"/>
    </row>
    <row r="399" spans="7:8">
      <c r="G399" s="1"/>
      <c r="H399" s="2"/>
    </row>
    <row r="400" spans="7:8">
      <c r="G400" s="1"/>
      <c r="H400" s="2"/>
    </row>
    <row r="401" spans="7:8">
      <c r="G401" s="1"/>
      <c r="H401" s="2"/>
    </row>
    <row r="402" spans="7:8">
      <c r="G402" s="1"/>
      <c r="H402" s="2"/>
    </row>
    <row r="403" spans="7:8">
      <c r="G403" s="1"/>
      <c r="H403" s="2"/>
    </row>
    <row r="404" spans="7:8">
      <c r="G404" s="1"/>
      <c r="H404" s="2"/>
    </row>
    <row r="405" spans="7:8">
      <c r="G405" s="1"/>
      <c r="H405" s="2"/>
    </row>
    <row r="406" spans="7:8">
      <c r="G406" s="1"/>
      <c r="H406" s="2"/>
    </row>
    <row r="407" spans="7:8">
      <c r="G407" s="1"/>
      <c r="H407" s="2"/>
    </row>
    <row r="408" spans="7:8">
      <c r="G408" s="1"/>
      <c r="H408" s="2"/>
    </row>
    <row r="409" spans="7:8">
      <c r="G409" s="1"/>
      <c r="H409" s="2"/>
    </row>
    <row r="410" spans="7:8">
      <c r="G410" s="1"/>
      <c r="H410" s="2"/>
    </row>
    <row r="411" spans="7:8">
      <c r="G411" s="1"/>
      <c r="H411" s="2"/>
    </row>
    <row r="412" spans="7:8">
      <c r="G412" s="1"/>
      <c r="H412" s="2"/>
    </row>
    <row r="413" spans="7:8">
      <c r="G413" s="1"/>
      <c r="H413" s="2"/>
    </row>
    <row r="414" spans="7:8">
      <c r="G414" s="1"/>
      <c r="H414" s="2"/>
    </row>
    <row r="415" spans="7:8">
      <c r="G415" s="1"/>
      <c r="H415" s="2"/>
    </row>
    <row r="416" spans="7:8">
      <c r="G416" s="1"/>
      <c r="H416" s="2"/>
    </row>
    <row r="417" spans="7:8">
      <c r="G417" s="1"/>
      <c r="H417" s="2"/>
    </row>
    <row r="418" spans="7:8">
      <c r="G418" s="1"/>
      <c r="H418" s="2"/>
    </row>
    <row r="419" spans="7:8">
      <c r="G419" s="1"/>
      <c r="H419" s="2"/>
    </row>
    <row r="420" spans="7:8">
      <c r="G420" s="1"/>
      <c r="H420" s="2"/>
    </row>
    <row r="421" spans="7:8">
      <c r="G421" s="1"/>
      <c r="H421" s="2"/>
    </row>
    <row r="422" spans="7:8">
      <c r="G422" s="1"/>
      <c r="H422" s="2"/>
    </row>
    <row r="423" spans="7:8">
      <c r="G423" s="1"/>
      <c r="H423" s="2"/>
    </row>
    <row r="424" spans="7:8">
      <c r="G424" s="1"/>
      <c r="H424" s="2"/>
    </row>
    <row r="425" spans="7:8">
      <c r="G425" s="1"/>
      <c r="H425" s="2"/>
    </row>
    <row r="426" spans="7:8">
      <c r="G426" s="1"/>
      <c r="H426" s="2"/>
    </row>
    <row r="427" spans="7:8">
      <c r="G427" s="1"/>
      <c r="H427" s="2"/>
    </row>
    <row r="428" spans="7:8">
      <c r="G428" s="1"/>
      <c r="H428" s="2"/>
    </row>
    <row r="532" spans="9:9">
      <c r="I532" s="2"/>
    </row>
    <row r="534" spans="9:9">
      <c r="I534" s="2"/>
    </row>
    <row r="535" spans="9:9">
      <c r="I535" s="2"/>
    </row>
    <row r="536" spans="9:9">
      <c r="I536" s="2"/>
    </row>
    <row r="537" spans="9:9">
      <c r="I537" s="2"/>
    </row>
    <row r="538" spans="9:9">
      <c r="I538" s="2"/>
    </row>
    <row r="539" spans="9:9">
      <c r="I539" s="2"/>
    </row>
    <row r="575" spans="9:9">
      <c r="I575" s="2"/>
    </row>
    <row r="576" spans="9:9">
      <c r="I576" s="2"/>
    </row>
    <row r="577" spans="9:9">
      <c r="I577" s="2"/>
    </row>
    <row r="580" spans="9:9">
      <c r="I580" s="2"/>
    </row>
    <row r="583" spans="9:9">
      <c r="I583" s="2"/>
    </row>
    <row r="588" spans="9:9">
      <c r="I588" s="2"/>
    </row>
    <row r="589" spans="9:9">
      <c r="I589" s="2"/>
    </row>
    <row r="593" spans="9:9">
      <c r="I593" s="2"/>
    </row>
    <row r="608" spans="9:9">
      <c r="I608" s="2"/>
    </row>
    <row r="610" spans="9:9">
      <c r="I610" s="2"/>
    </row>
    <row r="620" spans="9:9">
      <c r="I620" s="2"/>
    </row>
    <row r="670" spans="7:7">
      <c r="G670" s="1"/>
    </row>
    <row r="676" spans="9:9">
      <c r="I676" s="2"/>
    </row>
    <row r="678" spans="9:9">
      <c r="I678" s="2"/>
    </row>
    <row r="680" spans="9:9">
      <c r="I680" s="2"/>
    </row>
    <row r="681" spans="9:9">
      <c r="I681" s="2"/>
    </row>
    <row r="692" spans="9:9">
      <c r="I692" s="2"/>
    </row>
    <row r="694" spans="9:9">
      <c r="I694" s="2"/>
    </row>
    <row r="695" spans="9:9">
      <c r="I695" s="2"/>
    </row>
    <row r="698" spans="9:9">
      <c r="I698" s="2"/>
    </row>
    <row r="703" spans="9:9">
      <c r="I703" s="2"/>
    </row>
    <row r="707" spans="9:10">
      <c r="J707" s="2"/>
    </row>
    <row r="708" spans="9:10">
      <c r="J708" s="2"/>
    </row>
    <row r="712" spans="9:10">
      <c r="I712" s="2"/>
    </row>
    <row r="715" spans="9:10">
      <c r="I715" s="2"/>
    </row>
    <row r="718" spans="9:10">
      <c r="I718" s="2"/>
    </row>
    <row r="726" spans="9:9">
      <c r="I726" s="2"/>
    </row>
    <row r="734" spans="9:9">
      <c r="I734" s="2"/>
    </row>
    <row r="735" spans="9:9">
      <c r="I735" s="2"/>
    </row>
    <row r="736" spans="9:9">
      <c r="I736" s="2"/>
    </row>
    <row r="738" spans="9:9">
      <c r="I738" s="2"/>
    </row>
    <row r="747" spans="9:9">
      <c r="I747" s="2"/>
    </row>
    <row r="748" spans="9:9">
      <c r="I748" s="2"/>
    </row>
    <row r="749" spans="9:9">
      <c r="I749" s="2"/>
    </row>
    <row r="750" spans="9:9">
      <c r="I750" s="2"/>
    </row>
    <row r="751" spans="9:9">
      <c r="I751" s="2"/>
    </row>
    <row r="755" spans="9:10">
      <c r="I755" s="2"/>
    </row>
    <row r="759" spans="9:10">
      <c r="I759" s="2"/>
    </row>
    <row r="760" spans="9:10">
      <c r="I760" s="2"/>
    </row>
    <row r="762" spans="9:10">
      <c r="I762" s="2"/>
    </row>
    <row r="767" spans="9:10">
      <c r="J767" s="2"/>
    </row>
    <row r="769" spans="9:10">
      <c r="J769" s="2"/>
    </row>
    <row r="772" spans="9:10">
      <c r="J772" s="2"/>
    </row>
    <row r="774" spans="9:10">
      <c r="J774" s="2"/>
    </row>
    <row r="775" spans="9:10">
      <c r="I775" s="2"/>
      <c r="J775" s="2"/>
    </row>
    <row r="776" spans="9:10">
      <c r="I776" s="2"/>
    </row>
    <row r="777" spans="9:10">
      <c r="I777" s="2"/>
    </row>
    <row r="780" spans="9:10">
      <c r="I780" s="2"/>
    </row>
    <row r="781" spans="9:10">
      <c r="I781" s="2"/>
      <c r="J781" s="2"/>
    </row>
    <row r="783" spans="9:10">
      <c r="I783" s="2"/>
    </row>
    <row r="784" spans="9:10">
      <c r="I784" s="2"/>
    </row>
    <row r="785" spans="9:9">
      <c r="I785" s="2"/>
    </row>
    <row r="789" spans="9:9">
      <c r="I789" s="2"/>
    </row>
    <row r="794" spans="9:9">
      <c r="I794" s="2"/>
    </row>
    <row r="795" spans="9:9">
      <c r="I795" s="2"/>
    </row>
    <row r="796" spans="9:9">
      <c r="I796" s="2"/>
    </row>
    <row r="798" spans="9:9">
      <c r="I798" s="2"/>
    </row>
    <row r="799" spans="9:9">
      <c r="I799" s="2"/>
    </row>
    <row r="808" spans="9:9">
      <c r="I808" s="2"/>
    </row>
    <row r="809" spans="9:9">
      <c r="I809" s="2"/>
    </row>
    <row r="810" spans="9:9">
      <c r="I810" s="2"/>
    </row>
    <row r="811" spans="9:9">
      <c r="I811" s="2"/>
    </row>
    <row r="812" spans="9:9">
      <c r="I812" s="2"/>
    </row>
    <row r="813" spans="9:9">
      <c r="I813" s="2"/>
    </row>
    <row r="814" spans="9:9">
      <c r="I814" s="2"/>
    </row>
    <row r="815" spans="9:9">
      <c r="I815" s="2"/>
    </row>
    <row r="816" spans="9:9">
      <c r="I816" s="2"/>
    </row>
    <row r="817" spans="9:9">
      <c r="I817" s="2"/>
    </row>
    <row r="818" spans="9:9">
      <c r="I818" s="2"/>
    </row>
    <row r="819" spans="9:9">
      <c r="I819" s="2"/>
    </row>
    <row r="820" spans="9:9">
      <c r="I820" s="2"/>
    </row>
    <row r="821" spans="9:9">
      <c r="I821" s="2"/>
    </row>
    <row r="822" spans="9:9">
      <c r="I822" s="2"/>
    </row>
    <row r="823" spans="9:9">
      <c r="I823" s="2"/>
    </row>
    <row r="828" spans="9:9">
      <c r="I828" s="2"/>
    </row>
    <row r="829" spans="9:9">
      <c r="I829" s="2"/>
    </row>
    <row r="830" spans="9:9">
      <c r="I830" s="2"/>
    </row>
    <row r="831" spans="9:9">
      <c r="I831" s="2"/>
    </row>
    <row r="833" spans="9:9">
      <c r="I833" s="2"/>
    </row>
    <row r="834" spans="9:9">
      <c r="I834" s="2"/>
    </row>
    <row r="835" spans="9:9">
      <c r="I835" s="2"/>
    </row>
    <row r="836" spans="9:9">
      <c r="I836" s="2"/>
    </row>
    <row r="838" spans="9:9">
      <c r="I838" s="2"/>
    </row>
    <row r="839" spans="9:9">
      <c r="I839" s="2"/>
    </row>
    <row r="841" spans="9:9">
      <c r="I841" s="2"/>
    </row>
    <row r="842" spans="9:9">
      <c r="I842" s="2"/>
    </row>
    <row r="844" spans="9:9">
      <c r="I844" s="2"/>
    </row>
    <row r="845" spans="9:9">
      <c r="I845" s="2"/>
    </row>
    <row r="846" spans="9:9">
      <c r="I846" s="2"/>
    </row>
    <row r="847" spans="9:9">
      <c r="I847" s="2"/>
    </row>
    <row r="848" spans="9:9">
      <c r="I848" s="2"/>
    </row>
    <row r="849" spans="9:10">
      <c r="I849" s="2"/>
    </row>
    <row r="850" spans="9:10">
      <c r="I850" s="2"/>
    </row>
    <row r="851" spans="9:10">
      <c r="I851" s="2"/>
    </row>
    <row r="852" spans="9:10">
      <c r="I852" s="2"/>
    </row>
    <row r="853" spans="9:10">
      <c r="I853" s="2"/>
    </row>
    <row r="854" spans="9:10">
      <c r="I854" s="2"/>
    </row>
    <row r="855" spans="9:10">
      <c r="J855" s="2"/>
    </row>
    <row r="856" spans="9:10">
      <c r="I856" s="2"/>
    </row>
    <row r="857" spans="9:10">
      <c r="I857" s="2"/>
    </row>
    <row r="858" spans="9:10">
      <c r="I858" s="2"/>
    </row>
    <row r="859" spans="9:10">
      <c r="I859" s="2"/>
    </row>
    <row r="860" spans="9:10">
      <c r="I860" s="2"/>
    </row>
    <row r="861" spans="9:10">
      <c r="I861" s="2"/>
    </row>
    <row r="862" spans="9:10">
      <c r="I862" s="2"/>
    </row>
    <row r="863" spans="9:10">
      <c r="I863" s="2"/>
    </row>
    <row r="864" spans="9:10">
      <c r="I864" s="2"/>
    </row>
    <row r="865" spans="9:9">
      <c r="I865" s="2"/>
    </row>
    <row r="866" spans="9:9">
      <c r="I866" s="2"/>
    </row>
    <row r="867" spans="9:9">
      <c r="I867" s="2"/>
    </row>
    <row r="868" spans="9:9">
      <c r="I868" s="2"/>
    </row>
    <row r="870" spans="9:9">
      <c r="I870" s="2"/>
    </row>
    <row r="871" spans="9:9">
      <c r="I871" s="2"/>
    </row>
    <row r="872" spans="9:9">
      <c r="I872" s="2"/>
    </row>
    <row r="873" spans="9:9">
      <c r="I873" s="2"/>
    </row>
    <row r="874" spans="9:9">
      <c r="I874" s="2"/>
    </row>
    <row r="875" spans="9:9">
      <c r="I875" s="2"/>
    </row>
    <row r="876" spans="9:9">
      <c r="I876" s="2"/>
    </row>
    <row r="877" spans="9:9">
      <c r="I877" s="2"/>
    </row>
    <row r="878" spans="9:9">
      <c r="I878" s="2"/>
    </row>
    <row r="879" spans="9:9">
      <c r="I879" s="2"/>
    </row>
    <row r="880" spans="9:9">
      <c r="I880" s="2"/>
    </row>
    <row r="881" spans="9:9">
      <c r="I881" s="2"/>
    </row>
    <row r="882" spans="9:9">
      <c r="I882" s="2"/>
    </row>
    <row r="883" spans="9:9">
      <c r="I883" s="2"/>
    </row>
    <row r="884" spans="9:9">
      <c r="I884" s="2"/>
    </row>
    <row r="885" spans="9:9">
      <c r="I885" s="2"/>
    </row>
    <row r="886" spans="9:9">
      <c r="I886" s="2"/>
    </row>
    <row r="887" spans="9:9">
      <c r="I887" s="2"/>
    </row>
    <row r="888" spans="9:9">
      <c r="I888" s="2"/>
    </row>
    <row r="889" spans="9:9">
      <c r="I889" s="2"/>
    </row>
    <row r="890" spans="9:9">
      <c r="I890" s="2"/>
    </row>
    <row r="891" spans="9:9">
      <c r="I891" s="2"/>
    </row>
    <row r="892" spans="9:9">
      <c r="I892" s="2"/>
    </row>
    <row r="893" spans="9:9">
      <c r="I893" s="2"/>
    </row>
    <row r="894" spans="9:9">
      <c r="I894" s="2"/>
    </row>
    <row r="895" spans="9:9">
      <c r="I895" s="2"/>
    </row>
    <row r="896" spans="9:9">
      <c r="I896" s="2"/>
    </row>
    <row r="897" spans="9:10">
      <c r="I897" s="2"/>
    </row>
    <row r="898" spans="9:10">
      <c r="I898" s="2"/>
    </row>
    <row r="899" spans="9:10">
      <c r="I899" s="2"/>
    </row>
    <row r="900" spans="9:10">
      <c r="I900" s="2"/>
    </row>
    <row r="901" spans="9:10">
      <c r="I901" s="2"/>
    </row>
    <row r="904" spans="9:10">
      <c r="J904" s="2"/>
    </row>
    <row r="914" spans="10:10">
      <c r="J914" s="2"/>
    </row>
    <row r="969" spans="9:9">
      <c r="I969" s="2"/>
    </row>
    <row r="973" spans="9:9">
      <c r="I973" s="2"/>
    </row>
    <row r="984" spans="9:10">
      <c r="I984" s="2"/>
      <c r="J984" s="2"/>
    </row>
    <row r="989" spans="9:10">
      <c r="I989" s="2"/>
    </row>
    <row r="991" spans="9:10">
      <c r="I991" s="2"/>
    </row>
    <row r="993" spans="9:10">
      <c r="I993" s="2"/>
    </row>
    <row r="995" spans="9:10">
      <c r="I995" s="2"/>
    </row>
    <row r="996" spans="9:10">
      <c r="I996" s="2"/>
    </row>
    <row r="997" spans="9:10">
      <c r="I997" s="2"/>
    </row>
    <row r="998" spans="9:10">
      <c r="I998" s="2"/>
    </row>
    <row r="999" spans="9:10">
      <c r="I999" s="2"/>
    </row>
    <row r="1000" spans="9:10">
      <c r="I1000" s="2"/>
    </row>
    <row r="1002" spans="9:10">
      <c r="I1002" s="2"/>
    </row>
    <row r="1003" spans="9:10">
      <c r="J1003" s="2"/>
    </row>
    <row r="1015" spans="9:9">
      <c r="I1015" s="2"/>
    </row>
    <row r="1016" spans="9:9">
      <c r="I1016" s="2"/>
    </row>
    <row r="1024" spans="9:9">
      <c r="I1024" s="2"/>
    </row>
    <row r="1025" spans="9:10">
      <c r="I1025" s="2"/>
    </row>
    <row r="1026" spans="9:10">
      <c r="I1026" s="2"/>
    </row>
    <row r="1027" spans="9:10">
      <c r="I1027" s="2"/>
    </row>
    <row r="1039" spans="9:10">
      <c r="I1039" s="2"/>
      <c r="J1039" s="2"/>
    </row>
    <row r="1041" spans="9:10">
      <c r="I1041" s="2"/>
    </row>
    <row r="1042" spans="9:10">
      <c r="I1042" s="2"/>
    </row>
    <row r="1043" spans="9:10">
      <c r="I1043" s="2"/>
    </row>
    <row r="1044" spans="9:10">
      <c r="I1044" s="2"/>
    </row>
    <row r="1045" spans="9:10">
      <c r="I1045" s="2"/>
    </row>
    <row r="1047" spans="9:10">
      <c r="I1047" s="2"/>
    </row>
    <row r="1048" spans="9:10">
      <c r="I1048" s="2"/>
    </row>
    <row r="1052" spans="9:10">
      <c r="I1052" s="2"/>
    </row>
    <row r="1053" spans="9:10">
      <c r="I1053" s="2"/>
      <c r="J1053" s="2"/>
    </row>
    <row r="1054" spans="9:10">
      <c r="I1054" s="2"/>
    </row>
    <row r="1058" spans="9:10">
      <c r="I1058" s="2"/>
    </row>
    <row r="1066" spans="9:10">
      <c r="J1066" s="2"/>
    </row>
    <row r="1069" spans="9:10">
      <c r="I1069" s="2"/>
    </row>
    <row r="1070" spans="9:10">
      <c r="I1070" s="2"/>
    </row>
    <row r="1074" spans="9:9">
      <c r="I1074" s="2"/>
    </row>
    <row r="1075" spans="9:9">
      <c r="I1075" s="2"/>
    </row>
    <row r="1085" spans="9:9">
      <c r="I1085" s="2"/>
    </row>
    <row r="1086" spans="9:9">
      <c r="I1086" s="2"/>
    </row>
    <row r="1087" spans="9:9">
      <c r="I1087" s="2"/>
    </row>
    <row r="1088" spans="9:9">
      <c r="I1088" s="2"/>
    </row>
    <row r="1089" spans="9:10">
      <c r="I1089" s="2"/>
    </row>
    <row r="1090" spans="9:10">
      <c r="I1090" s="2"/>
    </row>
    <row r="1099" spans="9:10">
      <c r="I1099" s="2"/>
    </row>
    <row r="1100" spans="9:10">
      <c r="J1100" s="2"/>
    </row>
    <row r="1101" spans="9:10">
      <c r="J1101" s="2"/>
    </row>
    <row r="1102" spans="9:10">
      <c r="I1102" s="2"/>
    </row>
    <row r="1103" spans="9:10">
      <c r="I1103" s="2"/>
    </row>
    <row r="1104" spans="9:10">
      <c r="I1104" s="2"/>
    </row>
    <row r="1106" spans="9:10">
      <c r="I1106" s="2"/>
    </row>
    <row r="1107" spans="9:10">
      <c r="I1107" s="2"/>
    </row>
    <row r="1109" spans="9:10">
      <c r="I1109" s="2"/>
    </row>
    <row r="1117" spans="9:10">
      <c r="J1117" s="2"/>
    </row>
    <row r="1118" spans="9:10">
      <c r="I1118" s="2"/>
    </row>
    <row r="1119" spans="9:10">
      <c r="J1119" s="2"/>
    </row>
    <row r="1120" spans="9:10">
      <c r="I1120" s="2"/>
    </row>
    <row r="1128" spans="9:10">
      <c r="I1128" s="2"/>
    </row>
    <row r="1130" spans="9:10">
      <c r="J1130" s="2"/>
    </row>
    <row r="1133" spans="9:10">
      <c r="I1133" s="2"/>
    </row>
    <row r="1140" spans="9:10">
      <c r="J1140" s="2"/>
    </row>
    <row r="1141" spans="9:10">
      <c r="I1141" s="2"/>
    </row>
    <row r="1142" spans="9:10">
      <c r="I1142" s="2"/>
    </row>
    <row r="1143" spans="9:10">
      <c r="I1143" s="2"/>
    </row>
    <row r="1144" spans="9:10">
      <c r="I1144" s="2"/>
    </row>
    <row r="1145" spans="9:10">
      <c r="I1145" s="2"/>
    </row>
    <row r="1146" spans="9:10">
      <c r="I1146" s="2"/>
    </row>
    <row r="1148" spans="9:10">
      <c r="I1148" s="2"/>
    </row>
    <row r="1149" spans="9:10">
      <c r="I1149" s="2"/>
    </row>
    <row r="1150" spans="9:10">
      <c r="I1150" s="2"/>
      <c r="J1150" s="2"/>
    </row>
    <row r="1151" spans="9:10">
      <c r="I1151" s="2"/>
      <c r="J1151" s="2"/>
    </row>
    <row r="1154" spans="9:10">
      <c r="I1154" s="2"/>
      <c r="J1154" s="2"/>
    </row>
    <row r="1155" spans="9:10">
      <c r="I1155" s="2"/>
      <c r="J1155" s="2"/>
    </row>
    <row r="1157" spans="9:10">
      <c r="J1157" s="2"/>
    </row>
    <row r="1158" spans="9:10">
      <c r="J1158" s="2"/>
    </row>
    <row r="1160" spans="9:10">
      <c r="I1160" s="2"/>
    </row>
    <row r="1161" spans="9:10">
      <c r="I1161" s="2"/>
    </row>
    <row r="1162" spans="9:10">
      <c r="I1162" s="2"/>
    </row>
    <row r="1163" spans="9:10">
      <c r="I1163" s="2"/>
      <c r="J1163" s="2"/>
    </row>
    <row r="1165" spans="9:10">
      <c r="J1165" s="2"/>
    </row>
    <row r="1166" spans="9:10">
      <c r="I1166" s="2"/>
    </row>
    <row r="1167" spans="9:10">
      <c r="I1167" s="2"/>
      <c r="J1167" s="2"/>
    </row>
    <row r="1171" spans="9:10">
      <c r="I1171" s="2"/>
    </row>
    <row r="1172" spans="9:10">
      <c r="I1172" s="2"/>
    </row>
    <row r="1173" spans="9:10">
      <c r="I1173" s="2"/>
    </row>
    <row r="1174" spans="9:10">
      <c r="I1174" s="2"/>
    </row>
    <row r="1175" spans="9:10">
      <c r="I1175" s="2"/>
    </row>
    <row r="1176" spans="9:10">
      <c r="I1176" s="2"/>
    </row>
    <row r="1177" spans="9:10">
      <c r="I1177" s="2"/>
    </row>
    <row r="1178" spans="9:10">
      <c r="I1178" s="2"/>
    </row>
    <row r="1179" spans="9:10">
      <c r="I1179" s="2"/>
    </row>
    <row r="1180" spans="9:10">
      <c r="I1180" s="2"/>
    </row>
    <row r="1181" spans="9:10">
      <c r="I1181" s="2"/>
    </row>
    <row r="1182" spans="9:10">
      <c r="I1182" s="2"/>
    </row>
    <row r="1183" spans="9:10">
      <c r="I1183" s="2"/>
      <c r="J1183" s="2"/>
    </row>
    <row r="1184" spans="9:10">
      <c r="I1184" s="2"/>
    </row>
    <row r="1185" spans="9:10">
      <c r="I1185" s="2"/>
    </row>
    <row r="1186" spans="9:10">
      <c r="I1186" s="2"/>
    </row>
    <row r="1187" spans="9:10">
      <c r="I1187" s="2"/>
      <c r="J1187" s="2"/>
    </row>
    <row r="1188" spans="9:10">
      <c r="J1188" s="2"/>
    </row>
    <row r="1190" spans="9:10">
      <c r="J1190" s="2"/>
    </row>
    <row r="1193" spans="9:10">
      <c r="I1193" s="2"/>
    </row>
    <row r="1194" spans="9:10">
      <c r="I1194" s="2"/>
    </row>
    <row r="1196" spans="9:10">
      <c r="I1196" s="2"/>
      <c r="J1196" s="2"/>
    </row>
    <row r="1197" spans="9:10">
      <c r="J1197" s="2"/>
    </row>
    <row r="1199" spans="9:10">
      <c r="I1199" s="2"/>
    </row>
    <row r="1200" spans="9:10">
      <c r="I1200" s="2"/>
    </row>
    <row r="1202" spans="9:10">
      <c r="J1202" s="2"/>
    </row>
    <row r="1204" spans="9:10">
      <c r="J1204" s="2"/>
    </row>
    <row r="1205" spans="9:10">
      <c r="J1205" s="2"/>
    </row>
    <row r="1206" spans="9:10">
      <c r="I1206" s="2"/>
    </row>
    <row r="1207" spans="9:10">
      <c r="I1207" s="2"/>
      <c r="J1207" s="2"/>
    </row>
    <row r="1208" spans="9:10">
      <c r="J1208" s="2"/>
    </row>
    <row r="1209" spans="9:10">
      <c r="I1209" s="2"/>
    </row>
    <row r="1210" spans="9:10">
      <c r="I1210" s="2"/>
    </row>
    <row r="1211" spans="9:10">
      <c r="I1211" s="2"/>
    </row>
    <row r="1212" spans="9:10">
      <c r="I1212" s="2"/>
    </row>
    <row r="1213" spans="9:10">
      <c r="I1213" s="2"/>
      <c r="J1213" s="2"/>
    </row>
    <row r="1214" spans="9:10">
      <c r="I1214" s="2"/>
    </row>
    <row r="1215" spans="9:10">
      <c r="I1215" s="2"/>
    </row>
    <row r="1216" spans="9:10">
      <c r="I1216" s="2"/>
      <c r="J1216" s="2"/>
    </row>
    <row r="1217" spans="9:10">
      <c r="I1217" s="2"/>
    </row>
    <row r="1218" spans="9:10">
      <c r="I1218" s="2"/>
    </row>
    <row r="1219" spans="9:10">
      <c r="I1219" s="2"/>
    </row>
    <row r="1220" spans="9:10">
      <c r="I1220" s="2"/>
    </row>
    <row r="1221" spans="9:10">
      <c r="I1221" s="2"/>
    </row>
    <row r="1226" spans="9:10">
      <c r="I1226" s="2"/>
    </row>
    <row r="1227" spans="9:10">
      <c r="J1227" s="2"/>
    </row>
    <row r="1228" spans="9:10">
      <c r="J1228" s="2"/>
    </row>
    <row r="1229" spans="9:10">
      <c r="J1229" s="2"/>
    </row>
    <row r="1234" spans="9:10">
      <c r="I1234" s="2"/>
    </row>
    <row r="1237" spans="9:10">
      <c r="J1237" s="2"/>
    </row>
    <row r="1238" spans="9:10">
      <c r="I1238" s="2"/>
    </row>
    <row r="1239" spans="9:10">
      <c r="I1239" s="2"/>
    </row>
    <row r="1240" spans="9:10">
      <c r="J1240" s="2"/>
    </row>
    <row r="1241" spans="9:10">
      <c r="I1241" s="2"/>
    </row>
    <row r="1242" spans="9:10">
      <c r="I1242" s="2"/>
    </row>
    <row r="1243" spans="9:10">
      <c r="J1243" s="2"/>
    </row>
    <row r="1244" spans="9:10">
      <c r="I1244" s="2"/>
    </row>
    <row r="1246" spans="9:10">
      <c r="I1246" s="2"/>
    </row>
    <row r="1250" spans="9:9">
      <c r="I1250" s="2"/>
    </row>
    <row r="1251" spans="9:9">
      <c r="I1251" s="2"/>
    </row>
    <row r="1252" spans="9:9">
      <c r="I1252" s="2"/>
    </row>
    <row r="1253" spans="9:9">
      <c r="I1253" s="2"/>
    </row>
    <row r="1255" spans="9:9">
      <c r="I1255" s="2"/>
    </row>
    <row r="1259" spans="9:9">
      <c r="I1259" s="2"/>
    </row>
    <row r="1261" spans="9:9">
      <c r="I1261" s="2"/>
    </row>
    <row r="1262" spans="9:9">
      <c r="I1262" s="2"/>
    </row>
    <row r="1263" spans="9:9">
      <c r="I1263" s="2"/>
    </row>
    <row r="1264" spans="9:9">
      <c r="I1264" s="2"/>
    </row>
    <row r="1265" spans="7:9">
      <c r="I1265" s="2"/>
    </row>
    <row r="1267" spans="7:9">
      <c r="I1267" s="2"/>
    </row>
    <row r="1268" spans="7:9">
      <c r="I1268" s="2"/>
    </row>
    <row r="1270" spans="7:9">
      <c r="I1270" s="2"/>
    </row>
    <row r="1271" spans="7:9">
      <c r="I1271" s="2"/>
    </row>
    <row r="1275" spans="7:9">
      <c r="I1275" s="2"/>
    </row>
    <row r="1276" spans="7:9">
      <c r="I1276" s="2"/>
    </row>
    <row r="1277" spans="7:9">
      <c r="G1277" s="1"/>
      <c r="H1277" s="2"/>
    </row>
    <row r="1278" spans="7:9">
      <c r="G1278" s="1"/>
      <c r="H1278" s="2"/>
    </row>
    <row r="1279" spans="7:9">
      <c r="G1279" s="1"/>
      <c r="H1279" s="2"/>
      <c r="I1279" s="2"/>
    </row>
    <row r="1280" spans="7:9">
      <c r="I1280" s="2"/>
    </row>
    <row r="1281" spans="9:10">
      <c r="I1281" s="2"/>
      <c r="J1281" s="2"/>
    </row>
    <row r="1287" spans="9:10">
      <c r="I1287" s="2"/>
    </row>
    <row r="1290" spans="9:10">
      <c r="I1290" s="2"/>
    </row>
    <row r="1291" spans="9:10">
      <c r="I1291" s="2"/>
    </row>
    <row r="1292" spans="9:10">
      <c r="I1292" s="2"/>
    </row>
    <row r="1293" spans="9:10">
      <c r="I1293" s="2"/>
    </row>
    <row r="1294" spans="9:10">
      <c r="I1294" s="2"/>
    </row>
    <row r="1295" spans="9:10">
      <c r="I1295" s="2"/>
    </row>
    <row r="1297" spans="7:10">
      <c r="I1297" s="2"/>
    </row>
    <row r="1298" spans="7:10">
      <c r="I1298" s="2"/>
    </row>
    <row r="1300" spans="7:10">
      <c r="I1300" s="2"/>
    </row>
    <row r="1301" spans="7:10">
      <c r="I1301" s="2"/>
    </row>
    <row r="1302" spans="7:10">
      <c r="I1302" s="2"/>
    </row>
    <row r="1303" spans="7:10">
      <c r="I1303" s="2"/>
    </row>
    <row r="1304" spans="7:10">
      <c r="H1304" s="2"/>
      <c r="I1304" s="2"/>
    </row>
    <row r="1305" spans="7:10">
      <c r="H1305" s="2"/>
    </row>
    <row r="1306" spans="7:10">
      <c r="H1306" s="2"/>
      <c r="I1306" s="2"/>
    </row>
    <row r="1307" spans="7:10">
      <c r="H1307" s="2"/>
    </row>
    <row r="1308" spans="7:10">
      <c r="G1308" s="1"/>
      <c r="H1308" s="2"/>
    </row>
    <row r="1309" spans="7:10">
      <c r="G1309" s="1"/>
      <c r="H1309" s="2"/>
      <c r="I1309" s="2"/>
      <c r="J1309" s="2"/>
    </row>
    <row r="1310" spans="7:10">
      <c r="G1310" s="1"/>
      <c r="H1310" s="2"/>
      <c r="I1310" s="2"/>
    </row>
    <row r="1311" spans="7:10">
      <c r="G1311" s="1"/>
      <c r="H1311" s="2"/>
      <c r="I1311" s="2"/>
    </row>
    <row r="1312" spans="7:10">
      <c r="G1312" s="1"/>
      <c r="H1312" s="2"/>
    </row>
    <row r="1313" spans="7:9">
      <c r="G1313" s="1"/>
      <c r="H1313" s="2"/>
    </row>
    <row r="1314" spans="7:9">
      <c r="G1314" s="1"/>
      <c r="H1314" s="2"/>
      <c r="I1314" s="2"/>
    </row>
    <row r="1315" spans="7:9">
      <c r="G1315" s="1"/>
      <c r="H1315" s="2"/>
    </row>
    <row r="1316" spans="7:9">
      <c r="G1316" s="1"/>
      <c r="H1316" s="2"/>
      <c r="I1316" s="2"/>
    </row>
    <row r="1317" spans="7:9">
      <c r="G1317" s="1"/>
      <c r="H1317" s="2"/>
    </row>
    <row r="1318" spans="7:9">
      <c r="G1318" s="1"/>
      <c r="H1318" s="2"/>
    </row>
    <row r="1319" spans="7:9">
      <c r="G1319" s="1"/>
      <c r="H1319" s="2"/>
    </row>
    <row r="1320" spans="7:9">
      <c r="G1320" s="1"/>
      <c r="H1320" s="2"/>
      <c r="I1320" s="2"/>
    </row>
    <row r="1321" spans="7:9">
      <c r="G1321" s="1"/>
      <c r="H1321" s="2"/>
      <c r="I1321" s="2"/>
    </row>
    <row r="1322" spans="7:9">
      <c r="G1322" s="1"/>
      <c r="H1322" s="2"/>
      <c r="I1322" s="2"/>
    </row>
    <row r="1323" spans="7:9">
      <c r="G1323" s="1"/>
      <c r="H1323" s="2"/>
      <c r="I1323" s="2"/>
    </row>
    <row r="1324" spans="7:9">
      <c r="G1324" s="1"/>
      <c r="H1324" s="2"/>
    </row>
    <row r="1325" spans="7:9">
      <c r="G1325" s="1"/>
      <c r="H1325" s="2"/>
      <c r="I1325" s="2"/>
    </row>
    <row r="1326" spans="7:9">
      <c r="G1326" s="1"/>
      <c r="H1326" s="2"/>
    </row>
    <row r="1327" spans="7:9">
      <c r="G1327" s="1"/>
      <c r="H1327" s="2"/>
    </row>
    <row r="1328" spans="7:9">
      <c r="G1328" s="1"/>
      <c r="H1328" s="2"/>
    </row>
    <row r="1329" spans="7:9">
      <c r="G1329" s="1"/>
      <c r="H1329" s="2"/>
      <c r="I1329" s="2"/>
    </row>
    <row r="1330" spans="7:9">
      <c r="G1330" s="1"/>
      <c r="H1330" s="2"/>
      <c r="I1330" s="2"/>
    </row>
    <row r="1331" spans="7:9">
      <c r="G1331" s="1"/>
      <c r="H1331" s="2"/>
    </row>
    <row r="1332" spans="7:9">
      <c r="G1332" s="1"/>
      <c r="H1332" s="2"/>
      <c r="I1332" s="2"/>
    </row>
    <row r="1333" spans="7:9">
      <c r="G1333" s="1"/>
      <c r="H1333" s="2"/>
    </row>
    <row r="1334" spans="7:9">
      <c r="G1334" s="1"/>
      <c r="H1334" s="2"/>
      <c r="I1334" s="2"/>
    </row>
    <row r="1335" spans="7:9">
      <c r="G1335" s="1"/>
      <c r="H1335" s="2"/>
      <c r="I1335" s="2"/>
    </row>
    <row r="1336" spans="7:9">
      <c r="G1336" s="1"/>
      <c r="H1336" s="2"/>
      <c r="I1336" s="2"/>
    </row>
    <row r="1337" spans="7:9">
      <c r="I1337" s="2"/>
    </row>
    <row r="1338" spans="7:9">
      <c r="I1338" s="2"/>
    </row>
    <row r="1339" spans="7:9">
      <c r="I1339" s="2"/>
    </row>
    <row r="1341" spans="7:9">
      <c r="I1341" s="2"/>
    </row>
    <row r="1343" spans="7:9">
      <c r="I1343" s="2"/>
    </row>
    <row r="1344" spans="7:9">
      <c r="I1344" s="2"/>
    </row>
    <row r="1348" spans="9:9">
      <c r="I1348" s="2"/>
    </row>
    <row r="1349" spans="9:9">
      <c r="I1349" s="2"/>
    </row>
    <row r="1350" spans="9:9">
      <c r="I1350" s="2"/>
    </row>
    <row r="1352" spans="9:9">
      <c r="I1352" s="2"/>
    </row>
    <row r="1353" spans="9:9">
      <c r="I1353" s="2"/>
    </row>
    <row r="1354" spans="9:9">
      <c r="I1354" s="2"/>
    </row>
    <row r="1355" spans="9:9">
      <c r="I1355" s="2"/>
    </row>
    <row r="1357" spans="9:9">
      <c r="I1357" s="2"/>
    </row>
    <row r="1358" spans="9:9">
      <c r="I1358" s="2"/>
    </row>
    <row r="1359" spans="9:9">
      <c r="I1359" s="2"/>
    </row>
    <row r="1360" spans="9:9">
      <c r="I1360" s="2"/>
    </row>
    <row r="1361" spans="9:9">
      <c r="I1361" s="2"/>
    </row>
    <row r="1362" spans="9:9">
      <c r="I1362" s="2"/>
    </row>
    <row r="1363" spans="9:9">
      <c r="I1363" s="2"/>
    </row>
    <row r="1364" spans="9:9">
      <c r="I1364" s="2"/>
    </row>
    <row r="1365" spans="9:9">
      <c r="I1365" s="2"/>
    </row>
    <row r="1366" spans="9:9">
      <c r="I1366" s="2"/>
    </row>
    <row r="1367" spans="9:9">
      <c r="I1367" s="2"/>
    </row>
    <row r="1368" spans="9:9">
      <c r="I1368" s="2"/>
    </row>
    <row r="1373" spans="9:9">
      <c r="I1373" s="2"/>
    </row>
    <row r="1374" spans="9:9">
      <c r="I1374" s="2"/>
    </row>
    <row r="1375" spans="9:9">
      <c r="I1375" s="2"/>
    </row>
    <row r="1376" spans="9:9">
      <c r="I1376" s="2"/>
    </row>
    <row r="1377" spans="7:10">
      <c r="I1377" s="2"/>
    </row>
    <row r="1378" spans="7:10">
      <c r="J1378" s="2"/>
    </row>
    <row r="1379" spans="7:10">
      <c r="I1379" s="2"/>
    </row>
    <row r="1380" spans="7:10">
      <c r="I1380" s="2"/>
    </row>
    <row r="1381" spans="7:10">
      <c r="I1381" s="2"/>
    </row>
    <row r="1383" spans="7:10">
      <c r="I1383" s="2"/>
    </row>
    <row r="1384" spans="7:10">
      <c r="I1384" s="2"/>
    </row>
    <row r="1386" spans="7:10">
      <c r="G1386" s="1"/>
      <c r="H1386" s="2"/>
    </row>
    <row r="1387" spans="7:10">
      <c r="G1387" s="1"/>
      <c r="H1387" s="2"/>
    </row>
    <row r="1388" spans="7:10">
      <c r="G1388" s="1"/>
      <c r="H1388" s="2"/>
      <c r="I1388" s="2"/>
    </row>
    <row r="1389" spans="7:10">
      <c r="G1389" s="1"/>
      <c r="H1389" s="2"/>
    </row>
    <row r="1390" spans="7:10">
      <c r="G1390" s="1"/>
      <c r="H1390" s="2"/>
    </row>
    <row r="1391" spans="7:10">
      <c r="G1391" s="1"/>
      <c r="H1391" s="2"/>
    </row>
    <row r="1392" spans="7:10">
      <c r="G1392" s="1"/>
      <c r="H1392" s="2"/>
    </row>
    <row r="1393" spans="7:9">
      <c r="G1393" s="1"/>
      <c r="H1393" s="2"/>
      <c r="I1393" s="2"/>
    </row>
    <row r="1394" spans="7:9">
      <c r="G1394" s="1"/>
      <c r="H1394" s="2"/>
      <c r="I1394" s="2"/>
    </row>
    <row r="1395" spans="7:9">
      <c r="G1395" s="1"/>
      <c r="H1395" s="2"/>
    </row>
    <row r="1396" spans="7:9">
      <c r="G1396" s="1"/>
      <c r="H1396" s="2"/>
      <c r="I1396" s="2"/>
    </row>
    <row r="1397" spans="7:9">
      <c r="G1397" s="1"/>
      <c r="H1397" s="2"/>
      <c r="I1397" s="2"/>
    </row>
    <row r="1398" spans="7:9">
      <c r="G1398" s="1"/>
      <c r="H1398" s="2"/>
      <c r="I1398" s="2"/>
    </row>
    <row r="1399" spans="7:9">
      <c r="G1399" s="1"/>
      <c r="H1399" s="2"/>
    </row>
    <row r="1400" spans="7:9">
      <c r="G1400" s="1"/>
      <c r="H1400" s="2"/>
    </row>
    <row r="1401" spans="7:9">
      <c r="G1401" s="1"/>
      <c r="H1401" s="2"/>
    </row>
    <row r="1402" spans="7:9">
      <c r="G1402" s="1"/>
      <c r="H1402" s="2"/>
    </row>
    <row r="1403" spans="7:9">
      <c r="G1403" s="1"/>
      <c r="H1403" s="2"/>
    </row>
    <row r="1404" spans="7:9">
      <c r="G1404" s="1"/>
      <c r="H1404" s="2"/>
      <c r="I1404" s="2"/>
    </row>
    <row r="1405" spans="7:9">
      <c r="G1405" s="1"/>
      <c r="H1405" s="2"/>
      <c r="I1405" s="2"/>
    </row>
    <row r="1406" spans="7:9">
      <c r="G1406" s="1"/>
      <c r="H1406" s="2"/>
      <c r="I1406" s="2"/>
    </row>
    <row r="1407" spans="7:9">
      <c r="G1407" s="1"/>
      <c r="H1407" s="2"/>
    </row>
    <row r="1408" spans="7:9">
      <c r="G1408" s="1"/>
      <c r="H1408" s="2"/>
      <c r="I1408" s="2"/>
    </row>
    <row r="1409" spans="7:9">
      <c r="G1409" s="1"/>
      <c r="H1409" s="2"/>
      <c r="I1409" s="2"/>
    </row>
    <row r="1410" spans="7:9">
      <c r="G1410" s="1"/>
      <c r="H1410" s="2"/>
      <c r="I1410" s="2"/>
    </row>
    <row r="1411" spans="7:9">
      <c r="G1411" s="1"/>
      <c r="H1411" s="2"/>
      <c r="I1411" s="2"/>
    </row>
    <row r="1412" spans="7:9">
      <c r="G1412" s="1"/>
      <c r="H1412" s="2"/>
      <c r="I1412" s="2"/>
    </row>
    <row r="1413" spans="7:9">
      <c r="G1413" s="1"/>
      <c r="H1413" s="2"/>
      <c r="I1413" s="2"/>
    </row>
    <row r="1414" spans="7:9">
      <c r="G1414" s="1"/>
      <c r="H1414" s="2"/>
      <c r="I1414" s="2"/>
    </row>
    <row r="1415" spans="7:9">
      <c r="I1415" s="2"/>
    </row>
    <row r="1416" spans="7:9">
      <c r="I1416" s="2"/>
    </row>
    <row r="1417" spans="7:9">
      <c r="I1417" s="2"/>
    </row>
    <row r="1418" spans="7:9">
      <c r="I1418" s="2"/>
    </row>
    <row r="1419" spans="7:9">
      <c r="I1419" s="2"/>
    </row>
    <row r="1420" spans="7:9">
      <c r="I1420" s="2"/>
    </row>
    <row r="1421" spans="7:9">
      <c r="I1421" s="2"/>
    </row>
    <row r="1422" spans="7:9">
      <c r="I1422" s="2"/>
    </row>
    <row r="1423" spans="7:9">
      <c r="I1423" s="2"/>
    </row>
    <row r="1424" spans="7:9">
      <c r="I1424" s="2"/>
    </row>
    <row r="1425" spans="7:9">
      <c r="I1425" s="2"/>
    </row>
    <row r="1426" spans="7:9">
      <c r="I1426" s="2"/>
    </row>
    <row r="1427" spans="7:9">
      <c r="I1427" s="2"/>
    </row>
    <row r="1429" spans="7:9">
      <c r="I1429" s="2"/>
    </row>
    <row r="1430" spans="7:9">
      <c r="I1430" s="2"/>
    </row>
    <row r="1431" spans="7:9">
      <c r="I1431" s="2"/>
    </row>
    <row r="1432" spans="7:9">
      <c r="G1432" s="1"/>
      <c r="I1432" s="2"/>
    </row>
    <row r="1433" spans="7:9">
      <c r="I1433" s="2"/>
    </row>
    <row r="1434" spans="7:9">
      <c r="I1434" s="2"/>
    </row>
    <row r="1435" spans="7:9">
      <c r="I1435" s="2"/>
    </row>
    <row r="1436" spans="7:9">
      <c r="I1436" s="2"/>
    </row>
    <row r="1437" spans="7:9">
      <c r="I1437" s="2"/>
    </row>
    <row r="1440" spans="7:9">
      <c r="I1440" s="2"/>
    </row>
    <row r="1441" spans="9:9">
      <c r="I1441" s="2"/>
    </row>
    <row r="1442" spans="9:9">
      <c r="I1442" s="2"/>
    </row>
    <row r="1443" spans="9:9">
      <c r="I1443" s="2"/>
    </row>
    <row r="1444" spans="9:9">
      <c r="I1444" s="2"/>
    </row>
    <row r="1445" spans="9:9">
      <c r="I1445" s="2"/>
    </row>
    <row r="1446" spans="9:9">
      <c r="I1446" s="2"/>
    </row>
    <row r="1447" spans="9:9">
      <c r="I1447" s="2"/>
    </row>
    <row r="1453" spans="9:9">
      <c r="I1453" s="2"/>
    </row>
    <row r="1455" spans="9:9">
      <c r="I1455" s="2"/>
    </row>
    <row r="1469" spans="9:9">
      <c r="I1469" s="2"/>
    </row>
    <row r="1470" spans="9:9">
      <c r="I1470" s="2"/>
    </row>
    <row r="1471" spans="9:9">
      <c r="I1471" s="2"/>
    </row>
    <row r="1472" spans="9:9">
      <c r="I1472" s="2"/>
    </row>
    <row r="1476" spans="9:9">
      <c r="I1476" s="2"/>
    </row>
    <row r="1478" spans="9:9">
      <c r="I1478" s="2"/>
    </row>
    <row r="1481" spans="9:9">
      <c r="I1481" s="2"/>
    </row>
    <row r="1482" spans="9:9">
      <c r="I1482" s="2"/>
    </row>
    <row r="1483" spans="9:9">
      <c r="I1483" s="2"/>
    </row>
    <row r="1486" spans="9:9">
      <c r="I1486" s="2"/>
    </row>
    <row r="1487" spans="9:9">
      <c r="I1487" s="2"/>
    </row>
    <row r="1491" spans="7:9">
      <c r="I1491" s="2"/>
    </row>
    <row r="1494" spans="7:9">
      <c r="I1494" s="2"/>
    </row>
    <row r="1497" spans="7:9">
      <c r="G1497" s="1"/>
      <c r="H1497" s="2"/>
    </row>
    <row r="1498" spans="7:9">
      <c r="G1498" s="1"/>
      <c r="H1498" s="2"/>
    </row>
    <row r="1499" spans="7:9">
      <c r="G1499" s="1"/>
      <c r="H1499" s="2"/>
    </row>
    <row r="1500" spans="7:9">
      <c r="G1500" s="1"/>
      <c r="H1500" s="2"/>
    </row>
    <row r="1501" spans="7:9">
      <c r="G1501" s="1"/>
      <c r="H1501" s="2"/>
    </row>
    <row r="1502" spans="7:9">
      <c r="G1502" s="1"/>
      <c r="H1502" s="2"/>
    </row>
    <row r="1503" spans="7:9">
      <c r="G1503" s="1"/>
      <c r="H1503" s="2"/>
    </row>
    <row r="1504" spans="7:9">
      <c r="G1504" s="1"/>
      <c r="H1504" s="2"/>
    </row>
    <row r="1505" spans="7:8">
      <c r="G1505" s="1"/>
      <c r="H1505" s="2"/>
    </row>
    <row r="1506" spans="7:8">
      <c r="G1506" s="1"/>
      <c r="H1506" s="2"/>
    </row>
    <row r="1507" spans="7:8">
      <c r="G1507" s="1"/>
      <c r="H1507" s="2"/>
    </row>
    <row r="1508" spans="7:8">
      <c r="G1508" s="1"/>
      <c r="H1508" s="2"/>
    </row>
    <row r="1509" spans="7:8">
      <c r="G1509" s="1"/>
      <c r="H1509" s="2"/>
    </row>
    <row r="1510" spans="7:8">
      <c r="G1510" s="1"/>
      <c r="H1510" s="2"/>
    </row>
    <row r="1511" spans="7:8">
      <c r="G1511" s="1"/>
      <c r="H1511" s="2"/>
    </row>
    <row r="1512" spans="7:8">
      <c r="G1512" s="1"/>
      <c r="H1512" s="2"/>
    </row>
    <row r="1513" spans="7:8">
      <c r="G1513" s="1"/>
      <c r="H1513" s="2"/>
    </row>
    <row r="1514" spans="7:8">
      <c r="G1514" s="1"/>
      <c r="H1514" s="2"/>
    </row>
    <row r="1515" spans="7:8">
      <c r="G1515" s="1"/>
      <c r="H1515" s="2"/>
    </row>
    <row r="1516" spans="7:8">
      <c r="G1516" s="1"/>
      <c r="H1516" s="2"/>
    </row>
    <row r="1517" spans="7:8">
      <c r="G1517" s="1"/>
      <c r="H1517" s="2"/>
    </row>
    <row r="1518" spans="7:8">
      <c r="G1518" s="1"/>
      <c r="H1518" s="2"/>
    </row>
    <row r="1519" spans="7:8">
      <c r="G1519" s="1"/>
      <c r="H1519" s="2"/>
    </row>
    <row r="1520" spans="7:8">
      <c r="G1520" s="1"/>
      <c r="H1520" s="2"/>
    </row>
    <row r="1521" spans="7:8">
      <c r="G1521" s="1"/>
      <c r="H1521" s="2"/>
    </row>
    <row r="1540" spans="10:10">
      <c r="J1540" s="2"/>
    </row>
  </sheetData>
  <autoFilter ref="A1:AT1364" xr:uid="{F97FA3CF-C0BA-4A91-83E5-DE26A895F74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23BD-5244-46FF-BB00-D7729FED741E}">
  <sheetPr codeName="Hoja1">
    <tabColor rgb="FF92D050"/>
  </sheetPr>
  <dimension ref="A1:AC181"/>
  <sheetViews>
    <sheetView zoomScale="90" zoomScaleNormal="55" workbookViewId="0">
      <selection activeCell="G8" sqref="G8"/>
    </sheetView>
  </sheetViews>
  <sheetFormatPr baseColWidth="10" defaultColWidth="11.44140625" defaultRowHeight="14.4"/>
  <cols>
    <col min="8" max="8" width="18.109375" customWidth="1"/>
    <col min="10" max="15" width="10.88671875" style="21"/>
  </cols>
  <sheetData>
    <row r="1" spans="1:29">
      <c r="A1" s="26" t="s">
        <v>31</v>
      </c>
      <c r="B1" s="26" t="s">
        <v>13</v>
      </c>
      <c r="C1" s="26" t="s">
        <v>848</v>
      </c>
      <c r="D1" s="26" t="s">
        <v>849</v>
      </c>
      <c r="E1" s="26" t="s">
        <v>15</v>
      </c>
      <c r="F1" s="26" t="s">
        <v>33</v>
      </c>
      <c r="G1" s="26" t="s">
        <v>17</v>
      </c>
      <c r="H1" s="26" t="s">
        <v>34</v>
      </c>
      <c r="I1" s="26" t="s">
        <v>850</v>
      </c>
      <c r="J1" s="30" t="s">
        <v>37</v>
      </c>
      <c r="K1" s="30" t="s">
        <v>38</v>
      </c>
      <c r="L1" s="30" t="s">
        <v>851</v>
      </c>
      <c r="M1" s="30" t="s">
        <v>852</v>
      </c>
      <c r="N1" s="30" t="s">
        <v>853</v>
      </c>
      <c r="O1" s="30" t="s">
        <v>854</v>
      </c>
      <c r="P1" s="26" t="s">
        <v>855</v>
      </c>
      <c r="Q1" s="26" t="s">
        <v>856</v>
      </c>
      <c r="R1" s="26" t="s">
        <v>857</v>
      </c>
      <c r="S1" s="26" t="s">
        <v>858</v>
      </c>
      <c r="T1" s="26" t="s">
        <v>859</v>
      </c>
      <c r="U1" s="26" t="s">
        <v>860</v>
      </c>
      <c r="V1" s="26" t="s">
        <v>861</v>
      </c>
      <c r="W1" s="26" t="s">
        <v>862</v>
      </c>
      <c r="X1" s="26" t="s">
        <v>64</v>
      </c>
      <c r="Y1" s="26" t="s">
        <v>863</v>
      </c>
      <c r="Z1" s="26" t="s">
        <v>864</v>
      </c>
      <c r="AA1" s="26" t="s">
        <v>865</v>
      </c>
      <c r="AB1" s="26" t="s">
        <v>870</v>
      </c>
      <c r="AC1" s="39" t="s">
        <v>869</v>
      </c>
    </row>
    <row r="2" spans="1:29">
      <c r="A2">
        <v>1</v>
      </c>
      <c r="B2">
        <v>33</v>
      </c>
      <c r="C2" t="s">
        <v>74</v>
      </c>
      <c r="D2" t="s">
        <v>1258</v>
      </c>
      <c r="E2" t="s">
        <v>1467</v>
      </c>
      <c r="F2">
        <v>13564</v>
      </c>
      <c r="G2" s="1" t="s">
        <v>1516</v>
      </c>
      <c r="H2" s="2" t="s">
        <v>1518</v>
      </c>
      <c r="I2" s="2"/>
      <c r="J2" s="21">
        <v>0</v>
      </c>
      <c r="K2" s="21">
        <v>449350</v>
      </c>
      <c r="L2" s="21">
        <v>85377</v>
      </c>
      <c r="O2" s="21">
        <v>534727</v>
      </c>
      <c r="T2">
        <v>0</v>
      </c>
      <c r="X2">
        <v>0</v>
      </c>
      <c r="AB2" t="s">
        <v>872</v>
      </c>
      <c r="AC2">
        <v>6</v>
      </c>
    </row>
    <row r="3" spans="1:29">
      <c r="A3">
        <v>2</v>
      </c>
      <c r="B3">
        <v>33</v>
      </c>
      <c r="C3" t="s">
        <v>74</v>
      </c>
      <c r="D3" t="s">
        <v>109</v>
      </c>
      <c r="E3" t="s">
        <v>1379</v>
      </c>
      <c r="F3">
        <v>4619</v>
      </c>
      <c r="G3" s="1">
        <v>45809</v>
      </c>
      <c r="H3" s="2">
        <v>45663.873298611114</v>
      </c>
      <c r="I3" s="2"/>
      <c r="J3" s="21">
        <v>0</v>
      </c>
      <c r="K3" s="21">
        <v>587880</v>
      </c>
      <c r="L3" s="21">
        <v>111697</v>
      </c>
      <c r="O3" s="21">
        <v>699577</v>
      </c>
      <c r="T3">
        <v>0</v>
      </c>
      <c r="X3">
        <v>0</v>
      </c>
      <c r="AB3" t="s">
        <v>872</v>
      </c>
      <c r="AC3">
        <v>6</v>
      </c>
    </row>
    <row r="4" spans="1:29">
      <c r="A4">
        <v>3</v>
      </c>
      <c r="B4">
        <v>33</v>
      </c>
      <c r="C4" t="s">
        <v>74</v>
      </c>
      <c r="D4" t="s">
        <v>1212</v>
      </c>
      <c r="E4" t="s">
        <v>1213</v>
      </c>
      <c r="F4">
        <v>2430670</v>
      </c>
      <c r="G4" s="1" t="s">
        <v>1525</v>
      </c>
      <c r="H4" s="2">
        <v>45722.959953703707</v>
      </c>
      <c r="I4" s="2"/>
      <c r="J4" s="21">
        <v>0</v>
      </c>
      <c r="K4" s="21">
        <v>5638357</v>
      </c>
      <c r="L4" s="21">
        <v>1071288</v>
      </c>
      <c r="O4" s="21">
        <v>6709645</v>
      </c>
      <c r="T4">
        <v>0</v>
      </c>
      <c r="X4">
        <v>0</v>
      </c>
      <c r="AB4" t="s">
        <v>872</v>
      </c>
      <c r="AC4">
        <v>6</v>
      </c>
    </row>
    <row r="5" spans="1:29">
      <c r="A5">
        <v>4</v>
      </c>
      <c r="B5">
        <v>33</v>
      </c>
      <c r="C5" t="s">
        <v>74</v>
      </c>
      <c r="D5" t="s">
        <v>917</v>
      </c>
      <c r="E5" t="s">
        <v>1221</v>
      </c>
      <c r="F5">
        <v>186040</v>
      </c>
      <c r="G5" s="1">
        <v>45812</v>
      </c>
      <c r="H5" s="2">
        <v>45814.018483796295</v>
      </c>
      <c r="I5" s="2">
        <v>45967.494675925926</v>
      </c>
      <c r="J5" s="21">
        <v>0</v>
      </c>
      <c r="K5" s="21">
        <v>1166358</v>
      </c>
      <c r="L5" s="21">
        <v>221608</v>
      </c>
      <c r="O5" s="21">
        <v>1387966</v>
      </c>
      <c r="T5">
        <v>0</v>
      </c>
      <c r="X5">
        <v>0</v>
      </c>
      <c r="AB5" t="s">
        <v>872</v>
      </c>
      <c r="AC5">
        <v>6</v>
      </c>
    </row>
    <row r="6" spans="1:29">
      <c r="A6">
        <v>5</v>
      </c>
      <c r="B6">
        <v>33</v>
      </c>
      <c r="C6" t="s">
        <v>74</v>
      </c>
      <c r="D6" t="s">
        <v>1279</v>
      </c>
      <c r="E6" t="s">
        <v>1280</v>
      </c>
      <c r="F6">
        <v>519673</v>
      </c>
      <c r="G6" s="1">
        <v>45817</v>
      </c>
      <c r="H6" s="2">
        <v>45906.536053240743</v>
      </c>
      <c r="I6" s="2"/>
      <c r="J6" s="21">
        <v>0</v>
      </c>
      <c r="K6" s="21">
        <v>350217</v>
      </c>
      <c r="L6" s="21">
        <v>66541</v>
      </c>
      <c r="O6" s="21">
        <v>416758</v>
      </c>
      <c r="T6">
        <v>0</v>
      </c>
      <c r="X6">
        <v>0</v>
      </c>
      <c r="AB6" t="s">
        <v>872</v>
      </c>
      <c r="AC6">
        <v>6</v>
      </c>
    </row>
    <row r="7" spans="1:29">
      <c r="A7">
        <v>6</v>
      </c>
      <c r="B7">
        <v>33</v>
      </c>
      <c r="C7" t="s">
        <v>74</v>
      </c>
      <c r="D7" t="s">
        <v>1279</v>
      </c>
      <c r="E7" t="s">
        <v>1280</v>
      </c>
      <c r="F7">
        <v>519675</v>
      </c>
      <c r="G7" s="1">
        <v>45817</v>
      </c>
      <c r="H7" s="2">
        <v>45906.537326388891</v>
      </c>
      <c r="I7" s="2"/>
      <c r="J7" s="21">
        <v>0</v>
      </c>
      <c r="K7" s="21">
        <v>417458</v>
      </c>
      <c r="L7" s="21">
        <v>79317</v>
      </c>
      <c r="O7" s="21">
        <v>496775</v>
      </c>
      <c r="T7">
        <v>0</v>
      </c>
      <c r="X7">
        <v>0</v>
      </c>
      <c r="AB7" t="s">
        <v>872</v>
      </c>
      <c r="AC7">
        <v>6</v>
      </c>
    </row>
    <row r="8" spans="1:29">
      <c r="A8">
        <v>7</v>
      </c>
      <c r="B8">
        <v>33</v>
      </c>
      <c r="C8" t="s">
        <v>74</v>
      </c>
      <c r="D8" t="s">
        <v>1279</v>
      </c>
      <c r="E8" t="s">
        <v>1280</v>
      </c>
      <c r="F8">
        <v>519679</v>
      </c>
      <c r="G8" s="1">
        <v>45817</v>
      </c>
      <c r="H8" s="2">
        <v>45906.538483796299</v>
      </c>
      <c r="I8" s="2"/>
      <c r="J8" s="21">
        <v>0</v>
      </c>
      <c r="K8" s="21">
        <v>417458</v>
      </c>
      <c r="L8" s="21">
        <v>79317</v>
      </c>
      <c r="O8" s="21">
        <v>496775</v>
      </c>
      <c r="T8">
        <v>0</v>
      </c>
      <c r="X8">
        <v>0</v>
      </c>
      <c r="AB8" t="s">
        <v>872</v>
      </c>
      <c r="AC8">
        <v>6</v>
      </c>
    </row>
    <row r="9" spans="1:29">
      <c r="A9">
        <v>8</v>
      </c>
      <c r="B9">
        <v>33</v>
      </c>
      <c r="C9" t="s">
        <v>74</v>
      </c>
      <c r="D9" t="s">
        <v>1279</v>
      </c>
      <c r="E9" t="s">
        <v>1280</v>
      </c>
      <c r="F9">
        <v>519636</v>
      </c>
      <c r="G9" s="1">
        <v>45817</v>
      </c>
      <c r="H9" s="2">
        <v>45936.437986111108</v>
      </c>
      <c r="I9" s="2"/>
      <c r="J9" s="21">
        <v>0</v>
      </c>
      <c r="K9" s="21">
        <v>425863</v>
      </c>
      <c r="L9" s="21">
        <v>80914</v>
      </c>
      <c r="O9" s="21">
        <v>506777</v>
      </c>
      <c r="T9">
        <v>0</v>
      </c>
      <c r="X9">
        <v>0</v>
      </c>
      <c r="AB9" t="s">
        <v>872</v>
      </c>
      <c r="AC9">
        <v>6</v>
      </c>
    </row>
    <row r="10" spans="1:29">
      <c r="A10">
        <v>9</v>
      </c>
      <c r="B10">
        <v>33</v>
      </c>
      <c r="C10" t="s">
        <v>74</v>
      </c>
      <c r="D10" t="s">
        <v>1306</v>
      </c>
      <c r="E10" t="s">
        <v>1307</v>
      </c>
      <c r="F10">
        <v>83690</v>
      </c>
      <c r="G10" s="1">
        <v>45818</v>
      </c>
      <c r="H10" s="2">
        <v>45936.82744212963</v>
      </c>
      <c r="I10" s="2"/>
      <c r="J10" s="21">
        <v>0</v>
      </c>
      <c r="K10" s="21">
        <v>2214448</v>
      </c>
      <c r="L10" s="21">
        <v>420745</v>
      </c>
      <c r="O10" s="21">
        <v>2635193</v>
      </c>
      <c r="T10">
        <v>0</v>
      </c>
      <c r="X10">
        <v>0</v>
      </c>
      <c r="AB10" t="s">
        <v>872</v>
      </c>
      <c r="AC10">
        <v>6</v>
      </c>
    </row>
    <row r="11" spans="1:29">
      <c r="A11">
        <v>10</v>
      </c>
      <c r="B11">
        <v>33</v>
      </c>
      <c r="C11" t="s">
        <v>74</v>
      </c>
      <c r="D11" t="s">
        <v>1246</v>
      </c>
      <c r="E11" t="s">
        <v>1247</v>
      </c>
      <c r="F11">
        <v>73441</v>
      </c>
      <c r="G11" s="1">
        <v>45819</v>
      </c>
      <c r="H11" s="2">
        <v>45967.711192129631</v>
      </c>
      <c r="I11" s="2"/>
      <c r="J11" s="21">
        <v>0</v>
      </c>
      <c r="K11" s="21">
        <v>150453</v>
      </c>
      <c r="L11" s="21">
        <v>28586</v>
      </c>
      <c r="O11" s="21">
        <v>179039</v>
      </c>
      <c r="T11">
        <v>0</v>
      </c>
      <c r="X11">
        <v>0</v>
      </c>
      <c r="AB11" t="s">
        <v>872</v>
      </c>
      <c r="AC11">
        <v>6</v>
      </c>
    </row>
    <row r="12" spans="1:29">
      <c r="A12">
        <v>11</v>
      </c>
      <c r="B12">
        <v>33</v>
      </c>
      <c r="C12" t="s">
        <v>74</v>
      </c>
      <c r="D12" t="s">
        <v>1246</v>
      </c>
      <c r="E12" t="s">
        <v>1247</v>
      </c>
      <c r="F12">
        <v>73442</v>
      </c>
      <c r="G12" s="1">
        <v>45819</v>
      </c>
      <c r="H12" s="2">
        <v>45967.711192129631</v>
      </c>
      <c r="I12" s="2"/>
      <c r="J12" s="21">
        <v>0</v>
      </c>
      <c r="K12" s="21">
        <v>150453</v>
      </c>
      <c r="L12" s="21">
        <v>28586</v>
      </c>
      <c r="O12" s="21">
        <v>179039</v>
      </c>
      <c r="T12">
        <v>0</v>
      </c>
      <c r="X12">
        <v>0</v>
      </c>
      <c r="AB12" t="s">
        <v>872</v>
      </c>
      <c r="AC12">
        <v>6</v>
      </c>
    </row>
    <row r="13" spans="1:29">
      <c r="A13">
        <v>12</v>
      </c>
      <c r="B13">
        <v>33</v>
      </c>
      <c r="C13" t="s">
        <v>74</v>
      </c>
      <c r="D13" t="s">
        <v>1222</v>
      </c>
      <c r="E13" t="s">
        <v>1223</v>
      </c>
      <c r="F13">
        <v>3629182</v>
      </c>
      <c r="G13" s="1">
        <v>45820</v>
      </c>
      <c r="H13" s="2">
        <v>45997.437847222223</v>
      </c>
      <c r="I13" s="2"/>
      <c r="J13" s="21">
        <v>0</v>
      </c>
      <c r="K13" s="21">
        <v>3457706</v>
      </c>
      <c r="L13" s="21">
        <v>656964</v>
      </c>
      <c r="O13" s="21">
        <v>4114670</v>
      </c>
      <c r="T13">
        <v>0</v>
      </c>
      <c r="X13">
        <v>0</v>
      </c>
      <c r="AB13" t="s">
        <v>872</v>
      </c>
      <c r="AC13">
        <v>6</v>
      </c>
    </row>
    <row r="14" spans="1:29">
      <c r="A14">
        <v>13</v>
      </c>
      <c r="B14">
        <v>33</v>
      </c>
      <c r="C14" t="s">
        <v>74</v>
      </c>
      <c r="D14" t="s">
        <v>1222</v>
      </c>
      <c r="E14" t="s">
        <v>1223</v>
      </c>
      <c r="F14">
        <v>3629181</v>
      </c>
      <c r="G14" s="1">
        <v>45820</v>
      </c>
      <c r="H14" s="2">
        <v>45997.437835648147</v>
      </c>
      <c r="I14" s="2"/>
      <c r="J14" s="21">
        <v>0</v>
      </c>
      <c r="K14" s="21">
        <v>26280947</v>
      </c>
      <c r="L14" s="21">
        <v>4993380</v>
      </c>
      <c r="O14" s="21">
        <v>31274327</v>
      </c>
      <c r="T14">
        <v>0</v>
      </c>
      <c r="X14">
        <v>0</v>
      </c>
      <c r="AB14" t="s">
        <v>872</v>
      </c>
      <c r="AC14">
        <v>6</v>
      </c>
    </row>
    <row r="15" spans="1:29">
      <c r="A15">
        <v>14</v>
      </c>
      <c r="B15">
        <v>33</v>
      </c>
      <c r="C15" t="s">
        <v>74</v>
      </c>
      <c r="D15" t="s">
        <v>1246</v>
      </c>
      <c r="E15" t="s">
        <v>1247</v>
      </c>
      <c r="F15">
        <v>73475</v>
      </c>
      <c r="G15" s="1" t="s">
        <v>1526</v>
      </c>
      <c r="H15" s="2" t="s">
        <v>1519</v>
      </c>
      <c r="I15" s="2"/>
      <c r="J15" s="21">
        <v>0</v>
      </c>
      <c r="K15" s="21">
        <v>150453</v>
      </c>
      <c r="L15" s="21">
        <v>28586</v>
      </c>
      <c r="O15" s="21">
        <v>179039</v>
      </c>
      <c r="T15">
        <v>0</v>
      </c>
      <c r="X15">
        <v>0</v>
      </c>
      <c r="AB15" t="s">
        <v>872</v>
      </c>
      <c r="AC15">
        <v>6</v>
      </c>
    </row>
    <row r="16" spans="1:29">
      <c r="A16">
        <v>15</v>
      </c>
      <c r="B16">
        <v>33</v>
      </c>
      <c r="C16" t="s">
        <v>74</v>
      </c>
      <c r="D16" t="s">
        <v>1236</v>
      </c>
      <c r="E16" t="s">
        <v>1237</v>
      </c>
      <c r="F16">
        <v>134926</v>
      </c>
      <c r="G16" s="1" t="s">
        <v>1526</v>
      </c>
      <c r="H16" s="2" t="s">
        <v>1520</v>
      </c>
      <c r="I16" s="2"/>
      <c r="J16" s="21">
        <v>0</v>
      </c>
      <c r="K16" s="21">
        <v>117576</v>
      </c>
      <c r="L16" s="21">
        <v>22339</v>
      </c>
      <c r="O16" s="21">
        <v>139915</v>
      </c>
      <c r="T16">
        <v>0</v>
      </c>
      <c r="X16">
        <v>0</v>
      </c>
      <c r="AB16" t="s">
        <v>872</v>
      </c>
      <c r="AC16">
        <v>6</v>
      </c>
    </row>
    <row r="17" spans="1:29">
      <c r="A17">
        <v>16</v>
      </c>
      <c r="B17">
        <v>33</v>
      </c>
      <c r="C17" t="s">
        <v>74</v>
      </c>
      <c r="D17" t="s">
        <v>1222</v>
      </c>
      <c r="E17" t="s">
        <v>1223</v>
      </c>
      <c r="F17">
        <v>3636502</v>
      </c>
      <c r="G17" s="1" t="s">
        <v>1527</v>
      </c>
      <c r="H17" s="2" t="s">
        <v>1521</v>
      </c>
      <c r="I17" s="2"/>
      <c r="J17" s="21">
        <v>0</v>
      </c>
      <c r="K17" s="21">
        <v>7681880</v>
      </c>
      <c r="L17" s="21">
        <v>1459557</v>
      </c>
      <c r="O17" s="21">
        <v>9141438</v>
      </c>
      <c r="T17">
        <v>0</v>
      </c>
      <c r="X17">
        <v>0</v>
      </c>
      <c r="AB17" t="s">
        <v>872</v>
      </c>
      <c r="AC17">
        <v>6</v>
      </c>
    </row>
    <row r="18" spans="1:29">
      <c r="A18">
        <v>17</v>
      </c>
      <c r="B18">
        <v>33</v>
      </c>
      <c r="C18" t="s">
        <v>74</v>
      </c>
      <c r="D18" t="s">
        <v>873</v>
      </c>
      <c r="E18" t="s">
        <v>874</v>
      </c>
      <c r="F18">
        <v>52067208</v>
      </c>
      <c r="G18" s="1" t="s">
        <v>1528</v>
      </c>
      <c r="H18" s="2" t="s">
        <v>1522</v>
      </c>
      <c r="I18" s="2"/>
      <c r="J18" s="21">
        <v>0</v>
      </c>
      <c r="K18" s="21">
        <v>30163</v>
      </c>
      <c r="L18" s="21">
        <v>5732</v>
      </c>
      <c r="O18" s="21">
        <v>35895</v>
      </c>
      <c r="T18">
        <v>0</v>
      </c>
      <c r="X18">
        <v>0</v>
      </c>
      <c r="AB18" t="s">
        <v>872</v>
      </c>
      <c r="AC18">
        <v>6</v>
      </c>
    </row>
    <row r="19" spans="1:29">
      <c r="A19">
        <v>18</v>
      </c>
      <c r="B19">
        <v>33</v>
      </c>
      <c r="C19" t="s">
        <v>74</v>
      </c>
      <c r="D19" t="s">
        <v>873</v>
      </c>
      <c r="E19" t="s">
        <v>874</v>
      </c>
      <c r="F19">
        <v>52224754</v>
      </c>
      <c r="G19" s="1" t="s">
        <v>1529</v>
      </c>
      <c r="H19" s="2" t="s">
        <v>1523</v>
      </c>
      <c r="I19" s="2"/>
      <c r="J19" s="21">
        <v>0</v>
      </c>
      <c r="K19" s="21">
        <v>76315</v>
      </c>
      <c r="L19" s="21">
        <v>14499</v>
      </c>
      <c r="O19" s="21">
        <v>90814</v>
      </c>
      <c r="T19">
        <v>0</v>
      </c>
      <c r="X19">
        <v>0</v>
      </c>
      <c r="AB19" t="s">
        <v>872</v>
      </c>
      <c r="AC19">
        <v>6</v>
      </c>
    </row>
    <row r="20" spans="1:29">
      <c r="A20">
        <v>19</v>
      </c>
      <c r="B20">
        <v>34</v>
      </c>
      <c r="C20" t="s">
        <v>74</v>
      </c>
      <c r="D20" t="s">
        <v>107</v>
      </c>
      <c r="E20" t="s">
        <v>887</v>
      </c>
      <c r="F20">
        <v>4857</v>
      </c>
      <c r="G20" s="1">
        <v>45809</v>
      </c>
      <c r="H20" s="2">
        <v>45694.670613425929</v>
      </c>
      <c r="I20" s="2"/>
      <c r="J20" s="21">
        <v>2547479</v>
      </c>
      <c r="K20" s="21">
        <v>0</v>
      </c>
      <c r="L20" s="21">
        <v>0</v>
      </c>
      <c r="O20" s="21">
        <v>2547479</v>
      </c>
      <c r="T20">
        <v>0</v>
      </c>
      <c r="X20">
        <v>0</v>
      </c>
      <c r="AB20" t="s">
        <v>880</v>
      </c>
      <c r="AC20">
        <v>6</v>
      </c>
    </row>
    <row r="21" spans="1:29">
      <c r="A21">
        <v>20</v>
      </c>
      <c r="B21">
        <v>914</v>
      </c>
      <c r="C21" t="s">
        <v>74</v>
      </c>
      <c r="D21" t="s">
        <v>844</v>
      </c>
      <c r="E21" t="s">
        <v>1452</v>
      </c>
      <c r="F21">
        <v>3670098871</v>
      </c>
      <c r="G21" s="1">
        <v>45812</v>
      </c>
      <c r="H21" s="2">
        <v>45754.468460648146</v>
      </c>
      <c r="I21" s="2"/>
      <c r="J21" s="21">
        <v>0</v>
      </c>
      <c r="K21" s="21">
        <v>33446337</v>
      </c>
      <c r="L21" s="21">
        <v>6354804</v>
      </c>
      <c r="O21" s="21">
        <v>39801141</v>
      </c>
      <c r="X21">
        <v>0</v>
      </c>
      <c r="AB21" t="s">
        <v>1142</v>
      </c>
      <c r="AC21">
        <v>6</v>
      </c>
    </row>
    <row r="22" spans="1:29">
      <c r="A22">
        <v>21</v>
      </c>
      <c r="B22">
        <v>914</v>
      </c>
      <c r="C22" t="s">
        <v>74</v>
      </c>
      <c r="D22" t="s">
        <v>844</v>
      </c>
      <c r="E22" t="s">
        <v>1452</v>
      </c>
      <c r="F22">
        <v>3670098779</v>
      </c>
      <c r="G22" s="1">
        <v>45812</v>
      </c>
      <c r="H22" s="2">
        <v>45754.469074074077</v>
      </c>
      <c r="I22" s="2"/>
      <c r="J22" s="21">
        <v>0</v>
      </c>
      <c r="K22" s="21">
        <v>28615737</v>
      </c>
      <c r="L22" s="21">
        <v>5436990</v>
      </c>
      <c r="O22" s="21">
        <v>34052727</v>
      </c>
      <c r="X22">
        <v>0</v>
      </c>
      <c r="AB22" t="s">
        <v>1142</v>
      </c>
      <c r="AC22">
        <v>6</v>
      </c>
    </row>
    <row r="23" spans="1:29">
      <c r="A23">
        <v>22</v>
      </c>
      <c r="B23">
        <v>914</v>
      </c>
      <c r="C23" t="s">
        <v>74</v>
      </c>
      <c r="D23" t="s">
        <v>844</v>
      </c>
      <c r="E23" t="s">
        <v>1452</v>
      </c>
      <c r="F23">
        <v>3670098891</v>
      </c>
      <c r="G23" s="1">
        <v>45812</v>
      </c>
      <c r="H23" s="2">
        <v>45754.469733796293</v>
      </c>
      <c r="I23" s="2"/>
      <c r="J23" s="21">
        <v>0</v>
      </c>
      <c r="K23" s="21">
        <v>36557689</v>
      </c>
      <c r="L23" s="21">
        <v>6945961</v>
      </c>
      <c r="O23" s="21">
        <v>43503650</v>
      </c>
      <c r="X23">
        <v>0</v>
      </c>
      <c r="AB23" t="s">
        <v>1142</v>
      </c>
      <c r="AC23">
        <v>6</v>
      </c>
    </row>
    <row r="24" spans="1:29">
      <c r="G24" s="1"/>
      <c r="H24" s="2"/>
      <c r="I24" s="2"/>
    </row>
    <row r="25" spans="1:29">
      <c r="G25" s="1"/>
      <c r="H25" s="2"/>
      <c r="I25" s="2"/>
    </row>
    <row r="26" spans="1:29">
      <c r="G26" s="1"/>
      <c r="H26" s="2"/>
      <c r="I26" s="2"/>
    </row>
    <row r="27" spans="1:29">
      <c r="G27" s="1"/>
      <c r="H27" s="2"/>
      <c r="I27" s="2"/>
    </row>
    <row r="28" spans="1:29">
      <c r="G28" s="1"/>
      <c r="H28" s="2"/>
      <c r="I28" s="2"/>
    </row>
    <row r="29" spans="1:29">
      <c r="G29" s="1"/>
      <c r="H29" s="2"/>
      <c r="I29" s="2"/>
    </row>
    <row r="30" spans="1:29">
      <c r="G30" s="1"/>
      <c r="H30" s="2"/>
      <c r="I30" s="2"/>
    </row>
    <row r="31" spans="1:29">
      <c r="G31" s="1"/>
      <c r="H31" s="2"/>
      <c r="I31" s="2"/>
    </row>
    <row r="32" spans="1:29">
      <c r="G32" s="1"/>
      <c r="H32" s="2"/>
      <c r="I32" s="2"/>
    </row>
    <row r="33" spans="7:9">
      <c r="G33" s="1"/>
      <c r="H33" s="2"/>
      <c r="I33" s="2"/>
    </row>
    <row r="34" spans="7:9">
      <c r="G34" s="1"/>
      <c r="H34" s="2"/>
      <c r="I34" s="2"/>
    </row>
    <row r="35" spans="7:9">
      <c r="G35" s="1"/>
      <c r="H35" s="2"/>
      <c r="I35" s="2"/>
    </row>
    <row r="36" spans="7:9">
      <c r="G36" s="1"/>
      <c r="H36" s="2"/>
      <c r="I36" s="2"/>
    </row>
    <row r="37" spans="7:9">
      <c r="G37" s="1"/>
      <c r="H37" s="2"/>
      <c r="I37" s="2"/>
    </row>
    <row r="38" spans="7:9">
      <c r="G38" s="1"/>
      <c r="H38" s="2"/>
      <c r="I38" s="2"/>
    </row>
    <row r="39" spans="7:9">
      <c r="G39" s="1"/>
      <c r="H39" s="2"/>
      <c r="I39" s="2"/>
    </row>
    <row r="40" spans="7:9">
      <c r="G40" s="1"/>
      <c r="H40" s="2"/>
      <c r="I40" s="2"/>
    </row>
    <row r="41" spans="7:9">
      <c r="G41" s="1"/>
      <c r="H41" s="2"/>
      <c r="I41" s="2"/>
    </row>
    <row r="42" spans="7:9">
      <c r="G42" s="1"/>
      <c r="H42" s="2"/>
      <c r="I42" s="2"/>
    </row>
    <row r="43" spans="7:9">
      <c r="G43" s="1"/>
      <c r="H43" s="2"/>
    </row>
    <row r="44" spans="7:9">
      <c r="G44" s="1"/>
      <c r="H44" s="2"/>
      <c r="I44" s="2"/>
    </row>
    <row r="45" spans="7:9">
      <c r="G45" s="1"/>
      <c r="H45" s="2"/>
    </row>
    <row r="46" spans="7:9">
      <c r="G46" s="1"/>
      <c r="H46" s="2"/>
    </row>
    <row r="47" spans="7:9">
      <c r="G47" s="1"/>
      <c r="H47" s="2"/>
      <c r="I47" s="2"/>
    </row>
    <row r="48" spans="7:9">
      <c r="G48" s="1"/>
      <c r="H48" s="2"/>
      <c r="I48" s="2"/>
    </row>
    <row r="49" spans="7:9">
      <c r="G49" s="1"/>
      <c r="H49" s="2"/>
      <c r="I49" s="2"/>
    </row>
    <row r="50" spans="7:9">
      <c r="G50" s="1"/>
      <c r="H50" s="2"/>
    </row>
    <row r="51" spans="7:9">
      <c r="G51" s="1"/>
      <c r="H51" s="2"/>
    </row>
    <row r="52" spans="7:9">
      <c r="G52" s="1"/>
      <c r="H52" s="2"/>
    </row>
    <row r="53" spans="7:9">
      <c r="G53" s="1"/>
      <c r="H53" s="2"/>
    </row>
    <row r="54" spans="7:9">
      <c r="G54" s="1"/>
      <c r="H54" s="2"/>
    </row>
    <row r="55" spans="7:9">
      <c r="G55" s="1"/>
      <c r="H55" s="2"/>
    </row>
    <row r="56" spans="7:9">
      <c r="G56" s="1"/>
      <c r="H56" s="2"/>
    </row>
    <row r="57" spans="7:9">
      <c r="G57" s="1"/>
      <c r="H57" s="2"/>
      <c r="I57" s="2"/>
    </row>
    <row r="58" spans="7:9">
      <c r="G58" s="1"/>
      <c r="H58" s="2"/>
    </row>
    <row r="59" spans="7:9">
      <c r="G59" s="1"/>
      <c r="H59" s="2"/>
    </row>
    <row r="60" spans="7:9">
      <c r="G60" s="1"/>
      <c r="H60" s="2"/>
    </row>
    <row r="61" spans="7:9">
      <c r="G61" s="1"/>
      <c r="H61" s="2"/>
    </row>
    <row r="62" spans="7:9">
      <c r="G62" s="1"/>
      <c r="H62" s="2"/>
    </row>
    <row r="63" spans="7:9">
      <c r="G63" s="1"/>
      <c r="H63" s="2"/>
      <c r="I63" s="2"/>
    </row>
    <row r="64" spans="7:9">
      <c r="G64" s="1"/>
      <c r="H64" s="2"/>
    </row>
    <row r="65" spans="7:9">
      <c r="G65" s="1"/>
      <c r="H65" s="2"/>
    </row>
    <row r="66" spans="7:9">
      <c r="G66" s="1"/>
      <c r="H66" s="2"/>
    </row>
    <row r="67" spans="7:9">
      <c r="G67" s="1"/>
      <c r="H67" s="2"/>
    </row>
    <row r="68" spans="7:9">
      <c r="G68" s="1"/>
      <c r="H68" s="2"/>
    </row>
    <row r="69" spans="7:9">
      <c r="G69" s="1"/>
      <c r="H69" s="2"/>
    </row>
    <row r="70" spans="7:9">
      <c r="G70" s="1"/>
      <c r="H70" s="2"/>
    </row>
    <row r="71" spans="7:9">
      <c r="G71" s="1"/>
      <c r="H71" s="2"/>
    </row>
    <row r="72" spans="7:9">
      <c r="G72" s="1"/>
      <c r="H72" s="2"/>
    </row>
    <row r="73" spans="7:9">
      <c r="G73" s="1"/>
      <c r="H73" s="2"/>
    </row>
    <row r="74" spans="7:9">
      <c r="G74" s="1"/>
      <c r="H74" s="2"/>
    </row>
    <row r="75" spans="7:9">
      <c r="G75" s="1"/>
      <c r="H75" s="2"/>
    </row>
    <row r="76" spans="7:9">
      <c r="G76" s="1"/>
      <c r="H76" s="2"/>
    </row>
    <row r="77" spans="7:9">
      <c r="G77" s="1"/>
      <c r="H77" s="2"/>
      <c r="I77" s="2"/>
    </row>
    <row r="78" spans="7:9">
      <c r="G78" s="1"/>
      <c r="H78" s="2"/>
    </row>
    <row r="79" spans="7:9">
      <c r="G79" s="1"/>
      <c r="H79" s="2"/>
      <c r="I79" s="2"/>
    </row>
    <row r="80" spans="7:9">
      <c r="G80" s="1"/>
      <c r="H80" s="2"/>
    </row>
    <row r="81" spans="7:9">
      <c r="G81" s="1"/>
      <c r="H81" s="2"/>
      <c r="I81" s="2"/>
    </row>
    <row r="82" spans="7:9">
      <c r="G82" s="1"/>
      <c r="H82" s="2"/>
    </row>
    <row r="83" spans="7:9">
      <c r="G83" s="1"/>
      <c r="H83" s="2"/>
    </row>
    <row r="84" spans="7:9">
      <c r="G84" s="1"/>
      <c r="H84" s="2"/>
    </row>
    <row r="85" spans="7:9">
      <c r="G85" s="1"/>
      <c r="H85" s="2"/>
    </row>
    <row r="86" spans="7:9">
      <c r="G86" s="1"/>
      <c r="H86" s="2"/>
      <c r="I86" s="2"/>
    </row>
    <row r="87" spans="7:9">
      <c r="G87" s="1"/>
      <c r="H87" s="2"/>
    </row>
    <row r="88" spans="7:9">
      <c r="G88" s="1"/>
      <c r="H88" s="2"/>
      <c r="I88" s="2"/>
    </row>
    <row r="89" spans="7:9">
      <c r="G89" s="1"/>
      <c r="H89" s="2"/>
      <c r="I89" s="2"/>
    </row>
    <row r="90" spans="7:9">
      <c r="G90" s="1"/>
      <c r="H90" s="2"/>
    </row>
    <row r="91" spans="7:9">
      <c r="G91" s="1"/>
      <c r="H91" s="2"/>
    </row>
    <row r="92" spans="7:9">
      <c r="G92" s="1"/>
      <c r="H92" s="2"/>
      <c r="I92" s="2"/>
    </row>
    <row r="93" spans="7:9">
      <c r="G93" s="1"/>
      <c r="H93" s="2"/>
    </row>
    <row r="94" spans="7:9">
      <c r="G94" s="1"/>
      <c r="H94" s="2"/>
    </row>
    <row r="95" spans="7:9">
      <c r="G95" s="1"/>
      <c r="H95" s="2"/>
    </row>
    <row r="100" spans="7:9">
      <c r="G100" s="1"/>
      <c r="H100" s="2"/>
      <c r="I100" s="2"/>
    </row>
    <row r="101" spans="7:9">
      <c r="G101" s="1"/>
      <c r="H101" s="2"/>
      <c r="I101" s="2"/>
    </row>
    <row r="102" spans="7:9">
      <c r="G102" s="1"/>
      <c r="H102" s="2"/>
      <c r="I102" s="2"/>
    </row>
    <row r="103" spans="7:9">
      <c r="G103" s="1"/>
      <c r="H103" s="2"/>
      <c r="I103" s="2"/>
    </row>
    <row r="104" spans="7:9">
      <c r="G104" s="1"/>
      <c r="H104" s="2"/>
    </row>
    <row r="105" spans="7:9">
      <c r="G105" s="1"/>
      <c r="H105" s="2"/>
    </row>
    <row r="106" spans="7:9">
      <c r="G106" s="1"/>
      <c r="H106" s="2"/>
      <c r="I106" s="2"/>
    </row>
    <row r="107" spans="7:9">
      <c r="G107" s="1"/>
      <c r="H107" s="2"/>
    </row>
    <row r="108" spans="7:9">
      <c r="G108" s="1"/>
      <c r="H108" s="2"/>
      <c r="I108" s="2"/>
    </row>
    <row r="109" spans="7:9">
      <c r="G109" s="1"/>
      <c r="H109" s="2"/>
      <c r="I109" s="2"/>
    </row>
    <row r="110" spans="7:9">
      <c r="G110" s="1"/>
      <c r="H110" s="2"/>
    </row>
    <row r="111" spans="7:9">
      <c r="G111" s="1"/>
      <c r="H111" s="2"/>
      <c r="I111" s="2"/>
    </row>
    <row r="112" spans="7:9">
      <c r="G112" s="1"/>
      <c r="H112" s="2"/>
    </row>
    <row r="113" spans="7:9">
      <c r="G113" s="1"/>
      <c r="H113" s="2"/>
      <c r="I113" s="2"/>
    </row>
    <row r="114" spans="7:9">
      <c r="G114" s="1"/>
      <c r="H114" s="2"/>
    </row>
    <row r="115" spans="7:9">
      <c r="G115" s="1"/>
      <c r="H115" s="2"/>
    </row>
    <row r="116" spans="7:9">
      <c r="G116" s="1"/>
      <c r="H116" s="2"/>
    </row>
    <row r="117" spans="7:9">
      <c r="G117" s="1"/>
      <c r="H117" s="2"/>
      <c r="I117" s="2"/>
    </row>
    <row r="118" spans="7:9">
      <c r="G118" s="1"/>
      <c r="H118" s="2"/>
    </row>
    <row r="119" spans="7:9">
      <c r="G119" s="1"/>
      <c r="H119" s="2"/>
      <c r="I119" s="2"/>
    </row>
    <row r="120" spans="7:9">
      <c r="G120" s="1"/>
      <c r="H120" s="2"/>
    </row>
    <row r="121" spans="7:9">
      <c r="G121" s="1"/>
      <c r="H121" s="2"/>
      <c r="I121" s="2"/>
    </row>
    <row r="122" spans="7:9">
      <c r="G122" s="1"/>
      <c r="H122" s="2"/>
    </row>
    <row r="123" spans="7:9">
      <c r="G123" s="1"/>
      <c r="H123" s="2"/>
    </row>
    <row r="124" spans="7:9">
      <c r="G124" s="1"/>
      <c r="H124" s="2"/>
      <c r="I124" s="2"/>
    </row>
    <row r="125" spans="7:9">
      <c r="G125" s="1"/>
      <c r="H125" s="2"/>
    </row>
    <row r="126" spans="7:9">
      <c r="G126" s="1"/>
      <c r="H126" s="2"/>
    </row>
    <row r="127" spans="7:9">
      <c r="G127" s="1"/>
      <c r="H127" s="2"/>
      <c r="I127" s="2"/>
    </row>
    <row r="128" spans="7:9" hidden="1">
      <c r="G128" s="1"/>
      <c r="H128" s="2"/>
    </row>
    <row r="129" spans="7:9">
      <c r="H129" s="2"/>
    </row>
    <row r="130" spans="7:9">
      <c r="G130" s="1"/>
      <c r="H130" s="2"/>
    </row>
    <row r="131" spans="7:9">
      <c r="G131" s="1"/>
      <c r="H131" s="2"/>
    </row>
    <row r="132" spans="7:9">
      <c r="G132" s="1"/>
      <c r="H132" s="2"/>
    </row>
    <row r="133" spans="7:9">
      <c r="G133" s="1"/>
      <c r="H133" s="2"/>
      <c r="I133" s="2"/>
    </row>
    <row r="134" spans="7:9">
      <c r="G134" s="1"/>
      <c r="H134" s="2"/>
    </row>
    <row r="135" spans="7:9">
      <c r="G135" s="1"/>
      <c r="H135" s="2"/>
    </row>
    <row r="136" spans="7:9">
      <c r="G136" s="1"/>
      <c r="H136" s="2"/>
      <c r="I136" s="2"/>
    </row>
    <row r="137" spans="7:9">
      <c r="G137" s="1"/>
      <c r="H137" s="2"/>
      <c r="I137" s="2"/>
    </row>
    <row r="138" spans="7:9">
      <c r="G138" s="1"/>
      <c r="H138" s="2"/>
      <c r="I138" s="2"/>
    </row>
    <row r="139" spans="7:9">
      <c r="G139" s="1"/>
      <c r="H139" s="2"/>
      <c r="I139" s="2"/>
    </row>
    <row r="140" spans="7:9">
      <c r="G140" s="1"/>
      <c r="H140" s="2"/>
      <c r="I140" s="2"/>
    </row>
    <row r="141" spans="7:9">
      <c r="G141" s="1"/>
      <c r="H141" s="2"/>
      <c r="I141" s="2"/>
    </row>
    <row r="142" spans="7:9">
      <c r="G142" s="1"/>
      <c r="H142" s="2"/>
      <c r="I142" s="2"/>
    </row>
    <row r="143" spans="7:9">
      <c r="G143" s="1"/>
      <c r="H143" s="2"/>
      <c r="I143" s="2"/>
    </row>
    <row r="144" spans="7:9">
      <c r="G144" s="1"/>
      <c r="H144" s="2"/>
    </row>
    <row r="145" spans="7:9">
      <c r="G145" s="1"/>
      <c r="H145" s="2"/>
      <c r="I145" s="2"/>
    </row>
    <row r="146" spans="7:9">
      <c r="G146" s="1"/>
      <c r="H146" s="2"/>
    </row>
    <row r="147" spans="7:9">
      <c r="G147" s="1"/>
      <c r="H147" s="2"/>
    </row>
    <row r="148" spans="7:9">
      <c r="G148" s="1"/>
      <c r="H148" s="2"/>
    </row>
    <row r="149" spans="7:9">
      <c r="G149" s="1"/>
      <c r="H149" s="2"/>
    </row>
    <row r="150" spans="7:9">
      <c r="G150" s="1"/>
      <c r="H150" s="2"/>
    </row>
    <row r="151" spans="7:9">
      <c r="G151" s="1"/>
      <c r="H151" s="2"/>
      <c r="I151" s="2"/>
    </row>
    <row r="152" spans="7:9">
      <c r="G152" s="1"/>
      <c r="H152" s="2"/>
    </row>
    <row r="153" spans="7:9">
      <c r="G153" s="1"/>
      <c r="H153" s="2"/>
    </row>
    <row r="154" spans="7:9">
      <c r="G154" s="1"/>
      <c r="H154" s="2"/>
    </row>
    <row r="155" spans="7:9">
      <c r="G155" s="1"/>
    </row>
    <row r="156" spans="7:9">
      <c r="G156" s="1"/>
    </row>
    <row r="157" spans="7:9">
      <c r="G157" s="1"/>
      <c r="H157" s="2"/>
    </row>
    <row r="158" spans="7:9">
      <c r="G158" s="1"/>
      <c r="H158" s="2"/>
    </row>
    <row r="159" spans="7:9">
      <c r="G159" s="1"/>
      <c r="H159" s="2"/>
    </row>
    <row r="160" spans="7:9">
      <c r="G160" s="1"/>
      <c r="H160" s="2"/>
    </row>
    <row r="161" spans="7:8">
      <c r="G161" s="1"/>
      <c r="H161" s="2"/>
    </row>
    <row r="162" spans="7:8">
      <c r="G162" s="1"/>
      <c r="H162" s="2"/>
    </row>
    <row r="163" spans="7:8">
      <c r="G163" s="1"/>
      <c r="H163" s="2"/>
    </row>
    <row r="164" spans="7:8">
      <c r="G164" s="1"/>
      <c r="H164" s="2"/>
    </row>
    <row r="165" spans="7:8">
      <c r="H165" s="2"/>
    </row>
    <row r="166" spans="7:8">
      <c r="G166" s="1"/>
      <c r="H166" s="2"/>
    </row>
    <row r="167" spans="7:8">
      <c r="G167" s="1"/>
      <c r="H167" s="2"/>
    </row>
    <row r="168" spans="7:8">
      <c r="G168" s="1"/>
      <c r="H168" s="2"/>
    </row>
    <row r="169" spans="7:8">
      <c r="G169" s="1"/>
      <c r="H169" s="2"/>
    </row>
    <row r="170" spans="7:8">
      <c r="G170" s="1"/>
      <c r="H170" s="2"/>
    </row>
    <row r="171" spans="7:8">
      <c r="G171" s="1"/>
      <c r="H171" s="2"/>
    </row>
    <row r="172" spans="7:8">
      <c r="G172" s="1"/>
      <c r="H172" s="2"/>
    </row>
    <row r="173" spans="7:8">
      <c r="G173" s="1"/>
      <c r="H173" s="2"/>
    </row>
    <row r="174" spans="7:8">
      <c r="H174" s="2"/>
    </row>
    <row r="175" spans="7:8">
      <c r="H175" s="2"/>
    </row>
    <row r="176" spans="7:8">
      <c r="H176" s="2"/>
    </row>
    <row r="177" spans="7:8">
      <c r="H177" s="2"/>
    </row>
    <row r="178" spans="7:8">
      <c r="G178" s="1"/>
      <c r="H178" s="2"/>
    </row>
    <row r="179" spans="7:8">
      <c r="G179" s="1"/>
      <c r="H179" s="2"/>
    </row>
    <row r="180" spans="7:8">
      <c r="G180" s="1"/>
      <c r="H180" s="2"/>
    </row>
    <row r="181" spans="7:8">
      <c r="G181" s="1"/>
      <c r="H181" s="2"/>
    </row>
  </sheetData>
  <autoFilter ref="A1:AC26" xr:uid="{2DA323BD-5244-46FF-BB00-D7729FED741E}"/>
  <pageMargins left="0.7" right="0.7" top="0.75" bottom="0.75" header="0.3" footer="0.3"/>
  <headerFooter>
    <oddFooter>&amp;C_x000D_&amp;1#&amp;"Calibri"&amp;10&amp;K000000 Clasificación: Confidencial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911-5D96-4E58-AED4-EE809633DE1A}">
  <sheetPr codeName="Hoja3">
    <tabColor rgb="FF92D050"/>
  </sheetPr>
  <dimension ref="B1:Q9"/>
  <sheetViews>
    <sheetView zoomScale="85" zoomScaleNormal="85" workbookViewId="0">
      <selection activeCell="E16" sqref="E16"/>
    </sheetView>
  </sheetViews>
  <sheetFormatPr baseColWidth="10" defaultColWidth="11.5546875" defaultRowHeight="14.4"/>
  <cols>
    <col min="1" max="2" width="11.5546875" style="183"/>
    <col min="3" max="3" width="11.109375" style="183" bestFit="1" customWidth="1"/>
    <col min="4" max="4" width="14.44140625" style="183" bestFit="1" customWidth="1"/>
    <col min="5" max="5" width="13.109375" style="183" bestFit="1" customWidth="1"/>
    <col min="6" max="6" width="11.5546875" style="183" bestFit="1" customWidth="1"/>
    <col min="7" max="7" width="11.5546875" style="183"/>
    <col min="8" max="8" width="14.44140625" style="183" bestFit="1" customWidth="1"/>
    <col min="9" max="10" width="11.5546875" style="183"/>
    <col min="11" max="11" width="19.5546875" style="183" bestFit="1" customWidth="1"/>
    <col min="12" max="12" width="11" style="183" bestFit="1" customWidth="1"/>
    <col min="13" max="14" width="13.109375" style="183" bestFit="1" customWidth="1"/>
    <col min="15" max="15" width="11.5546875" style="183" bestFit="1" customWidth="1"/>
    <col min="16" max="16" width="11" style="183" bestFit="1" customWidth="1"/>
    <col min="17" max="17" width="13.109375" style="183" bestFit="1" customWidth="1"/>
    <col min="18" max="16384" width="11.5546875" style="183"/>
  </cols>
  <sheetData>
    <row r="1" spans="2:17" customFormat="1" ht="15" thickBot="1">
      <c r="B1" s="160" t="s">
        <v>1047</v>
      </c>
      <c r="C1" s="165"/>
      <c r="D1" s="165"/>
      <c r="E1" s="165"/>
      <c r="F1" s="165"/>
      <c r="G1" s="165"/>
      <c r="H1" s="161"/>
      <c r="K1" s="169" t="s">
        <v>1048</v>
      </c>
      <c r="L1" s="170"/>
      <c r="M1" s="170"/>
      <c r="N1" s="170"/>
      <c r="O1" s="170"/>
      <c r="P1" s="170"/>
      <c r="Q1" s="171"/>
    </row>
    <row r="2" spans="2:17" customFormat="1" ht="15" thickBot="1">
      <c r="B2" s="6" t="s">
        <v>1049</v>
      </c>
      <c r="C2" s="7" t="s">
        <v>1050</v>
      </c>
      <c r="D2" s="7" t="s">
        <v>920</v>
      </c>
      <c r="E2" s="7" t="s">
        <v>921</v>
      </c>
      <c r="F2" s="7" t="s">
        <v>922</v>
      </c>
      <c r="G2" s="7" t="s">
        <v>1051</v>
      </c>
      <c r="H2" s="8" t="s">
        <v>923</v>
      </c>
      <c r="K2" s="27" t="s">
        <v>1049</v>
      </c>
      <c r="L2" s="7" t="s">
        <v>1050</v>
      </c>
      <c r="M2" s="7" t="s">
        <v>920</v>
      </c>
      <c r="N2" s="7" t="s">
        <v>921</v>
      </c>
      <c r="O2" s="7" t="s">
        <v>922</v>
      </c>
      <c r="P2" s="7" t="s">
        <v>1051</v>
      </c>
      <c r="Q2" s="8" t="s">
        <v>923</v>
      </c>
    </row>
    <row r="3" spans="2:17">
      <c r="B3" s="3" t="s">
        <v>872</v>
      </c>
      <c r="C3" s="3">
        <f>COUNTIF(LV!$AR$2:$AR$319,B3)</f>
        <v>296</v>
      </c>
      <c r="D3" s="3">
        <f>SUMIF(LV!$AR$2:$AR$319,B3,LV!$K$2:$K$319)</f>
        <v>1</v>
      </c>
      <c r="E3" s="3">
        <f>SUMIF(LV!$AR$2:$AR$319,B3,LV!$L$2:$L$319)</f>
        <v>1506093627</v>
      </c>
      <c r="F3" s="3">
        <f>SUMIF(LV!$AR$2:$AR$319,B3,LV!$M$2:$M$319)</f>
        <v>286157787</v>
      </c>
      <c r="G3" s="3"/>
      <c r="H3" s="3">
        <f>SUMIF(LV!$AR$2:$AR$319,B3,LV!$N$2:$N$319)</f>
        <v>1792251415</v>
      </c>
      <c r="K3" s="3" t="s">
        <v>872</v>
      </c>
      <c r="L3" s="3">
        <f>COUNTIF(LC!$AB$2:$AB$23,K3)</f>
        <v>18</v>
      </c>
      <c r="M3" s="3">
        <f>SUMIF(LC!$AB$2:$AB$23,K3,LC!$J$2:$J$23)</f>
        <v>0</v>
      </c>
      <c r="N3" s="3">
        <f>SUMIF(LC!$AB$2:$AB$23,K3,LC!$K$2:$K$23)</f>
        <v>49763335</v>
      </c>
      <c r="O3" s="3">
        <f>SUMIF(LC!$AB$2:$AB$23,K3,LC!$L$2:$L$23)</f>
        <v>9455033</v>
      </c>
      <c r="P3" s="3">
        <f>SUMIF(LC!$AB$2:$AB$23,K3,LC!$M$2:$M$23)</f>
        <v>0</v>
      </c>
      <c r="Q3" s="3">
        <f>SUMIF(LC!$AB$2:$AB$23,K3,LC!$O$2:$O$23)</f>
        <v>59218369</v>
      </c>
    </row>
    <row r="4" spans="2:17">
      <c r="B4" s="3" t="s">
        <v>880</v>
      </c>
      <c r="C4" s="3">
        <f>COUNTIF(LV!$AR$2:$AR$319,B4)</f>
        <v>1</v>
      </c>
      <c r="D4" s="3">
        <f>SUMIF(LV!$AR$2:$AR$319,B4,LV!$K$2:$K$319)</f>
        <v>2970562</v>
      </c>
      <c r="E4" s="3">
        <f>SUMIF(LV!$AR$2:$AR$319,B4,LV!$L$2:$L$319)</f>
        <v>0</v>
      </c>
      <c r="F4" s="3">
        <f>SUMIF(LV!$AR$2:$AR$319,B4,LV!$M$2:$M$319)</f>
        <v>0</v>
      </c>
      <c r="G4" s="3"/>
      <c r="H4" s="3">
        <f>SUMIF(LV!$AR$2:$AR$319,B4,LV!$N$2:$N$319)</f>
        <v>2970562</v>
      </c>
      <c r="K4" s="3" t="s">
        <v>880</v>
      </c>
      <c r="L4" s="3">
        <f>COUNTIF(LC!$AB$2:$AB$23,K4)</f>
        <v>1</v>
      </c>
      <c r="M4" s="3">
        <f>SUMIF(LC!$AB$2:$AB$23,K4,LC!$J$2:$J$23)</f>
        <v>2547479</v>
      </c>
      <c r="N4" s="3">
        <f>SUMIF(LC!$AB$2:$AB$23,K4,LC!$K$2:$K$23)</f>
        <v>0</v>
      </c>
      <c r="O4" s="3">
        <f>SUMIF(LC!$AB$2:$AB$23,K4,LC!$L$2:$L$23)</f>
        <v>0</v>
      </c>
      <c r="P4" s="3">
        <f>SUMIF(LC!$AB$2:$AB$23,K4,LC!$M$2:$M$23)</f>
        <v>0</v>
      </c>
      <c r="Q4" s="3">
        <f>SUMIF(LC!$AB$2:$AB$23,K4,LC!$O$2:$O$23)</f>
        <v>2547479</v>
      </c>
    </row>
    <row r="5" spans="2:17">
      <c r="B5" s="3" t="s">
        <v>881</v>
      </c>
      <c r="C5" s="3">
        <f>COUNTIF(LV!$AR$2:$AR$319,B5)</f>
        <v>17</v>
      </c>
      <c r="D5" s="3">
        <f>SUMIF(LV!$AR$2:$AR$319,B5,LV!$K$2:$K$319)</f>
        <v>0</v>
      </c>
      <c r="E5" s="3">
        <f>SUMIF(LV!$AR$2:$AR$319,B5,LV!$L$2:$L$319)</f>
        <v>-151961109</v>
      </c>
      <c r="F5" s="3">
        <f>SUMIF(LV!$AR$2:$AR$319,B5,LV!$M$2:$M$319)</f>
        <v>-28872612</v>
      </c>
      <c r="G5" s="3"/>
      <c r="H5" s="3">
        <f>SUMIF(LV!$AR$2:$AR$319,B5,LV!$N$2:$N$319)</f>
        <v>-180833721</v>
      </c>
      <c r="K5" s="3" t="s">
        <v>1142</v>
      </c>
      <c r="L5" s="3">
        <f>COUNTIF(LC!$AB$2:$AB$23,K5)</f>
        <v>3</v>
      </c>
      <c r="M5" s="3">
        <f>SUMIF(LC!$AB$2:$AB$23,K5,LC!$J$2:$J$23)</f>
        <v>0</v>
      </c>
      <c r="N5" s="3">
        <f>SUMIF(LC!$AB$2:$AB$23,K5,LC!$K$2:$K$23)</f>
        <v>98619763</v>
      </c>
      <c r="O5" s="3">
        <f>SUMIF(LC!$AB$2:$AB$23,K5,LC!$L$2:$L$23)</f>
        <v>18737755</v>
      </c>
      <c r="P5" s="3">
        <f>SUMIF(LC!$AB$2:$AB$23,K5,LC!$M$2:$M$23)</f>
        <v>0</v>
      </c>
      <c r="Q5" s="3">
        <f>SUMIF(LC!$AB$2:$AB$23,K5,LC!$O$2:$O$23)</f>
        <v>117357518</v>
      </c>
    </row>
    <row r="6" spans="2:17">
      <c r="B6" s="3" t="s">
        <v>1045</v>
      </c>
      <c r="C6" s="3">
        <f>COUNTIF(LV!$AR$2:$AR$319,B6)</f>
        <v>4</v>
      </c>
      <c r="D6" s="3">
        <f>SUMIF(LV!$AR$2:$AR$319,B6,LV!$K$2:$K$319)</f>
        <v>666735937</v>
      </c>
      <c r="E6" s="3">
        <f>SUMIF(LV!$AR$2:$AR$319,B6,LV!$L$2:$L$319)</f>
        <v>0</v>
      </c>
      <c r="F6" s="3">
        <f>SUMIF(LV!$AR$2:$AR$319,B6,LV!$M$2:$M$319)</f>
        <v>0</v>
      </c>
      <c r="G6" s="3"/>
      <c r="H6" s="3">
        <f>SUMIF(LV!$AR$2:$AR$319,B6,LV!$N$2:$N$319)</f>
        <v>666735937</v>
      </c>
      <c r="K6" s="3"/>
      <c r="L6" s="3"/>
      <c r="M6" s="3"/>
      <c r="N6" s="3"/>
      <c r="O6" s="3"/>
      <c r="P6" s="3"/>
      <c r="Q6" s="3"/>
    </row>
    <row r="7" spans="2:17">
      <c r="B7" s="3"/>
      <c r="C7" s="3"/>
      <c r="D7" s="3"/>
      <c r="E7" s="3"/>
      <c r="F7" s="3"/>
      <c r="G7" s="3"/>
      <c r="H7" s="3"/>
      <c r="K7" s="3" t="s">
        <v>1052</v>
      </c>
      <c r="L7" s="3">
        <f t="shared" ref="L7:Q7" si="0">SUM(L3:L5)</f>
        <v>22</v>
      </c>
      <c r="M7" s="3">
        <f t="shared" si="0"/>
        <v>2547479</v>
      </c>
      <c r="N7" s="3">
        <f t="shared" si="0"/>
        <v>148383098</v>
      </c>
      <c r="O7" s="3">
        <f t="shared" si="0"/>
        <v>28192788</v>
      </c>
      <c r="P7" s="3">
        <f t="shared" si="0"/>
        <v>0</v>
      </c>
      <c r="Q7" s="3">
        <f t="shared" si="0"/>
        <v>179123366</v>
      </c>
    </row>
    <row r="8" spans="2:17">
      <c r="B8" s="3" t="s">
        <v>1052</v>
      </c>
      <c r="C8" s="3">
        <f t="shared" ref="C8:F8" si="1">SUM(C3:C6)</f>
        <v>318</v>
      </c>
      <c r="D8" s="3">
        <f t="shared" si="1"/>
        <v>669706500</v>
      </c>
      <c r="E8" s="3">
        <f t="shared" si="1"/>
        <v>1354132518</v>
      </c>
      <c r="F8" s="3">
        <f t="shared" si="1"/>
        <v>257285175</v>
      </c>
      <c r="G8" s="3"/>
      <c r="H8" s="3">
        <f>SUM(H3:H6)</f>
        <v>2281124193</v>
      </c>
      <c r="K8" s="182"/>
      <c r="L8" s="182"/>
      <c r="M8" s="182"/>
      <c r="N8" s="182"/>
      <c r="O8" s="182"/>
      <c r="P8" s="182"/>
      <c r="Q8" s="182"/>
    </row>
    <row r="9" spans="2:17">
      <c r="B9" s="182"/>
      <c r="C9" s="182"/>
      <c r="D9" s="182"/>
      <c r="E9" s="182"/>
      <c r="F9" s="182"/>
      <c r="G9" s="182"/>
      <c r="H9" s="182"/>
      <c r="K9" s="182"/>
      <c r="L9" s="182"/>
      <c r="M9" s="182"/>
      <c r="N9" s="182"/>
      <c r="O9" s="182"/>
      <c r="P9" s="182"/>
      <c r="Q9" s="182"/>
    </row>
  </sheetData>
  <mergeCells count="2">
    <mergeCell ref="B1:H1"/>
    <mergeCell ref="K1:Q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1D0-541C-4658-8D5C-6A9F3C92B637}">
  <sheetPr codeName="Hoja5">
    <tabColor rgb="FF92D050"/>
  </sheetPr>
  <dimension ref="B1:T70"/>
  <sheetViews>
    <sheetView zoomScale="55" zoomScaleNormal="55" workbookViewId="0">
      <selection activeCell="O19" sqref="O19"/>
    </sheetView>
  </sheetViews>
  <sheetFormatPr baseColWidth="10" defaultColWidth="11.44140625" defaultRowHeight="14.4"/>
  <cols>
    <col min="1" max="1" width="11.44140625" style="183"/>
    <col min="2" max="2" width="16.44140625" style="183" bestFit="1" customWidth="1"/>
    <col min="3" max="3" width="7.88671875" style="183" bestFit="1" customWidth="1"/>
    <col min="4" max="4" width="10.44140625" style="183" bestFit="1" customWidth="1"/>
    <col min="5" max="5" width="16.109375" style="183" bestFit="1" customWidth="1"/>
    <col min="6" max="6" width="6.44140625" style="9" bestFit="1" customWidth="1"/>
    <col min="7" max="7" width="11.109375" style="183" bestFit="1" customWidth="1"/>
    <col min="8" max="8" width="11" style="9" bestFit="1" customWidth="1"/>
    <col min="9" max="11" width="15.5546875" style="9" customWidth="1"/>
    <col min="12" max="12" width="15.5546875" style="183" customWidth="1"/>
    <col min="13" max="13" width="15.5546875" style="15" customWidth="1"/>
    <col min="14" max="14" width="10.88671875" style="9"/>
    <col min="15" max="15" width="11.44140625" style="183"/>
    <col min="16" max="16" width="31.109375" style="183" bestFit="1" customWidth="1"/>
    <col min="17" max="17" width="12.5546875" style="183" bestFit="1" customWidth="1"/>
    <col min="18" max="18" width="6" style="183" bestFit="1" customWidth="1"/>
    <col min="19" max="19" width="11.109375" style="183" bestFit="1" customWidth="1"/>
    <col min="20" max="20" width="11.5546875" style="183" bestFit="1" customWidth="1"/>
    <col min="21" max="16384" width="11.44140625" style="183"/>
  </cols>
  <sheetData>
    <row r="1" spans="2:20" customFormat="1">
      <c r="B1" s="172" t="s">
        <v>1047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3"/>
      <c r="P1" s="160" t="s">
        <v>1053</v>
      </c>
      <c r="Q1" s="165"/>
      <c r="R1" s="165"/>
      <c r="S1" s="165"/>
      <c r="T1" s="165"/>
    </row>
    <row r="2" spans="2:20" customFormat="1" ht="43.5" customHeight="1" thickBot="1">
      <c r="B2" s="16" t="s">
        <v>73</v>
      </c>
      <c r="C2" s="16" t="s">
        <v>13</v>
      </c>
      <c r="D2" s="16" t="s">
        <v>14</v>
      </c>
      <c r="E2" s="16" t="s">
        <v>15</v>
      </c>
      <c r="F2" s="34" t="s">
        <v>16</v>
      </c>
      <c r="G2" s="16" t="s">
        <v>17</v>
      </c>
      <c r="H2" s="18" t="s">
        <v>37</v>
      </c>
      <c r="I2" s="18" t="s">
        <v>38</v>
      </c>
      <c r="J2" s="18" t="s">
        <v>39</v>
      </c>
      <c r="K2" s="18" t="s">
        <v>18</v>
      </c>
      <c r="L2" s="16" t="s">
        <v>50</v>
      </c>
      <c r="M2" s="17" t="s">
        <v>51</v>
      </c>
      <c r="N2" s="14"/>
      <c r="P2" s="6" t="s">
        <v>13</v>
      </c>
      <c r="Q2" s="7" t="s">
        <v>849</v>
      </c>
      <c r="R2" s="7" t="s">
        <v>33</v>
      </c>
      <c r="S2" s="7" t="s">
        <v>17</v>
      </c>
      <c r="T2" s="35" t="s">
        <v>854</v>
      </c>
    </row>
    <row r="3" spans="2:20">
      <c r="B3" s="133" t="s">
        <v>399</v>
      </c>
      <c r="C3" s="133">
        <v>61</v>
      </c>
      <c r="D3" s="133" t="s">
        <v>272</v>
      </c>
      <c r="E3" s="146" t="s">
        <v>273</v>
      </c>
      <c r="F3" s="36">
        <v>4287</v>
      </c>
      <c r="G3" s="146">
        <v>45449</v>
      </c>
      <c r="H3" s="37">
        <v>0</v>
      </c>
      <c r="I3" s="37">
        <v>-7270401</v>
      </c>
      <c r="J3" s="37">
        <v>-1381377</v>
      </c>
      <c r="K3" s="37">
        <v>-8651778</v>
      </c>
      <c r="L3" s="133">
        <v>33</v>
      </c>
      <c r="M3" s="38">
        <v>52828</v>
      </c>
      <c r="N3" s="10"/>
      <c r="P3" s="133" t="s">
        <v>3741</v>
      </c>
      <c r="Q3" s="133"/>
      <c r="R3" s="133"/>
      <c r="S3" s="146"/>
      <c r="T3" s="147"/>
    </row>
    <row r="4" spans="2:20">
      <c r="B4" s="133" t="s">
        <v>408</v>
      </c>
      <c r="C4" s="133">
        <v>61</v>
      </c>
      <c r="D4" s="133" t="s">
        <v>81</v>
      </c>
      <c r="E4" s="133" t="s">
        <v>82</v>
      </c>
      <c r="F4" s="36">
        <v>4288</v>
      </c>
      <c r="G4" s="146">
        <v>45449</v>
      </c>
      <c r="H4" s="37">
        <v>0</v>
      </c>
      <c r="I4" s="37">
        <v>-5843290</v>
      </c>
      <c r="J4" s="37">
        <v>-1110225</v>
      </c>
      <c r="K4" s="37">
        <v>-6953515</v>
      </c>
      <c r="L4" s="133">
        <v>33</v>
      </c>
      <c r="M4" s="38">
        <v>52861</v>
      </c>
      <c r="S4" s="184"/>
      <c r="T4" s="185"/>
    </row>
    <row r="5" spans="2:20">
      <c r="B5" s="133" t="s">
        <v>398</v>
      </c>
      <c r="C5" s="133">
        <v>61</v>
      </c>
      <c r="D5" s="133" t="s">
        <v>252</v>
      </c>
      <c r="E5" s="133" t="s">
        <v>253</v>
      </c>
      <c r="F5" s="36">
        <v>4289</v>
      </c>
      <c r="G5" s="146">
        <v>45449</v>
      </c>
      <c r="H5" s="37">
        <v>0</v>
      </c>
      <c r="I5" s="37">
        <v>-5948510</v>
      </c>
      <c r="J5" s="37">
        <v>-1130217</v>
      </c>
      <c r="K5" s="37">
        <v>-7078727</v>
      </c>
      <c r="L5" s="133">
        <v>33</v>
      </c>
      <c r="M5" s="38">
        <v>52826</v>
      </c>
      <c r="S5" s="184"/>
      <c r="T5" s="185"/>
    </row>
    <row r="6" spans="2:20">
      <c r="B6" s="133" t="s">
        <v>397</v>
      </c>
      <c r="C6" s="133">
        <v>61</v>
      </c>
      <c r="D6" s="133" t="s">
        <v>280</v>
      </c>
      <c r="E6" s="133" t="s">
        <v>281</v>
      </c>
      <c r="F6" s="36">
        <v>4290</v>
      </c>
      <c r="G6" s="146">
        <v>45450</v>
      </c>
      <c r="H6" s="37">
        <v>0</v>
      </c>
      <c r="I6" s="37">
        <v>-1123607</v>
      </c>
      <c r="J6" s="37">
        <v>-213486</v>
      </c>
      <c r="K6" s="37">
        <v>-1337093</v>
      </c>
      <c r="L6" s="133">
        <v>33</v>
      </c>
      <c r="M6" s="38">
        <v>52811</v>
      </c>
      <c r="S6" s="184"/>
      <c r="T6" s="185"/>
    </row>
    <row r="7" spans="2:20">
      <c r="B7" s="133" t="s">
        <v>402</v>
      </c>
      <c r="C7" s="133">
        <v>61</v>
      </c>
      <c r="D7" s="133" t="s">
        <v>218</v>
      </c>
      <c r="E7" s="133" t="s">
        <v>219</v>
      </c>
      <c r="F7" s="36">
        <v>4291</v>
      </c>
      <c r="G7" s="146" t="s">
        <v>443</v>
      </c>
      <c r="H7" s="37">
        <v>0</v>
      </c>
      <c r="I7" s="37">
        <v>-2063067</v>
      </c>
      <c r="J7" s="37">
        <v>-391983</v>
      </c>
      <c r="K7" s="37">
        <v>-2455050</v>
      </c>
      <c r="L7" s="133">
        <v>33</v>
      </c>
      <c r="M7" s="38">
        <v>52835</v>
      </c>
      <c r="S7" s="184"/>
      <c r="T7" s="185"/>
    </row>
    <row r="8" spans="2:20">
      <c r="B8" s="133" t="s">
        <v>391</v>
      </c>
      <c r="C8" s="133">
        <v>61</v>
      </c>
      <c r="D8" s="133" t="s">
        <v>115</v>
      </c>
      <c r="E8" s="133" t="s">
        <v>116</v>
      </c>
      <c r="F8" s="36">
        <v>4292</v>
      </c>
      <c r="G8" s="146" t="s">
        <v>478</v>
      </c>
      <c r="H8" s="37">
        <v>0</v>
      </c>
      <c r="I8" s="37">
        <v>-7817335</v>
      </c>
      <c r="J8" s="37">
        <v>-1485294</v>
      </c>
      <c r="K8" s="37">
        <v>-9302629</v>
      </c>
      <c r="L8" s="133">
        <v>33</v>
      </c>
      <c r="M8" s="38">
        <v>52562</v>
      </c>
      <c r="S8" s="184"/>
      <c r="T8" s="185"/>
    </row>
    <row r="9" spans="2:20">
      <c r="B9" s="133" t="s">
        <v>453</v>
      </c>
      <c r="C9" s="133">
        <v>61</v>
      </c>
      <c r="D9" s="133" t="s">
        <v>187</v>
      </c>
      <c r="E9" s="133" t="s">
        <v>188</v>
      </c>
      <c r="F9" s="36">
        <v>4293</v>
      </c>
      <c r="G9" s="146" t="s">
        <v>498</v>
      </c>
      <c r="H9" s="37">
        <v>0</v>
      </c>
      <c r="I9" s="37">
        <v>-26942041</v>
      </c>
      <c r="J9" s="37">
        <v>-5118988</v>
      </c>
      <c r="K9" s="37">
        <v>-32061029</v>
      </c>
      <c r="L9" s="133">
        <v>33</v>
      </c>
      <c r="M9" s="38">
        <v>52936</v>
      </c>
      <c r="S9" s="184"/>
      <c r="T9" s="185"/>
    </row>
    <row r="10" spans="2:20">
      <c r="B10" s="133" t="s">
        <v>439</v>
      </c>
      <c r="C10" s="133">
        <v>61</v>
      </c>
      <c r="D10" s="133" t="s">
        <v>167</v>
      </c>
      <c r="E10" s="133" t="s">
        <v>168</v>
      </c>
      <c r="F10" s="36">
        <v>4294</v>
      </c>
      <c r="G10" s="146" t="s">
        <v>498</v>
      </c>
      <c r="H10" s="37">
        <v>0</v>
      </c>
      <c r="I10" s="37">
        <v>-5273838</v>
      </c>
      <c r="J10" s="37">
        <v>-1002029</v>
      </c>
      <c r="K10" s="37">
        <v>-6275867</v>
      </c>
      <c r="L10" s="133">
        <v>33</v>
      </c>
      <c r="M10" s="38">
        <v>52930</v>
      </c>
      <c r="S10" s="184"/>
      <c r="T10" s="185"/>
    </row>
    <row r="11" spans="2:20">
      <c r="B11" s="133" t="s">
        <v>487</v>
      </c>
      <c r="C11" s="133">
        <v>61</v>
      </c>
      <c r="D11" s="133" t="s">
        <v>286</v>
      </c>
      <c r="E11" s="133" t="s">
        <v>287</v>
      </c>
      <c r="F11" s="36">
        <v>4295</v>
      </c>
      <c r="G11" s="146" t="s">
        <v>498</v>
      </c>
      <c r="H11" s="37">
        <v>0</v>
      </c>
      <c r="I11" s="37">
        <v>-5359815</v>
      </c>
      <c r="J11" s="37">
        <v>-1018365</v>
      </c>
      <c r="K11" s="37">
        <v>-6378180</v>
      </c>
      <c r="L11" s="133">
        <v>33</v>
      </c>
      <c r="M11" s="38">
        <v>52958</v>
      </c>
      <c r="T11" s="185"/>
    </row>
    <row r="12" spans="2:20">
      <c r="B12" s="133" t="s">
        <v>636</v>
      </c>
      <c r="C12" s="133">
        <v>61</v>
      </c>
      <c r="D12" s="133" t="s">
        <v>347</v>
      </c>
      <c r="E12" s="133" t="s">
        <v>348</v>
      </c>
      <c r="F12" s="36">
        <v>4296</v>
      </c>
      <c r="G12" s="146" t="s">
        <v>597</v>
      </c>
      <c r="H12" s="37">
        <v>0</v>
      </c>
      <c r="I12" s="37">
        <v>-31493997</v>
      </c>
      <c r="J12" s="37">
        <v>-5983859</v>
      </c>
      <c r="K12" s="37">
        <v>-37477856</v>
      </c>
      <c r="L12" s="133">
        <v>33</v>
      </c>
      <c r="M12" s="38">
        <v>53050</v>
      </c>
      <c r="S12" s="184"/>
      <c r="T12" s="185"/>
    </row>
    <row r="13" spans="2:20">
      <c r="B13" s="133" t="s">
        <v>600</v>
      </c>
      <c r="C13" s="133">
        <v>61</v>
      </c>
      <c r="D13" s="133" t="s">
        <v>592</v>
      </c>
      <c r="E13" s="133" t="s">
        <v>593</v>
      </c>
      <c r="F13" s="36">
        <v>4297</v>
      </c>
      <c r="G13" s="146" t="s">
        <v>597</v>
      </c>
      <c r="H13" s="37">
        <v>0</v>
      </c>
      <c r="I13" s="37">
        <v>-16998611</v>
      </c>
      <c r="J13" s="37">
        <v>-3229736</v>
      </c>
      <c r="K13" s="37">
        <v>-20228347</v>
      </c>
      <c r="L13" s="133">
        <v>33</v>
      </c>
      <c r="M13" s="38">
        <v>53028</v>
      </c>
      <c r="T13" s="185"/>
    </row>
    <row r="14" spans="2:20">
      <c r="B14" s="133" t="s">
        <v>596</v>
      </c>
      <c r="C14" s="133">
        <v>61</v>
      </c>
      <c r="D14" s="133" t="s">
        <v>592</v>
      </c>
      <c r="E14" s="133" t="s">
        <v>593</v>
      </c>
      <c r="F14" s="36">
        <v>4298</v>
      </c>
      <c r="G14" s="146" t="s">
        <v>597</v>
      </c>
      <c r="H14" s="37">
        <v>0</v>
      </c>
      <c r="I14" s="37">
        <v>-15572120</v>
      </c>
      <c r="J14" s="37">
        <v>-2958703</v>
      </c>
      <c r="K14" s="37">
        <v>-18530823</v>
      </c>
      <c r="L14" s="133">
        <v>33</v>
      </c>
      <c r="M14" s="38">
        <v>53027</v>
      </c>
      <c r="T14" s="185"/>
    </row>
    <row r="15" spans="2:20">
      <c r="B15" s="133" t="s">
        <v>736</v>
      </c>
      <c r="C15" s="133">
        <v>61</v>
      </c>
      <c r="D15" s="133" t="s">
        <v>731</v>
      </c>
      <c r="E15" s="133" t="s">
        <v>732</v>
      </c>
      <c r="F15" s="36">
        <v>4299</v>
      </c>
      <c r="G15" s="146" t="s">
        <v>706</v>
      </c>
      <c r="H15" s="37">
        <v>0</v>
      </c>
      <c r="I15" s="37">
        <v>-12427929</v>
      </c>
      <c r="J15" s="37">
        <v>-2361306</v>
      </c>
      <c r="K15" s="37">
        <v>-14789235</v>
      </c>
      <c r="L15" s="133">
        <v>33</v>
      </c>
      <c r="M15" s="38">
        <v>53110</v>
      </c>
      <c r="T15" s="185"/>
    </row>
    <row r="16" spans="2:20">
      <c r="B16" s="133" t="s">
        <v>653</v>
      </c>
      <c r="C16" s="133">
        <v>61</v>
      </c>
      <c r="D16" s="133" t="s">
        <v>371</v>
      </c>
      <c r="E16" s="133" t="s">
        <v>372</v>
      </c>
      <c r="F16" s="36">
        <v>4300</v>
      </c>
      <c r="G16" s="146" t="s">
        <v>706</v>
      </c>
      <c r="H16" s="37">
        <v>0</v>
      </c>
      <c r="I16" s="37">
        <v>-4042510</v>
      </c>
      <c r="J16" s="37">
        <v>-768077</v>
      </c>
      <c r="K16" s="37">
        <v>-4810587</v>
      </c>
      <c r="L16" s="133">
        <v>33</v>
      </c>
      <c r="M16" s="38">
        <v>53058</v>
      </c>
      <c r="T16" s="185"/>
    </row>
    <row r="17" spans="2:20">
      <c r="B17" s="133" t="s">
        <v>673</v>
      </c>
      <c r="C17" s="133">
        <v>61</v>
      </c>
      <c r="D17" s="133" t="s">
        <v>288</v>
      </c>
      <c r="E17" s="133" t="s">
        <v>289</v>
      </c>
      <c r="F17" s="36">
        <v>4301</v>
      </c>
      <c r="G17" s="146" t="s">
        <v>706</v>
      </c>
      <c r="H17" s="37">
        <v>0</v>
      </c>
      <c r="I17" s="37">
        <v>-67846</v>
      </c>
      <c r="J17" s="37">
        <v>-12891</v>
      </c>
      <c r="K17" s="37">
        <v>-80737</v>
      </c>
      <c r="L17" s="133">
        <v>33</v>
      </c>
      <c r="M17" s="38">
        <v>53070</v>
      </c>
      <c r="T17" s="185"/>
    </row>
    <row r="18" spans="2:20">
      <c r="B18" s="133" t="s">
        <v>551</v>
      </c>
      <c r="C18" s="133">
        <v>61</v>
      </c>
      <c r="D18" s="133" t="s">
        <v>218</v>
      </c>
      <c r="E18" s="133" t="s">
        <v>219</v>
      </c>
      <c r="F18" s="36">
        <v>4302</v>
      </c>
      <c r="G18" s="146" t="s">
        <v>706</v>
      </c>
      <c r="H18" s="37">
        <v>0</v>
      </c>
      <c r="I18" s="37">
        <v>-962480</v>
      </c>
      <c r="J18" s="37">
        <v>-182871</v>
      </c>
      <c r="K18" s="37">
        <v>-1145351</v>
      </c>
      <c r="L18" s="133">
        <v>33</v>
      </c>
      <c r="M18" s="38">
        <v>53002</v>
      </c>
      <c r="T18" s="185"/>
    </row>
    <row r="19" spans="2:20">
      <c r="B19" s="133" t="s">
        <v>508</v>
      </c>
      <c r="C19" s="133">
        <v>61</v>
      </c>
      <c r="D19" s="133" t="s">
        <v>167</v>
      </c>
      <c r="E19" s="133" t="s">
        <v>168</v>
      </c>
      <c r="F19" s="36">
        <v>4303</v>
      </c>
      <c r="G19" s="146" t="s">
        <v>706</v>
      </c>
      <c r="H19" s="37">
        <v>0</v>
      </c>
      <c r="I19" s="37">
        <v>-2753712</v>
      </c>
      <c r="J19" s="37">
        <v>-523205</v>
      </c>
      <c r="K19" s="37">
        <v>-3276917</v>
      </c>
      <c r="L19" s="133">
        <v>33</v>
      </c>
      <c r="M19" s="38">
        <v>52971</v>
      </c>
      <c r="T19" s="185"/>
    </row>
    <row r="20" spans="2:20">
      <c r="F20" s="10"/>
      <c r="G20" s="184"/>
      <c r="H20" s="140"/>
      <c r="I20" s="140"/>
      <c r="J20" s="140"/>
      <c r="K20" s="140"/>
      <c r="M20" s="141"/>
      <c r="T20" s="185"/>
    </row>
    <row r="21" spans="2:20">
      <c r="F21" s="10"/>
      <c r="G21" s="184"/>
      <c r="H21" s="140"/>
      <c r="I21" s="140"/>
      <c r="J21" s="140"/>
      <c r="K21" s="140"/>
      <c r="M21" s="141"/>
      <c r="T21" s="185"/>
    </row>
    <row r="22" spans="2:20">
      <c r="F22" s="10"/>
      <c r="G22" s="184"/>
      <c r="H22" s="140"/>
      <c r="I22" s="140"/>
      <c r="J22" s="140"/>
      <c r="K22" s="140"/>
      <c r="M22" s="141"/>
      <c r="T22" s="185"/>
    </row>
    <row r="23" spans="2:20">
      <c r="F23" s="10"/>
      <c r="G23" s="184"/>
      <c r="H23" s="140"/>
      <c r="I23" s="140"/>
      <c r="J23" s="140"/>
      <c r="K23" s="140"/>
      <c r="M23" s="141"/>
      <c r="T23" s="185"/>
    </row>
    <row r="24" spans="2:20">
      <c r="F24" s="10"/>
      <c r="G24" s="184"/>
      <c r="H24" s="140"/>
      <c r="I24" s="140"/>
      <c r="J24" s="140"/>
      <c r="K24" s="140"/>
      <c r="M24" s="141"/>
      <c r="T24" s="185"/>
    </row>
    <row r="25" spans="2:20">
      <c r="F25" s="10"/>
      <c r="G25" s="184"/>
      <c r="H25" s="140"/>
      <c r="I25" s="140"/>
      <c r="J25" s="140"/>
      <c r="K25" s="140"/>
      <c r="M25" s="141"/>
      <c r="T25" s="185"/>
    </row>
    <row r="26" spans="2:20">
      <c r="F26" s="10"/>
      <c r="G26" s="184"/>
      <c r="H26" s="140"/>
      <c r="I26" s="140"/>
      <c r="J26" s="140"/>
      <c r="K26" s="140"/>
      <c r="M26" s="141"/>
      <c r="T26" s="185"/>
    </row>
    <row r="27" spans="2:20">
      <c r="F27" s="10"/>
      <c r="G27" s="184"/>
      <c r="H27" s="140"/>
      <c r="I27" s="140"/>
      <c r="J27" s="140"/>
      <c r="K27" s="140"/>
      <c r="M27" s="141"/>
      <c r="T27" s="185"/>
    </row>
    <row r="28" spans="2:20">
      <c r="F28" s="10"/>
      <c r="G28" s="184"/>
      <c r="H28" s="140"/>
      <c r="I28" s="140"/>
      <c r="J28" s="140"/>
      <c r="K28" s="140"/>
      <c r="M28" s="141"/>
      <c r="T28" s="185"/>
    </row>
    <row r="29" spans="2:20">
      <c r="F29" s="10"/>
      <c r="G29" s="184"/>
      <c r="H29" s="140"/>
      <c r="I29" s="140"/>
      <c r="J29" s="140"/>
      <c r="K29" s="140"/>
      <c r="M29" s="141"/>
      <c r="T29" s="185"/>
    </row>
    <row r="30" spans="2:20">
      <c r="F30" s="10"/>
      <c r="G30" s="184"/>
      <c r="H30" s="140"/>
      <c r="I30" s="140"/>
      <c r="J30" s="140"/>
      <c r="K30" s="140"/>
      <c r="M30" s="141"/>
      <c r="T30" s="185"/>
    </row>
    <row r="31" spans="2:20">
      <c r="F31" s="10"/>
      <c r="G31" s="184"/>
      <c r="H31" s="140"/>
      <c r="I31" s="140"/>
      <c r="J31" s="140"/>
      <c r="K31" s="140"/>
      <c r="M31" s="141"/>
      <c r="T31" s="185"/>
    </row>
    <row r="32" spans="2:20">
      <c r="F32" s="10"/>
      <c r="H32" s="140"/>
      <c r="I32" s="140"/>
      <c r="J32" s="140"/>
      <c r="K32" s="140"/>
      <c r="M32" s="141"/>
      <c r="T32" s="185"/>
    </row>
    <row r="33" spans="6:20">
      <c r="F33" s="10"/>
      <c r="H33" s="140"/>
      <c r="I33" s="140"/>
      <c r="J33" s="140"/>
      <c r="K33" s="140"/>
      <c r="M33" s="141"/>
      <c r="T33" s="185"/>
    </row>
    <row r="34" spans="6:20">
      <c r="F34" s="10"/>
      <c r="H34" s="140"/>
      <c r="I34" s="140"/>
      <c r="J34" s="140"/>
      <c r="K34" s="140"/>
      <c r="M34" s="141"/>
      <c r="T34" s="185"/>
    </row>
    <row r="35" spans="6:20">
      <c r="F35" s="10"/>
      <c r="H35" s="140"/>
      <c r="I35" s="140"/>
      <c r="J35" s="140"/>
      <c r="K35" s="140"/>
      <c r="M35" s="141"/>
      <c r="T35" s="185"/>
    </row>
    <row r="36" spans="6:20">
      <c r="F36" s="10"/>
      <c r="H36" s="140"/>
      <c r="I36" s="140"/>
      <c r="J36" s="140"/>
      <c r="K36" s="140"/>
      <c r="M36" s="141"/>
      <c r="T36" s="185"/>
    </row>
    <row r="37" spans="6:20">
      <c r="F37" s="10"/>
      <c r="H37" s="140"/>
      <c r="I37" s="140"/>
      <c r="J37" s="140"/>
      <c r="K37" s="140"/>
      <c r="M37" s="141"/>
      <c r="T37" s="185"/>
    </row>
    <row r="38" spans="6:20">
      <c r="F38" s="10"/>
      <c r="H38" s="140"/>
      <c r="I38" s="140"/>
      <c r="J38" s="140"/>
      <c r="K38" s="140"/>
      <c r="M38" s="141"/>
      <c r="T38" s="185"/>
    </row>
    <row r="39" spans="6:20">
      <c r="F39" s="10"/>
      <c r="H39" s="140"/>
      <c r="I39" s="140"/>
      <c r="J39" s="140"/>
      <c r="K39" s="140"/>
      <c r="M39" s="141"/>
      <c r="T39" s="185"/>
    </row>
    <row r="40" spans="6:20">
      <c r="F40" s="10"/>
      <c r="H40" s="140"/>
      <c r="I40" s="140"/>
      <c r="J40" s="140"/>
      <c r="K40" s="140"/>
      <c r="M40" s="141"/>
      <c r="T40" s="185"/>
    </row>
    <row r="41" spans="6:20">
      <c r="F41" s="10"/>
      <c r="H41" s="140"/>
      <c r="I41" s="140"/>
      <c r="J41" s="140"/>
      <c r="K41" s="140"/>
      <c r="M41" s="141"/>
      <c r="T41" s="185"/>
    </row>
    <row r="42" spans="6:20">
      <c r="F42" s="10"/>
      <c r="H42" s="140"/>
      <c r="I42" s="140"/>
      <c r="J42" s="140"/>
      <c r="K42" s="140"/>
      <c r="M42" s="141"/>
      <c r="T42" s="185"/>
    </row>
    <row r="43" spans="6:20">
      <c r="F43" s="10"/>
      <c r="H43" s="140"/>
      <c r="I43" s="140"/>
      <c r="J43" s="140"/>
      <c r="K43" s="140"/>
      <c r="M43" s="141"/>
      <c r="T43" s="185"/>
    </row>
    <row r="44" spans="6:20">
      <c r="F44" s="10"/>
      <c r="H44" s="140"/>
      <c r="I44" s="140"/>
      <c r="J44" s="140"/>
      <c r="K44" s="140"/>
      <c r="M44" s="141"/>
      <c r="T44" s="185"/>
    </row>
    <row r="45" spans="6:20">
      <c r="F45" s="10"/>
      <c r="H45" s="140"/>
      <c r="I45" s="140"/>
      <c r="J45" s="140"/>
      <c r="K45" s="140"/>
      <c r="M45" s="141"/>
      <c r="T45" s="185"/>
    </row>
    <row r="46" spans="6:20">
      <c r="F46" s="10"/>
      <c r="H46" s="140"/>
      <c r="I46" s="140"/>
      <c r="J46" s="140"/>
      <c r="K46" s="140"/>
      <c r="M46" s="141"/>
      <c r="T46" s="185"/>
    </row>
    <row r="47" spans="6:20">
      <c r="F47" s="10"/>
      <c r="H47" s="140"/>
      <c r="I47" s="140"/>
      <c r="J47" s="140"/>
      <c r="K47" s="140"/>
      <c r="M47" s="141"/>
      <c r="T47" s="185"/>
    </row>
    <row r="48" spans="6:20">
      <c r="F48" s="10"/>
      <c r="H48" s="140"/>
      <c r="I48" s="140"/>
      <c r="J48" s="140"/>
      <c r="K48" s="140"/>
      <c r="M48" s="141"/>
      <c r="T48" s="185"/>
    </row>
    <row r="49" spans="6:20">
      <c r="F49" s="10"/>
      <c r="G49" s="184"/>
      <c r="H49" s="140"/>
      <c r="I49" s="140"/>
      <c r="J49" s="140"/>
      <c r="K49" s="140"/>
      <c r="M49" s="141"/>
      <c r="T49" s="185"/>
    </row>
    <row r="50" spans="6:20">
      <c r="F50" s="10"/>
      <c r="H50" s="140"/>
      <c r="I50" s="140"/>
      <c r="J50" s="140"/>
      <c r="K50" s="140"/>
      <c r="M50" s="141"/>
      <c r="T50" s="185"/>
    </row>
    <row r="51" spans="6:20">
      <c r="F51" s="10"/>
      <c r="H51" s="140"/>
      <c r="I51" s="140"/>
      <c r="J51" s="140"/>
      <c r="K51" s="140"/>
      <c r="M51" s="141"/>
      <c r="T51" s="185"/>
    </row>
    <row r="52" spans="6:20">
      <c r="F52" s="10"/>
      <c r="H52" s="140"/>
      <c r="I52" s="140"/>
      <c r="J52" s="140"/>
      <c r="K52" s="140"/>
      <c r="M52" s="141"/>
      <c r="T52" s="185"/>
    </row>
    <row r="53" spans="6:20">
      <c r="F53" s="10"/>
      <c r="H53" s="140"/>
      <c r="I53" s="140"/>
      <c r="J53" s="140"/>
      <c r="K53" s="140"/>
      <c r="M53" s="141"/>
      <c r="T53" s="185"/>
    </row>
    <row r="54" spans="6:20">
      <c r="F54" s="10"/>
      <c r="H54" s="140"/>
      <c r="I54" s="140"/>
      <c r="J54" s="140"/>
      <c r="K54" s="140"/>
      <c r="M54" s="141"/>
      <c r="T54" s="185"/>
    </row>
    <row r="55" spans="6:20">
      <c r="F55" s="10"/>
      <c r="H55" s="140"/>
      <c r="I55" s="140"/>
      <c r="J55" s="140"/>
      <c r="K55" s="140"/>
      <c r="M55" s="141"/>
      <c r="T55" s="185"/>
    </row>
    <row r="56" spans="6:20">
      <c r="F56" s="10"/>
      <c r="H56" s="140"/>
      <c r="I56" s="140"/>
      <c r="J56" s="140"/>
      <c r="K56" s="140"/>
      <c r="M56" s="141"/>
      <c r="T56" s="185"/>
    </row>
    <row r="57" spans="6:20">
      <c r="F57" s="10"/>
      <c r="H57" s="140"/>
      <c r="I57" s="140"/>
      <c r="J57" s="140"/>
      <c r="K57" s="140"/>
      <c r="M57" s="141"/>
      <c r="T57" s="185"/>
    </row>
    <row r="58" spans="6:20">
      <c r="F58" s="10"/>
      <c r="H58" s="140"/>
      <c r="I58" s="140"/>
      <c r="J58" s="140"/>
      <c r="K58" s="140"/>
      <c r="M58" s="141"/>
      <c r="T58" s="185"/>
    </row>
    <row r="59" spans="6:20">
      <c r="F59" s="10"/>
      <c r="H59" s="140"/>
      <c r="I59" s="140"/>
      <c r="J59" s="140"/>
      <c r="K59" s="140"/>
      <c r="M59" s="141"/>
      <c r="T59" s="185"/>
    </row>
    <row r="60" spans="6:20">
      <c r="F60" s="10"/>
      <c r="H60" s="140"/>
      <c r="I60" s="140"/>
      <c r="J60" s="140"/>
      <c r="K60" s="140"/>
      <c r="M60" s="141"/>
      <c r="T60" s="185"/>
    </row>
    <row r="61" spans="6:20">
      <c r="F61" s="10"/>
      <c r="H61" s="140"/>
      <c r="I61" s="140"/>
      <c r="J61" s="140"/>
      <c r="K61" s="140"/>
      <c r="M61" s="141"/>
      <c r="T61" s="185"/>
    </row>
    <row r="62" spans="6:20">
      <c r="F62" s="10"/>
      <c r="H62" s="140"/>
      <c r="I62" s="140"/>
      <c r="J62" s="140"/>
      <c r="K62" s="140"/>
      <c r="M62" s="141"/>
      <c r="T62" s="185"/>
    </row>
    <row r="63" spans="6:20">
      <c r="F63" s="10"/>
      <c r="H63" s="140"/>
      <c r="I63" s="140"/>
      <c r="J63" s="140"/>
      <c r="K63" s="140"/>
      <c r="M63" s="141"/>
      <c r="T63" s="185"/>
    </row>
    <row r="64" spans="6:20">
      <c r="F64" s="10"/>
      <c r="H64" s="140"/>
      <c r="I64" s="140"/>
      <c r="J64" s="140"/>
      <c r="K64" s="140"/>
      <c r="M64" s="141"/>
      <c r="T64" s="185"/>
    </row>
    <row r="65" spans="6:20">
      <c r="F65" s="10"/>
      <c r="H65" s="140"/>
      <c r="I65" s="140"/>
      <c r="J65" s="140"/>
      <c r="K65" s="140"/>
      <c r="M65" s="141"/>
      <c r="T65" s="185"/>
    </row>
    <row r="66" spans="6:20">
      <c r="F66" s="10"/>
      <c r="H66" s="140"/>
      <c r="I66" s="140"/>
      <c r="J66" s="140"/>
      <c r="K66" s="140"/>
      <c r="M66" s="141"/>
      <c r="T66" s="185"/>
    </row>
    <row r="67" spans="6:20">
      <c r="F67" s="10"/>
      <c r="H67" s="140"/>
      <c r="I67" s="140"/>
      <c r="J67" s="140"/>
      <c r="K67" s="140"/>
      <c r="M67" s="141"/>
      <c r="T67" s="185"/>
    </row>
    <row r="68" spans="6:20">
      <c r="F68" s="10"/>
      <c r="H68" s="140"/>
      <c r="I68" s="140"/>
      <c r="J68" s="140"/>
      <c r="K68" s="140"/>
      <c r="M68" s="141"/>
      <c r="T68" s="185"/>
    </row>
    <row r="69" spans="6:20">
      <c r="F69" s="10"/>
      <c r="H69" s="140"/>
      <c r="I69" s="140"/>
      <c r="J69" s="140"/>
      <c r="K69" s="140"/>
      <c r="M69" s="141"/>
      <c r="T69" s="185"/>
    </row>
    <row r="70" spans="6:20">
      <c r="F70" s="10"/>
      <c r="H70" s="140"/>
      <c r="I70" s="140"/>
      <c r="J70" s="140"/>
      <c r="K70" s="140"/>
      <c r="M70" s="141"/>
      <c r="T70" s="185"/>
    </row>
  </sheetData>
  <mergeCells count="2">
    <mergeCell ref="P1:T1"/>
    <mergeCell ref="B1:M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84C7-40B5-4655-AA3A-5BCAB93D0F0D}">
  <sheetPr codeName="Hoja8"/>
  <dimension ref="A1:XFD294"/>
  <sheetViews>
    <sheetView showGridLines="0" tabSelected="1" zoomScale="85" zoomScaleNormal="70" workbookViewId="0">
      <selection activeCell="F24" sqref="F24"/>
    </sheetView>
  </sheetViews>
  <sheetFormatPr baseColWidth="10" defaultColWidth="11.44140625" defaultRowHeight="14.4"/>
  <cols>
    <col min="2" max="2" width="53.5546875" customWidth="1"/>
    <col min="3" max="3" width="34.88671875" customWidth="1"/>
    <col min="4" max="4" width="20.109375" customWidth="1"/>
    <col min="5" max="5" width="2.88671875" customWidth="1"/>
    <col min="7" max="7" width="28" customWidth="1"/>
    <col min="9" max="9" width="48" customWidth="1"/>
    <col min="11" max="11" width="35.109375" customWidth="1"/>
    <col min="14" max="14" width="31.44140625" customWidth="1"/>
    <col min="16" max="16" width="36.88671875" customWidth="1"/>
  </cols>
  <sheetData>
    <row r="1" spans="1:19 16384:16384">
      <c r="C1" s="5" t="s">
        <v>1054</v>
      </c>
      <c r="F1" s="5" t="s">
        <v>1054</v>
      </c>
      <c r="I1" s="5" t="s">
        <v>1055</v>
      </c>
      <c r="K1" s="5" t="s">
        <v>1056</v>
      </c>
      <c r="N1" s="5" t="s">
        <v>1057</v>
      </c>
      <c r="P1" s="5" t="s">
        <v>1058</v>
      </c>
      <c r="XFD1" t="s">
        <v>1059</v>
      </c>
    </row>
    <row r="2" spans="1:19 16384:16384">
      <c r="A2" s="5" t="s">
        <v>1060</v>
      </c>
      <c r="XFD2" t="s">
        <v>1061</v>
      </c>
    </row>
    <row r="3" spans="1:19 16384:16384">
      <c r="XFD3" t="s">
        <v>1062</v>
      </c>
    </row>
    <row r="4" spans="1:19 16384:16384">
      <c r="XFD4" t="s">
        <v>1063</v>
      </c>
    </row>
    <row r="5" spans="1:19 16384:16384">
      <c r="XFD5" t="s">
        <v>1064</v>
      </c>
    </row>
    <row r="6" spans="1:19 16384:16384">
      <c r="XFD6" t="s">
        <v>1065</v>
      </c>
    </row>
    <row r="7" spans="1:19 16384:16384"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XFD7" t="s">
        <v>1066</v>
      </c>
    </row>
    <row r="8" spans="1:19 16384:16384">
      <c r="B8" s="134" t="s">
        <v>1067</v>
      </c>
      <c r="C8" s="152" t="s">
        <v>1068</v>
      </c>
      <c r="D8" s="152" t="s">
        <v>1069</v>
      </c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XFD8" t="s">
        <v>1070</v>
      </c>
    </row>
    <row r="9" spans="1:19 16384:16384"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</row>
    <row r="10" spans="1:19 16384:16384">
      <c r="B10" t="s">
        <v>1071</v>
      </c>
      <c r="C10" s="150" t="s">
        <v>1208</v>
      </c>
      <c r="XFD10" t="s">
        <v>1072</v>
      </c>
    </row>
    <row r="11" spans="1:19 16384:16384">
      <c r="B11" t="s">
        <v>1073</v>
      </c>
      <c r="C11" s="148" t="s">
        <v>1551</v>
      </c>
      <c r="XFD11" t="s">
        <v>1074</v>
      </c>
    </row>
    <row r="12" spans="1:19 16384:16384">
      <c r="C12" s="150"/>
    </row>
    <row r="13" spans="1:19 16384:16384" ht="15" thickBot="1">
      <c r="C13" s="150"/>
    </row>
    <row r="14" spans="1:19 16384:16384" ht="15" thickBot="1">
      <c r="B14" t="s">
        <v>1075</v>
      </c>
      <c r="C14" s="19" t="s">
        <v>1065</v>
      </c>
    </row>
    <row r="15" spans="1:19 16384:16384">
      <c r="C15" s="150"/>
    </row>
    <row r="16" spans="1:19 16384:16384">
      <c r="B16" t="s">
        <v>1076</v>
      </c>
      <c r="C16" s="150"/>
    </row>
    <row r="17" spans="1:11 16384:16384">
      <c r="C17" s="150"/>
    </row>
    <row r="18" spans="1:11 16384:16384">
      <c r="C18" s="150"/>
    </row>
    <row r="19" spans="1:11 16384:16384">
      <c r="B19" t="s">
        <v>1077</v>
      </c>
      <c r="C19" s="150"/>
    </row>
    <row r="20" spans="1:11 16384:16384">
      <c r="C20" s="150"/>
    </row>
    <row r="21" spans="1:11 16384:16384" ht="18.600000000000001" customHeight="1">
      <c r="B21" s="174" t="s">
        <v>1078</v>
      </c>
      <c r="C21" s="150"/>
    </row>
    <row r="22" spans="1:11 16384:16384" ht="22.5" customHeight="1">
      <c r="B22" s="174"/>
      <c r="C22" s="150"/>
    </row>
    <row r="23" spans="1:11 16384:16384">
      <c r="C23" s="150"/>
    </row>
    <row r="24" spans="1:11 16384:16384">
      <c r="B24" s="174" t="s">
        <v>1079</v>
      </c>
      <c r="C24" s="150"/>
    </row>
    <row r="25" spans="1:11 16384:16384">
      <c r="B25" s="174"/>
      <c r="C25" s="150"/>
    </row>
    <row r="26" spans="1:11 16384:16384">
      <c r="C26" s="150"/>
    </row>
    <row r="27" spans="1:11 16384:16384">
      <c r="C27" s="151"/>
      <c r="XFD27" t="s">
        <v>1080</v>
      </c>
    </row>
    <row r="28" spans="1:11 16384:16384">
      <c r="K28" s="148"/>
      <c r="XFD28" t="s">
        <v>1081</v>
      </c>
    </row>
    <row r="29" spans="1:11 16384:16384" ht="15" thickBot="1">
      <c r="A29" t="s">
        <v>1082</v>
      </c>
    </row>
    <row r="30" spans="1:11 16384:16384" ht="15" thickBot="1">
      <c r="A30" s="31" t="s">
        <v>873</v>
      </c>
      <c r="B30" s="166" t="s">
        <v>893</v>
      </c>
      <c r="C30" s="167"/>
      <c r="D30" s="168"/>
      <c r="F30" s="160" t="s">
        <v>894</v>
      </c>
      <c r="G30" s="161"/>
    </row>
    <row r="31" spans="1:11 16384:16384" ht="15" thickBot="1">
      <c r="B31" s="26" t="s">
        <v>906</v>
      </c>
      <c r="C31" s="26" t="s">
        <v>907</v>
      </c>
      <c r="D31" s="26" t="s">
        <v>33</v>
      </c>
      <c r="F31" s="32" t="s">
        <v>869</v>
      </c>
      <c r="G31" s="33" t="s">
        <v>908</v>
      </c>
    </row>
    <row r="32" spans="1:11 16384:16384">
      <c r="B32" t="s">
        <v>874</v>
      </c>
      <c r="C32" t="s">
        <v>872</v>
      </c>
      <c r="D32">
        <v>47185460</v>
      </c>
    </row>
    <row r="33" spans="2:4">
      <c r="B33" t="s">
        <v>874</v>
      </c>
      <c r="C33" t="s">
        <v>872</v>
      </c>
      <c r="D33">
        <v>47185458</v>
      </c>
    </row>
    <row r="34" spans="2:4">
      <c r="B34" t="s">
        <v>874</v>
      </c>
      <c r="C34" t="s">
        <v>872</v>
      </c>
      <c r="D34">
        <v>47185459</v>
      </c>
    </row>
    <row r="35" spans="2:4">
      <c r="B35" t="s">
        <v>874</v>
      </c>
      <c r="C35" t="s">
        <v>872</v>
      </c>
      <c r="D35">
        <v>47202209</v>
      </c>
    </row>
    <row r="36" spans="2:4">
      <c r="B36" t="s">
        <v>874</v>
      </c>
      <c r="C36" t="s">
        <v>872</v>
      </c>
      <c r="D36">
        <v>47220797</v>
      </c>
    </row>
    <row r="37" spans="2:4">
      <c r="B37" t="s">
        <v>874</v>
      </c>
      <c r="C37" t="s">
        <v>872</v>
      </c>
      <c r="D37">
        <v>47225260</v>
      </c>
    </row>
    <row r="38" spans="2:4">
      <c r="B38" t="s">
        <v>874</v>
      </c>
      <c r="C38" t="s">
        <v>872</v>
      </c>
      <c r="D38">
        <v>47277775</v>
      </c>
    </row>
    <row r="39" spans="2:4">
      <c r="B39" t="s">
        <v>874</v>
      </c>
      <c r="C39" t="s">
        <v>872</v>
      </c>
      <c r="D39">
        <v>47277776</v>
      </c>
    </row>
    <row r="40" spans="2:4">
      <c r="B40" t="s">
        <v>874</v>
      </c>
      <c r="C40" t="s">
        <v>872</v>
      </c>
      <c r="D40">
        <v>47279774</v>
      </c>
    </row>
    <row r="41" spans="2:4">
      <c r="B41" t="s">
        <v>874</v>
      </c>
      <c r="C41" t="s">
        <v>872</v>
      </c>
      <c r="D41">
        <v>47279773</v>
      </c>
    </row>
    <row r="42" spans="2:4">
      <c r="B42" t="s">
        <v>874</v>
      </c>
      <c r="C42" t="s">
        <v>872</v>
      </c>
      <c r="D42">
        <v>47307445</v>
      </c>
    </row>
    <row r="43" spans="2:4">
      <c r="B43" t="s">
        <v>874</v>
      </c>
      <c r="C43" t="s">
        <v>872</v>
      </c>
      <c r="D43">
        <v>47307443</v>
      </c>
    </row>
    <row r="44" spans="2:4">
      <c r="B44" t="s">
        <v>874</v>
      </c>
      <c r="C44" t="s">
        <v>872</v>
      </c>
      <c r="D44">
        <v>47307444</v>
      </c>
    </row>
    <row r="45" spans="2:4">
      <c r="B45" t="s">
        <v>874</v>
      </c>
      <c r="C45" t="s">
        <v>872</v>
      </c>
      <c r="D45">
        <v>47307446</v>
      </c>
    </row>
    <row r="46" spans="2:4">
      <c r="B46" t="s">
        <v>874</v>
      </c>
      <c r="C46" t="s">
        <v>872</v>
      </c>
      <c r="D46">
        <v>47307447</v>
      </c>
    </row>
    <row r="47" spans="2:4">
      <c r="B47" t="s">
        <v>874</v>
      </c>
      <c r="C47" t="s">
        <v>872</v>
      </c>
      <c r="D47">
        <v>47316912</v>
      </c>
    </row>
    <row r="48" spans="2:4">
      <c r="B48" t="s">
        <v>874</v>
      </c>
      <c r="C48" t="s">
        <v>872</v>
      </c>
      <c r="D48">
        <v>47344037</v>
      </c>
    </row>
    <row r="49" spans="2:7">
      <c r="B49" t="s">
        <v>874</v>
      </c>
      <c r="C49" t="s">
        <v>872</v>
      </c>
      <c r="D49">
        <v>47344040</v>
      </c>
    </row>
    <row r="50" spans="2:7">
      <c r="B50" t="s">
        <v>874</v>
      </c>
      <c r="C50" t="s">
        <v>872</v>
      </c>
      <c r="D50">
        <v>47344038</v>
      </c>
    </row>
    <row r="51" spans="2:7">
      <c r="B51" t="s">
        <v>874</v>
      </c>
      <c r="C51" t="s">
        <v>872</v>
      </c>
      <c r="D51">
        <v>47472313</v>
      </c>
    </row>
    <row r="52" spans="2:7">
      <c r="B52" t="s">
        <v>874</v>
      </c>
      <c r="C52" t="s">
        <v>880</v>
      </c>
      <c r="D52">
        <v>12170186</v>
      </c>
    </row>
    <row r="53" spans="2:7">
      <c r="B53" t="s">
        <v>874</v>
      </c>
      <c r="C53" t="s">
        <v>880</v>
      </c>
      <c r="D53">
        <v>12180550</v>
      </c>
    </row>
    <row r="54" spans="2:7">
      <c r="B54" t="s">
        <v>874</v>
      </c>
      <c r="C54" t="s">
        <v>880</v>
      </c>
      <c r="D54">
        <v>12210260</v>
      </c>
    </row>
    <row r="55" spans="2:7">
      <c r="F55" t="s">
        <v>1059</v>
      </c>
      <c r="G55" t="s">
        <v>872</v>
      </c>
    </row>
    <row r="56" spans="2:7">
      <c r="F56" t="s">
        <v>1059</v>
      </c>
      <c r="G56" t="s">
        <v>872</v>
      </c>
    </row>
    <row r="57" spans="2:7">
      <c r="F57" t="s">
        <v>1059</v>
      </c>
      <c r="G57" t="s">
        <v>872</v>
      </c>
    </row>
    <row r="58" spans="2:7">
      <c r="F58" t="s">
        <v>1059</v>
      </c>
      <c r="G58" t="s">
        <v>872</v>
      </c>
    </row>
    <row r="59" spans="2:7">
      <c r="F59" t="s">
        <v>1059</v>
      </c>
      <c r="G59" t="s">
        <v>872</v>
      </c>
    </row>
    <row r="60" spans="2:7">
      <c r="F60" t="s">
        <v>1059</v>
      </c>
      <c r="G60" t="s">
        <v>872</v>
      </c>
    </row>
    <row r="61" spans="2:7">
      <c r="F61" t="s">
        <v>1059</v>
      </c>
      <c r="G61" t="s">
        <v>872</v>
      </c>
    </row>
    <row r="62" spans="2:7">
      <c r="F62" t="s">
        <v>1059</v>
      </c>
      <c r="G62" t="s">
        <v>872</v>
      </c>
    </row>
    <row r="63" spans="2:7">
      <c r="F63" t="s">
        <v>1059</v>
      </c>
      <c r="G63" t="s">
        <v>872</v>
      </c>
    </row>
    <row r="64" spans="2:7">
      <c r="F64" t="s">
        <v>1059</v>
      </c>
      <c r="G64" t="s">
        <v>872</v>
      </c>
    </row>
    <row r="65" spans="6:7">
      <c r="F65" t="s">
        <v>1059</v>
      </c>
      <c r="G65" t="s">
        <v>872</v>
      </c>
    </row>
    <row r="66" spans="6:7">
      <c r="F66" t="s">
        <v>1059</v>
      </c>
      <c r="G66" t="s">
        <v>872</v>
      </c>
    </row>
    <row r="67" spans="6:7">
      <c r="F67" t="s">
        <v>1059</v>
      </c>
      <c r="G67" t="s">
        <v>880</v>
      </c>
    </row>
    <row r="68" spans="6:7">
      <c r="F68" t="s">
        <v>1061</v>
      </c>
      <c r="G68" t="s">
        <v>872</v>
      </c>
    </row>
    <row r="69" spans="6:7">
      <c r="F69" t="s">
        <v>1061</v>
      </c>
      <c r="G69" t="s">
        <v>872</v>
      </c>
    </row>
    <row r="70" spans="6:7">
      <c r="F70" t="s">
        <v>1061</v>
      </c>
      <c r="G70" t="s">
        <v>872</v>
      </c>
    </row>
    <row r="71" spans="6:7">
      <c r="F71" t="s">
        <v>1061</v>
      </c>
      <c r="G71" t="s">
        <v>872</v>
      </c>
    </row>
    <row r="72" spans="6:7">
      <c r="F72" t="s">
        <v>1061</v>
      </c>
      <c r="G72" t="s">
        <v>872</v>
      </c>
    </row>
    <row r="73" spans="6:7">
      <c r="F73" t="s">
        <v>1061</v>
      </c>
      <c r="G73" t="s">
        <v>872</v>
      </c>
    </row>
    <row r="74" spans="6:7">
      <c r="F74" t="s">
        <v>1061</v>
      </c>
      <c r="G74" t="s">
        <v>872</v>
      </c>
    </row>
    <row r="75" spans="6:7">
      <c r="F75" t="s">
        <v>1061</v>
      </c>
      <c r="G75" t="s">
        <v>872</v>
      </c>
    </row>
    <row r="76" spans="6:7">
      <c r="F76" t="s">
        <v>1061</v>
      </c>
      <c r="G76" t="s">
        <v>872</v>
      </c>
    </row>
    <row r="77" spans="6:7">
      <c r="F77" t="s">
        <v>1061</v>
      </c>
      <c r="G77" t="s">
        <v>872</v>
      </c>
    </row>
    <row r="78" spans="6:7">
      <c r="F78" t="s">
        <v>1061</v>
      </c>
      <c r="G78" t="s">
        <v>872</v>
      </c>
    </row>
    <row r="79" spans="6:7">
      <c r="F79" t="s">
        <v>1061</v>
      </c>
      <c r="G79" t="s">
        <v>872</v>
      </c>
    </row>
    <row r="80" spans="6:7">
      <c r="F80" t="s">
        <v>1061</v>
      </c>
      <c r="G80" t="s">
        <v>880</v>
      </c>
    </row>
    <row r="81" spans="6:7">
      <c r="F81" t="s">
        <v>1061</v>
      </c>
      <c r="G81" t="s">
        <v>880</v>
      </c>
    </row>
    <row r="82" spans="6:7">
      <c r="F82" t="s">
        <v>1061</v>
      </c>
      <c r="G82" t="s">
        <v>880</v>
      </c>
    </row>
    <row r="83" spans="6:7">
      <c r="F83" t="s">
        <v>1062</v>
      </c>
      <c r="G83" t="s">
        <v>872</v>
      </c>
    </row>
    <row r="84" spans="6:7">
      <c r="F84" t="s">
        <v>1062</v>
      </c>
      <c r="G84" t="s">
        <v>872</v>
      </c>
    </row>
    <row r="85" spans="6:7">
      <c r="F85" t="s">
        <v>1062</v>
      </c>
      <c r="G85" t="s">
        <v>872</v>
      </c>
    </row>
    <row r="86" spans="6:7">
      <c r="F86" t="s">
        <v>1062</v>
      </c>
      <c r="G86" t="s">
        <v>872</v>
      </c>
    </row>
    <row r="87" spans="6:7">
      <c r="F87" t="s">
        <v>1062</v>
      </c>
      <c r="G87" t="s">
        <v>872</v>
      </c>
    </row>
    <row r="88" spans="6:7">
      <c r="F88" t="s">
        <v>1062</v>
      </c>
      <c r="G88" t="s">
        <v>872</v>
      </c>
    </row>
    <row r="89" spans="6:7">
      <c r="F89" t="s">
        <v>1062</v>
      </c>
      <c r="G89" t="s">
        <v>872</v>
      </c>
    </row>
    <row r="90" spans="6:7">
      <c r="F90" t="s">
        <v>1062</v>
      </c>
      <c r="G90" t="s">
        <v>872</v>
      </c>
    </row>
    <row r="91" spans="6:7">
      <c r="F91" t="s">
        <v>1062</v>
      </c>
      <c r="G91" t="s">
        <v>872</v>
      </c>
    </row>
    <row r="92" spans="6:7">
      <c r="F92" t="s">
        <v>1062</v>
      </c>
      <c r="G92" t="s">
        <v>872</v>
      </c>
    </row>
    <row r="93" spans="6:7">
      <c r="F93" t="s">
        <v>1062</v>
      </c>
      <c r="G93" t="s">
        <v>872</v>
      </c>
    </row>
    <row r="94" spans="6:7">
      <c r="F94" t="s">
        <v>1062</v>
      </c>
      <c r="G94" t="s">
        <v>872</v>
      </c>
    </row>
    <row r="95" spans="6:7">
      <c r="F95" t="s">
        <v>1062</v>
      </c>
      <c r="G95" t="s">
        <v>880</v>
      </c>
    </row>
    <row r="96" spans="6:7">
      <c r="F96" t="s">
        <v>1063</v>
      </c>
      <c r="G96" t="s">
        <v>872</v>
      </c>
    </row>
    <row r="97" spans="6:7">
      <c r="F97" t="s">
        <v>1063</v>
      </c>
      <c r="G97" t="s">
        <v>872</v>
      </c>
    </row>
    <row r="98" spans="6:7">
      <c r="F98" t="s">
        <v>1063</v>
      </c>
      <c r="G98" t="s">
        <v>872</v>
      </c>
    </row>
    <row r="99" spans="6:7">
      <c r="F99" t="s">
        <v>1063</v>
      </c>
      <c r="G99" t="s">
        <v>872</v>
      </c>
    </row>
    <row r="100" spans="6:7">
      <c r="F100" t="s">
        <v>1063</v>
      </c>
      <c r="G100" t="s">
        <v>872</v>
      </c>
    </row>
    <row r="101" spans="6:7">
      <c r="F101" t="s">
        <v>1063</v>
      </c>
      <c r="G101" t="s">
        <v>872</v>
      </c>
    </row>
    <row r="102" spans="6:7">
      <c r="F102" t="s">
        <v>1063</v>
      </c>
      <c r="G102" t="s">
        <v>872</v>
      </c>
    </row>
    <row r="103" spans="6:7">
      <c r="F103" t="s">
        <v>1063</v>
      </c>
      <c r="G103" t="s">
        <v>872</v>
      </c>
    </row>
    <row r="104" spans="6:7">
      <c r="F104" t="s">
        <v>1063</v>
      </c>
      <c r="G104" t="s">
        <v>872</v>
      </c>
    </row>
    <row r="105" spans="6:7">
      <c r="F105" t="s">
        <v>1063</v>
      </c>
      <c r="G105" t="s">
        <v>872</v>
      </c>
    </row>
    <row r="106" spans="6:7">
      <c r="F106" t="s">
        <v>1063</v>
      </c>
      <c r="G106" t="s">
        <v>872</v>
      </c>
    </row>
    <row r="107" spans="6:7">
      <c r="F107" t="s">
        <v>1063</v>
      </c>
      <c r="G107" t="s">
        <v>872</v>
      </c>
    </row>
    <row r="108" spans="6:7">
      <c r="F108" t="s">
        <v>1063</v>
      </c>
      <c r="G108" t="s">
        <v>872</v>
      </c>
    </row>
    <row r="109" spans="6:7">
      <c r="F109" t="s">
        <v>1063</v>
      </c>
      <c r="G109" t="s">
        <v>872</v>
      </c>
    </row>
    <row r="110" spans="6:7">
      <c r="F110" t="s">
        <v>1063</v>
      </c>
      <c r="G110" t="s">
        <v>872</v>
      </c>
    </row>
    <row r="111" spans="6:7">
      <c r="F111" t="s">
        <v>1063</v>
      </c>
      <c r="G111" t="s">
        <v>872</v>
      </c>
    </row>
    <row r="112" spans="6:7">
      <c r="F112" t="s">
        <v>1063</v>
      </c>
      <c r="G112" t="s">
        <v>872</v>
      </c>
    </row>
    <row r="113" spans="6:7">
      <c r="F113" t="s">
        <v>1063</v>
      </c>
      <c r="G113" t="s">
        <v>872</v>
      </c>
    </row>
    <row r="114" spans="6:7">
      <c r="F114" t="s">
        <v>1063</v>
      </c>
      <c r="G114" t="s">
        <v>872</v>
      </c>
    </row>
    <row r="115" spans="6:7">
      <c r="F115" t="s">
        <v>1063</v>
      </c>
      <c r="G115" t="s">
        <v>872</v>
      </c>
    </row>
    <row r="116" spans="6:7">
      <c r="F116" t="s">
        <v>1063</v>
      </c>
      <c r="G116" t="s">
        <v>880</v>
      </c>
    </row>
    <row r="117" spans="6:7">
      <c r="F117" t="s">
        <v>1063</v>
      </c>
      <c r="G117" t="s">
        <v>880</v>
      </c>
    </row>
    <row r="118" spans="6:7">
      <c r="F118" t="s">
        <v>1063</v>
      </c>
      <c r="G118" t="s">
        <v>880</v>
      </c>
    </row>
    <row r="119" spans="6:7">
      <c r="F119" t="s">
        <v>1064</v>
      </c>
      <c r="G119" t="s">
        <v>872</v>
      </c>
    </row>
    <row r="120" spans="6:7">
      <c r="F120" t="s">
        <v>1064</v>
      </c>
      <c r="G120" t="s">
        <v>872</v>
      </c>
    </row>
    <row r="121" spans="6:7">
      <c r="F121" t="s">
        <v>1064</v>
      </c>
      <c r="G121" t="s">
        <v>872</v>
      </c>
    </row>
    <row r="122" spans="6:7">
      <c r="F122" t="s">
        <v>1064</v>
      </c>
      <c r="G122" t="s">
        <v>872</v>
      </c>
    </row>
    <row r="123" spans="6:7">
      <c r="F123" t="s">
        <v>1064</v>
      </c>
      <c r="G123" t="s">
        <v>872</v>
      </c>
    </row>
    <row r="124" spans="6:7">
      <c r="F124" t="s">
        <v>1064</v>
      </c>
      <c r="G124" t="s">
        <v>872</v>
      </c>
    </row>
    <row r="125" spans="6:7">
      <c r="F125" t="s">
        <v>1064</v>
      </c>
      <c r="G125" t="s">
        <v>872</v>
      </c>
    </row>
    <row r="126" spans="6:7">
      <c r="F126" t="s">
        <v>1064</v>
      </c>
      <c r="G126" t="s">
        <v>872</v>
      </c>
    </row>
    <row r="127" spans="6:7">
      <c r="F127" t="s">
        <v>1064</v>
      </c>
      <c r="G127" t="s">
        <v>872</v>
      </c>
    </row>
    <row r="128" spans="6:7">
      <c r="F128" t="s">
        <v>1064</v>
      </c>
      <c r="G128" t="s">
        <v>872</v>
      </c>
    </row>
    <row r="129" spans="6:7">
      <c r="F129" t="s">
        <v>1064</v>
      </c>
      <c r="G129" t="s">
        <v>872</v>
      </c>
    </row>
    <row r="130" spans="6:7">
      <c r="F130" t="s">
        <v>1064</v>
      </c>
      <c r="G130" t="s">
        <v>872</v>
      </c>
    </row>
    <row r="131" spans="6:7">
      <c r="F131" t="s">
        <v>1064</v>
      </c>
      <c r="G131" t="s">
        <v>872</v>
      </c>
    </row>
    <row r="132" spans="6:7">
      <c r="F132" t="s">
        <v>1064</v>
      </c>
      <c r="G132" t="s">
        <v>872</v>
      </c>
    </row>
    <row r="133" spans="6:7">
      <c r="F133" t="s">
        <v>1064</v>
      </c>
      <c r="G133" t="s">
        <v>872</v>
      </c>
    </row>
    <row r="134" spans="6:7">
      <c r="F134" t="s">
        <v>1064</v>
      </c>
      <c r="G134" t="s">
        <v>880</v>
      </c>
    </row>
    <row r="135" spans="6:7">
      <c r="F135" t="s">
        <v>1064</v>
      </c>
      <c r="G135" t="s">
        <v>880</v>
      </c>
    </row>
    <row r="136" spans="6:7">
      <c r="F136" t="s">
        <v>1065</v>
      </c>
      <c r="G136" t="s">
        <v>872</v>
      </c>
    </row>
    <row r="137" spans="6:7">
      <c r="F137" t="s">
        <v>1065</v>
      </c>
      <c r="G137" t="s">
        <v>872</v>
      </c>
    </row>
    <row r="138" spans="6:7">
      <c r="F138" t="s">
        <v>1065</v>
      </c>
      <c r="G138" t="s">
        <v>872</v>
      </c>
    </row>
    <row r="139" spans="6:7">
      <c r="F139" t="s">
        <v>1065</v>
      </c>
      <c r="G139" t="s">
        <v>872</v>
      </c>
    </row>
    <row r="140" spans="6:7">
      <c r="F140" t="s">
        <v>1065</v>
      </c>
      <c r="G140" t="s">
        <v>872</v>
      </c>
    </row>
    <row r="141" spans="6:7">
      <c r="F141" t="s">
        <v>1065</v>
      </c>
      <c r="G141" t="s">
        <v>872</v>
      </c>
    </row>
    <row r="142" spans="6:7">
      <c r="F142" t="s">
        <v>1065</v>
      </c>
      <c r="G142" t="s">
        <v>872</v>
      </c>
    </row>
    <row r="143" spans="6:7">
      <c r="F143" t="s">
        <v>1065</v>
      </c>
      <c r="G143" t="s">
        <v>872</v>
      </c>
    </row>
    <row r="144" spans="6:7">
      <c r="F144" t="s">
        <v>1065</v>
      </c>
      <c r="G144" t="s">
        <v>872</v>
      </c>
    </row>
    <row r="145" spans="6:7">
      <c r="F145" t="s">
        <v>1065</v>
      </c>
      <c r="G145" t="s">
        <v>872</v>
      </c>
    </row>
    <row r="146" spans="6:7">
      <c r="F146" t="s">
        <v>1065</v>
      </c>
      <c r="G146" t="s">
        <v>872</v>
      </c>
    </row>
    <row r="147" spans="6:7">
      <c r="F147" t="s">
        <v>1065</v>
      </c>
      <c r="G147" t="s">
        <v>872</v>
      </c>
    </row>
    <row r="148" spans="6:7">
      <c r="F148" t="s">
        <v>1065</v>
      </c>
      <c r="G148" t="s">
        <v>872</v>
      </c>
    </row>
    <row r="149" spans="6:7">
      <c r="F149" t="s">
        <v>1065</v>
      </c>
      <c r="G149" t="s">
        <v>880</v>
      </c>
    </row>
    <row r="150" spans="6:7">
      <c r="F150" t="s">
        <v>1065</v>
      </c>
      <c r="G150" t="s">
        <v>880</v>
      </c>
    </row>
    <row r="151" spans="6:7">
      <c r="F151" t="s">
        <v>1066</v>
      </c>
      <c r="G151" t="s">
        <v>872</v>
      </c>
    </row>
    <row r="152" spans="6:7">
      <c r="F152" t="s">
        <v>1066</v>
      </c>
      <c r="G152" t="s">
        <v>872</v>
      </c>
    </row>
    <row r="153" spans="6:7">
      <c r="F153" t="s">
        <v>1066</v>
      </c>
      <c r="G153" t="s">
        <v>872</v>
      </c>
    </row>
    <row r="154" spans="6:7">
      <c r="F154" t="s">
        <v>1066</v>
      </c>
      <c r="G154" t="s">
        <v>872</v>
      </c>
    </row>
    <row r="155" spans="6:7">
      <c r="F155" t="s">
        <v>1066</v>
      </c>
      <c r="G155" t="s">
        <v>872</v>
      </c>
    </row>
    <row r="156" spans="6:7">
      <c r="F156" t="s">
        <v>1066</v>
      </c>
      <c r="G156" t="s">
        <v>872</v>
      </c>
    </row>
    <row r="157" spans="6:7">
      <c r="F157" t="s">
        <v>1066</v>
      </c>
      <c r="G157" t="s">
        <v>872</v>
      </c>
    </row>
    <row r="158" spans="6:7">
      <c r="F158" t="s">
        <v>1066</v>
      </c>
      <c r="G158" t="s">
        <v>872</v>
      </c>
    </row>
    <row r="159" spans="6:7">
      <c r="F159" t="s">
        <v>1066</v>
      </c>
      <c r="G159" t="s">
        <v>872</v>
      </c>
    </row>
    <row r="160" spans="6:7">
      <c r="F160" t="s">
        <v>1066</v>
      </c>
      <c r="G160" t="s">
        <v>872</v>
      </c>
    </row>
    <row r="161" spans="6:7">
      <c r="F161" t="s">
        <v>1066</v>
      </c>
      <c r="G161" t="s">
        <v>872</v>
      </c>
    </row>
    <row r="162" spans="6:7">
      <c r="F162" t="s">
        <v>1066</v>
      </c>
      <c r="G162" t="s">
        <v>872</v>
      </c>
    </row>
    <row r="163" spans="6:7">
      <c r="F163" t="s">
        <v>1066</v>
      </c>
      <c r="G163" t="s">
        <v>872</v>
      </c>
    </row>
    <row r="164" spans="6:7">
      <c r="F164" t="s">
        <v>1066</v>
      </c>
      <c r="G164" t="s">
        <v>872</v>
      </c>
    </row>
    <row r="165" spans="6:7">
      <c r="F165" t="s">
        <v>1066</v>
      </c>
      <c r="G165" t="s">
        <v>872</v>
      </c>
    </row>
    <row r="166" spans="6:7">
      <c r="F166" t="s">
        <v>1066</v>
      </c>
      <c r="G166" t="s">
        <v>872</v>
      </c>
    </row>
    <row r="167" spans="6:7">
      <c r="F167" t="s">
        <v>1066</v>
      </c>
      <c r="G167" t="s">
        <v>872</v>
      </c>
    </row>
    <row r="168" spans="6:7">
      <c r="F168" t="s">
        <v>1066</v>
      </c>
      <c r="G168" t="s">
        <v>872</v>
      </c>
    </row>
    <row r="169" spans="6:7">
      <c r="F169" t="s">
        <v>1066</v>
      </c>
      <c r="G169" t="s">
        <v>872</v>
      </c>
    </row>
    <row r="170" spans="6:7">
      <c r="F170" t="s">
        <v>1066</v>
      </c>
      <c r="G170" t="s">
        <v>872</v>
      </c>
    </row>
    <row r="171" spans="6:7">
      <c r="F171" t="s">
        <v>1066</v>
      </c>
      <c r="G171" t="s">
        <v>872</v>
      </c>
    </row>
    <row r="172" spans="6:7">
      <c r="F172" t="s">
        <v>1066</v>
      </c>
      <c r="G172" t="s">
        <v>880</v>
      </c>
    </row>
    <row r="173" spans="6:7">
      <c r="F173" t="s">
        <v>1066</v>
      </c>
      <c r="G173" t="s">
        <v>880</v>
      </c>
    </row>
    <row r="174" spans="6:7">
      <c r="F174" t="s">
        <v>1066</v>
      </c>
      <c r="G174" t="s">
        <v>880</v>
      </c>
    </row>
    <row r="175" spans="6:7">
      <c r="F175" t="s">
        <v>1066</v>
      </c>
      <c r="G175" t="s">
        <v>880</v>
      </c>
    </row>
    <row r="176" spans="6:7">
      <c r="F176" t="s">
        <v>1070</v>
      </c>
      <c r="G176" t="s">
        <v>872</v>
      </c>
    </row>
    <row r="177" spans="6:7">
      <c r="F177" t="s">
        <v>1070</v>
      </c>
      <c r="G177" t="s">
        <v>872</v>
      </c>
    </row>
    <row r="178" spans="6:7">
      <c r="F178" t="s">
        <v>1070</v>
      </c>
      <c r="G178" t="s">
        <v>872</v>
      </c>
    </row>
    <row r="179" spans="6:7">
      <c r="F179" t="s">
        <v>1070</v>
      </c>
      <c r="G179" t="s">
        <v>872</v>
      </c>
    </row>
    <row r="180" spans="6:7">
      <c r="F180" t="s">
        <v>1070</v>
      </c>
      <c r="G180" t="s">
        <v>872</v>
      </c>
    </row>
    <row r="181" spans="6:7">
      <c r="F181" t="s">
        <v>1070</v>
      </c>
      <c r="G181" t="s">
        <v>872</v>
      </c>
    </row>
    <row r="182" spans="6:7">
      <c r="F182" t="s">
        <v>1070</v>
      </c>
      <c r="G182" t="s">
        <v>872</v>
      </c>
    </row>
    <row r="183" spans="6:7">
      <c r="F183" t="s">
        <v>1070</v>
      </c>
      <c r="G183" t="s">
        <v>872</v>
      </c>
    </row>
    <row r="184" spans="6:7">
      <c r="F184" t="s">
        <v>1070</v>
      </c>
      <c r="G184" t="s">
        <v>872</v>
      </c>
    </row>
    <row r="185" spans="6:7">
      <c r="F185" t="s">
        <v>1070</v>
      </c>
      <c r="G185" t="s">
        <v>872</v>
      </c>
    </row>
    <row r="186" spans="6:7">
      <c r="F186" t="s">
        <v>1070</v>
      </c>
      <c r="G186" t="s">
        <v>872</v>
      </c>
    </row>
    <row r="187" spans="6:7">
      <c r="F187" t="s">
        <v>1070</v>
      </c>
      <c r="G187" t="s">
        <v>872</v>
      </c>
    </row>
    <row r="188" spans="6:7">
      <c r="F188" t="s">
        <v>1070</v>
      </c>
      <c r="G188" t="s">
        <v>872</v>
      </c>
    </row>
    <row r="189" spans="6:7">
      <c r="F189" t="s">
        <v>1070</v>
      </c>
      <c r="G189" t="s">
        <v>872</v>
      </c>
    </row>
    <row r="190" spans="6:7">
      <c r="F190" t="s">
        <v>1070</v>
      </c>
      <c r="G190" t="s">
        <v>872</v>
      </c>
    </row>
    <row r="191" spans="6:7">
      <c r="F191" t="s">
        <v>1070</v>
      </c>
      <c r="G191" t="s">
        <v>872</v>
      </c>
    </row>
    <row r="192" spans="6:7">
      <c r="F192" t="s">
        <v>1070</v>
      </c>
      <c r="G192" t="s">
        <v>872</v>
      </c>
    </row>
    <row r="193" spans="6:7">
      <c r="F193" t="s">
        <v>1070</v>
      </c>
      <c r="G193" t="s">
        <v>872</v>
      </c>
    </row>
    <row r="194" spans="6:7">
      <c r="F194" t="s">
        <v>1070</v>
      </c>
      <c r="G194" t="s">
        <v>872</v>
      </c>
    </row>
    <row r="195" spans="6:7">
      <c r="F195" t="s">
        <v>1070</v>
      </c>
      <c r="G195" t="s">
        <v>872</v>
      </c>
    </row>
    <row r="196" spans="6:7">
      <c r="F196" t="s">
        <v>1070</v>
      </c>
      <c r="G196" t="s">
        <v>872</v>
      </c>
    </row>
    <row r="197" spans="6:7">
      <c r="F197" t="s">
        <v>1070</v>
      </c>
      <c r="G197" t="s">
        <v>872</v>
      </c>
    </row>
    <row r="198" spans="6:7">
      <c r="F198" t="s">
        <v>1070</v>
      </c>
      <c r="G198" t="s">
        <v>872</v>
      </c>
    </row>
    <row r="199" spans="6:7">
      <c r="F199" t="s">
        <v>1070</v>
      </c>
      <c r="G199" t="s">
        <v>872</v>
      </c>
    </row>
    <row r="200" spans="6:7">
      <c r="F200" t="s">
        <v>1070</v>
      </c>
      <c r="G200" t="s">
        <v>880</v>
      </c>
    </row>
    <row r="201" spans="6:7">
      <c r="F201" t="s">
        <v>1070</v>
      </c>
      <c r="G201" t="s">
        <v>880</v>
      </c>
    </row>
    <row r="202" spans="6:7">
      <c r="F202" t="s">
        <v>1070</v>
      </c>
      <c r="G202" t="s">
        <v>880</v>
      </c>
    </row>
    <row r="203" spans="6:7">
      <c r="F203" t="s">
        <v>1070</v>
      </c>
      <c r="G203" t="s">
        <v>880</v>
      </c>
    </row>
    <row r="204" spans="6:7">
      <c r="F204" t="s">
        <v>1070</v>
      </c>
      <c r="G204" t="s">
        <v>880</v>
      </c>
    </row>
    <row r="205" spans="6:7">
      <c r="F205" t="s">
        <v>1072</v>
      </c>
      <c r="G205" t="s">
        <v>872</v>
      </c>
    </row>
    <row r="206" spans="6:7">
      <c r="F206" t="s">
        <v>1072</v>
      </c>
      <c r="G206" t="s">
        <v>872</v>
      </c>
    </row>
    <row r="207" spans="6:7">
      <c r="F207" t="s">
        <v>1072</v>
      </c>
      <c r="G207" t="s">
        <v>872</v>
      </c>
    </row>
    <row r="208" spans="6:7">
      <c r="F208" t="s">
        <v>1072</v>
      </c>
      <c r="G208" t="s">
        <v>872</v>
      </c>
    </row>
    <row r="209" spans="6:7">
      <c r="F209" t="s">
        <v>1072</v>
      </c>
      <c r="G209" t="s">
        <v>872</v>
      </c>
    </row>
    <row r="210" spans="6:7">
      <c r="F210" t="s">
        <v>1072</v>
      </c>
      <c r="G210" t="s">
        <v>872</v>
      </c>
    </row>
    <row r="211" spans="6:7">
      <c r="F211" t="s">
        <v>1072</v>
      </c>
      <c r="G211" t="s">
        <v>872</v>
      </c>
    </row>
    <row r="212" spans="6:7">
      <c r="F212" t="s">
        <v>1072</v>
      </c>
      <c r="G212" t="s">
        <v>872</v>
      </c>
    </row>
    <row r="213" spans="6:7">
      <c r="F213" t="s">
        <v>1072</v>
      </c>
      <c r="G213" t="s">
        <v>872</v>
      </c>
    </row>
    <row r="214" spans="6:7">
      <c r="F214" t="s">
        <v>1072</v>
      </c>
      <c r="G214" t="s">
        <v>872</v>
      </c>
    </row>
    <row r="215" spans="6:7">
      <c r="F215" t="s">
        <v>1072</v>
      </c>
      <c r="G215" t="s">
        <v>872</v>
      </c>
    </row>
    <row r="216" spans="6:7">
      <c r="F216" t="s">
        <v>1072</v>
      </c>
      <c r="G216" t="s">
        <v>872</v>
      </c>
    </row>
    <row r="217" spans="6:7">
      <c r="F217" t="s">
        <v>1072</v>
      </c>
      <c r="G217" t="s">
        <v>872</v>
      </c>
    </row>
    <row r="218" spans="6:7">
      <c r="F218" t="s">
        <v>1072</v>
      </c>
      <c r="G218" t="s">
        <v>872</v>
      </c>
    </row>
    <row r="219" spans="6:7">
      <c r="F219" t="s">
        <v>1072</v>
      </c>
      <c r="G219" t="s">
        <v>872</v>
      </c>
    </row>
    <row r="220" spans="6:7">
      <c r="F220" t="s">
        <v>1072</v>
      </c>
      <c r="G220" t="s">
        <v>872</v>
      </c>
    </row>
    <row r="221" spans="6:7">
      <c r="F221" t="s">
        <v>1072</v>
      </c>
      <c r="G221" t="s">
        <v>872</v>
      </c>
    </row>
    <row r="222" spans="6:7">
      <c r="F222" t="s">
        <v>1072</v>
      </c>
      <c r="G222" t="s">
        <v>872</v>
      </c>
    </row>
    <row r="223" spans="6:7">
      <c r="F223" t="s">
        <v>1072</v>
      </c>
      <c r="G223" t="s">
        <v>872</v>
      </c>
    </row>
    <row r="224" spans="6:7">
      <c r="F224" t="s">
        <v>1072</v>
      </c>
      <c r="G224" t="s">
        <v>872</v>
      </c>
    </row>
    <row r="225" spans="6:7">
      <c r="F225" t="s">
        <v>1072</v>
      </c>
      <c r="G225" t="s">
        <v>872</v>
      </c>
    </row>
    <row r="226" spans="6:7">
      <c r="F226" t="s">
        <v>1072</v>
      </c>
      <c r="G226" t="s">
        <v>872</v>
      </c>
    </row>
    <row r="227" spans="6:7">
      <c r="F227" t="s">
        <v>1072</v>
      </c>
      <c r="G227" t="s">
        <v>872</v>
      </c>
    </row>
    <row r="228" spans="6:7">
      <c r="F228" t="s">
        <v>1072</v>
      </c>
      <c r="G228" t="s">
        <v>872</v>
      </c>
    </row>
    <row r="229" spans="6:7">
      <c r="F229" t="s">
        <v>1072</v>
      </c>
      <c r="G229" t="s">
        <v>872</v>
      </c>
    </row>
    <row r="230" spans="6:7">
      <c r="F230" t="s">
        <v>1072</v>
      </c>
      <c r="G230" t="s">
        <v>872</v>
      </c>
    </row>
    <row r="231" spans="6:7">
      <c r="F231" t="s">
        <v>1072</v>
      </c>
      <c r="G231" t="s">
        <v>872</v>
      </c>
    </row>
    <row r="232" spans="6:7">
      <c r="F232" t="s">
        <v>1072</v>
      </c>
      <c r="G232" t="s">
        <v>872</v>
      </c>
    </row>
    <row r="233" spans="6:7">
      <c r="F233" t="s">
        <v>1072</v>
      </c>
      <c r="G233" t="s">
        <v>872</v>
      </c>
    </row>
    <row r="234" spans="6:7">
      <c r="F234" t="s">
        <v>1072</v>
      </c>
      <c r="G234" t="s">
        <v>880</v>
      </c>
    </row>
    <row r="235" spans="6:7">
      <c r="F235" t="s">
        <v>1072</v>
      </c>
      <c r="G235" t="s">
        <v>880</v>
      </c>
    </row>
    <row r="236" spans="6:7">
      <c r="F236" t="s">
        <v>1072</v>
      </c>
      <c r="G236" t="s">
        <v>880</v>
      </c>
    </row>
    <row r="237" spans="6:7">
      <c r="F237" t="s">
        <v>1072</v>
      </c>
      <c r="G237" t="s">
        <v>880</v>
      </c>
    </row>
    <row r="238" spans="6:7">
      <c r="F238" t="s">
        <v>1072</v>
      </c>
      <c r="G238" t="s">
        <v>880</v>
      </c>
    </row>
    <row r="239" spans="6:7">
      <c r="F239" t="s">
        <v>1072</v>
      </c>
      <c r="G239" t="s">
        <v>880</v>
      </c>
    </row>
    <row r="240" spans="6:7">
      <c r="F240" t="s">
        <v>1072</v>
      </c>
      <c r="G240" t="s">
        <v>880</v>
      </c>
    </row>
    <row r="241" spans="6:7">
      <c r="F241" t="s">
        <v>1074</v>
      </c>
      <c r="G241" t="s">
        <v>872</v>
      </c>
    </row>
    <row r="242" spans="6:7">
      <c r="F242" t="s">
        <v>1074</v>
      </c>
      <c r="G242" t="s">
        <v>872</v>
      </c>
    </row>
    <row r="243" spans="6:7">
      <c r="F243" t="s">
        <v>1074</v>
      </c>
      <c r="G243" t="s">
        <v>872</v>
      </c>
    </row>
    <row r="244" spans="6:7">
      <c r="F244" t="s">
        <v>1074</v>
      </c>
      <c r="G244" t="s">
        <v>872</v>
      </c>
    </row>
    <row r="245" spans="6:7">
      <c r="F245" t="s">
        <v>1074</v>
      </c>
      <c r="G245" t="s">
        <v>872</v>
      </c>
    </row>
    <row r="246" spans="6:7">
      <c r="F246" t="s">
        <v>1074</v>
      </c>
      <c r="G246" t="s">
        <v>872</v>
      </c>
    </row>
    <row r="247" spans="6:7">
      <c r="F247" t="s">
        <v>1074</v>
      </c>
      <c r="G247" t="s">
        <v>872</v>
      </c>
    </row>
    <row r="248" spans="6:7">
      <c r="F248" t="s">
        <v>1074</v>
      </c>
      <c r="G248" t="s">
        <v>872</v>
      </c>
    </row>
    <row r="249" spans="6:7">
      <c r="F249" t="s">
        <v>1074</v>
      </c>
      <c r="G249" t="s">
        <v>872</v>
      </c>
    </row>
    <row r="250" spans="6:7">
      <c r="F250" t="s">
        <v>1074</v>
      </c>
      <c r="G250" t="s">
        <v>872</v>
      </c>
    </row>
    <row r="251" spans="6:7">
      <c r="F251" t="s">
        <v>1074</v>
      </c>
      <c r="G251" t="s">
        <v>872</v>
      </c>
    </row>
    <row r="252" spans="6:7">
      <c r="F252" t="s">
        <v>1074</v>
      </c>
      <c r="G252" t="s">
        <v>872</v>
      </c>
    </row>
    <row r="253" spans="6:7">
      <c r="F253" t="s">
        <v>1074</v>
      </c>
      <c r="G253" t="s">
        <v>872</v>
      </c>
    </row>
    <row r="254" spans="6:7">
      <c r="F254" t="s">
        <v>1074</v>
      </c>
      <c r="G254" t="s">
        <v>872</v>
      </c>
    </row>
    <row r="255" spans="6:7">
      <c r="F255" t="s">
        <v>1074</v>
      </c>
      <c r="G255" t="s">
        <v>872</v>
      </c>
    </row>
    <row r="256" spans="6:7">
      <c r="F256" t="s">
        <v>1074</v>
      </c>
      <c r="G256" t="s">
        <v>872</v>
      </c>
    </row>
    <row r="257" spans="6:7">
      <c r="F257" t="s">
        <v>1074</v>
      </c>
      <c r="G257" t="s">
        <v>872</v>
      </c>
    </row>
    <row r="258" spans="6:7">
      <c r="F258" t="s">
        <v>1074</v>
      </c>
      <c r="G258" t="s">
        <v>872</v>
      </c>
    </row>
    <row r="259" spans="6:7">
      <c r="F259" t="s">
        <v>1074</v>
      </c>
      <c r="G259" t="s">
        <v>872</v>
      </c>
    </row>
    <row r="260" spans="6:7">
      <c r="F260" t="s">
        <v>1074</v>
      </c>
      <c r="G260" t="s">
        <v>872</v>
      </c>
    </row>
    <row r="261" spans="6:7">
      <c r="F261" t="s">
        <v>1074</v>
      </c>
      <c r="G261" t="s">
        <v>880</v>
      </c>
    </row>
    <row r="262" spans="6:7">
      <c r="F262" t="s">
        <v>1074</v>
      </c>
      <c r="G262" t="s">
        <v>880</v>
      </c>
    </row>
    <row r="263" spans="6:7">
      <c r="F263" t="s">
        <v>1074</v>
      </c>
      <c r="G263" t="s">
        <v>880</v>
      </c>
    </row>
    <row r="264" spans="6:7">
      <c r="F264" t="s">
        <v>1080</v>
      </c>
      <c r="G264" t="s">
        <v>872</v>
      </c>
    </row>
    <row r="265" spans="6:7">
      <c r="F265" t="s">
        <v>1080</v>
      </c>
      <c r="G265" t="s">
        <v>872</v>
      </c>
    </row>
    <row r="266" spans="6:7">
      <c r="F266" t="s">
        <v>1080</v>
      </c>
      <c r="G266" t="s">
        <v>872</v>
      </c>
    </row>
    <row r="267" spans="6:7">
      <c r="F267" t="s">
        <v>1080</v>
      </c>
      <c r="G267" t="s">
        <v>872</v>
      </c>
    </row>
    <row r="268" spans="6:7">
      <c r="F268" t="s">
        <v>1080</v>
      </c>
      <c r="G268" t="s">
        <v>872</v>
      </c>
    </row>
    <row r="269" spans="6:7">
      <c r="F269" t="s">
        <v>1080</v>
      </c>
      <c r="G269" t="s">
        <v>872</v>
      </c>
    </row>
    <row r="270" spans="6:7">
      <c r="F270" t="s">
        <v>1080</v>
      </c>
      <c r="G270" t="s">
        <v>872</v>
      </c>
    </row>
    <row r="271" spans="6:7">
      <c r="F271" t="s">
        <v>1080</v>
      </c>
      <c r="G271" t="s">
        <v>872</v>
      </c>
    </row>
    <row r="272" spans="6:7">
      <c r="F272" t="s">
        <v>1080</v>
      </c>
      <c r="G272" t="s">
        <v>872</v>
      </c>
    </row>
    <row r="273" spans="6:7">
      <c r="F273" t="s">
        <v>1081</v>
      </c>
      <c r="G273" t="s">
        <v>872</v>
      </c>
    </row>
    <row r="274" spans="6:7">
      <c r="F274" t="s">
        <v>1081</v>
      </c>
      <c r="G274" t="s">
        <v>872</v>
      </c>
    </row>
    <row r="275" spans="6:7">
      <c r="F275" t="s">
        <v>1081</v>
      </c>
      <c r="G275" t="s">
        <v>872</v>
      </c>
    </row>
    <row r="276" spans="6:7">
      <c r="F276" t="s">
        <v>1081</v>
      </c>
      <c r="G276" t="s">
        <v>872</v>
      </c>
    </row>
    <row r="277" spans="6:7">
      <c r="F277" t="s">
        <v>1081</v>
      </c>
      <c r="G277" t="s">
        <v>872</v>
      </c>
    </row>
    <row r="278" spans="6:7">
      <c r="F278" t="s">
        <v>1081</v>
      </c>
      <c r="G278" t="s">
        <v>872</v>
      </c>
    </row>
    <row r="279" spans="6:7">
      <c r="F279" t="s">
        <v>1081</v>
      </c>
      <c r="G279" t="s">
        <v>872</v>
      </c>
    </row>
    <row r="280" spans="6:7">
      <c r="F280" t="s">
        <v>1081</v>
      </c>
      <c r="G280" t="s">
        <v>872</v>
      </c>
    </row>
    <row r="281" spans="6:7">
      <c r="F281" t="s">
        <v>1081</v>
      </c>
      <c r="G281" t="s">
        <v>872</v>
      </c>
    </row>
    <row r="282" spans="6:7">
      <c r="F282" t="s">
        <v>1081</v>
      </c>
      <c r="G282" t="s">
        <v>872</v>
      </c>
    </row>
    <row r="283" spans="6:7">
      <c r="F283" t="s">
        <v>1081</v>
      </c>
      <c r="G283" t="s">
        <v>872</v>
      </c>
    </row>
    <row r="284" spans="6:7">
      <c r="F284" t="s">
        <v>1081</v>
      </c>
      <c r="G284" t="s">
        <v>872</v>
      </c>
    </row>
    <row r="285" spans="6:7">
      <c r="F285" t="s">
        <v>1081</v>
      </c>
      <c r="G285" t="s">
        <v>872</v>
      </c>
    </row>
    <row r="286" spans="6:7">
      <c r="F286" t="s">
        <v>1081</v>
      </c>
      <c r="G286" t="s">
        <v>872</v>
      </c>
    </row>
    <row r="287" spans="6:7">
      <c r="F287" t="s">
        <v>1081</v>
      </c>
      <c r="G287" t="s">
        <v>872</v>
      </c>
    </row>
    <row r="288" spans="6:7">
      <c r="F288" t="s">
        <v>1081</v>
      </c>
      <c r="G288" t="s">
        <v>872</v>
      </c>
    </row>
    <row r="289" spans="6:7">
      <c r="F289" t="s">
        <v>1081</v>
      </c>
      <c r="G289" t="s">
        <v>872</v>
      </c>
    </row>
    <row r="290" spans="6:7">
      <c r="F290" t="s">
        <v>1081</v>
      </c>
      <c r="G290" t="s">
        <v>872</v>
      </c>
    </row>
    <row r="291" spans="6:7">
      <c r="F291" t="s">
        <v>1081</v>
      </c>
      <c r="G291" t="s">
        <v>872</v>
      </c>
    </row>
    <row r="292" spans="6:7">
      <c r="F292" t="s">
        <v>1081</v>
      </c>
      <c r="G292" t="s">
        <v>880</v>
      </c>
    </row>
    <row r="293" spans="6:7">
      <c r="F293" t="s">
        <v>1081</v>
      </c>
      <c r="G293" t="s">
        <v>880</v>
      </c>
    </row>
    <row r="294" spans="6:7">
      <c r="F294" t="s">
        <v>1081</v>
      </c>
      <c r="G294" t="s">
        <v>880</v>
      </c>
    </row>
  </sheetData>
  <mergeCells count="4">
    <mergeCell ref="B30:D30"/>
    <mergeCell ref="F30:G30"/>
    <mergeCell ref="B21:B22"/>
    <mergeCell ref="B24:B25"/>
  </mergeCells>
  <phoneticPr fontId="3" type="noConversion"/>
  <dataValidations count="1">
    <dataValidation type="list" allowBlank="1" showInputMessage="1" showErrorMessage="1" promptTitle="Mes a declarar" prompt="Seleccione el mes que desea declarar su F-29" sqref="C14" xr:uid="{C99A1C3A-1FA2-4FD5-BE00-E8E92D4E72B8}">
      <formula1>$XFD$1:$XFD$28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ctualizarArmado_Optimizada">
                <anchor moveWithCells="1" sizeWithCells="1">
                  <from>
                    <xdr:col>3</xdr:col>
                    <xdr:colOff>259080</xdr:colOff>
                    <xdr:row>15</xdr:row>
                    <xdr:rowOff>38100</xdr:rowOff>
                  </from>
                  <to>
                    <xdr:col>3</xdr:col>
                    <xdr:colOff>1242060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Extraccion_NC_Optimizada">
                <anchor moveWithCells="1" sizeWithCells="1">
                  <from>
                    <xdr:col>3</xdr:col>
                    <xdr:colOff>251460</xdr:colOff>
                    <xdr:row>17</xdr:row>
                    <xdr:rowOff>91440</xdr:rowOff>
                  </from>
                  <to>
                    <xdr:col>3</xdr:col>
                    <xdr:colOff>1280160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Consolidar_Libro_Ventas_Optimizada">
                <anchor moveWithCells="1" sizeWithCells="1">
                  <from>
                    <xdr:col>3</xdr:col>
                    <xdr:colOff>251460</xdr:colOff>
                    <xdr:row>10</xdr:row>
                    <xdr:rowOff>15240</xdr:rowOff>
                  </from>
                  <to>
                    <xdr:col>3</xdr:col>
                    <xdr:colOff>1234440</xdr:colOff>
                    <xdr:row>10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Consolidar_Libro_Compras_Optimizada">
                <anchor moveWithCells="1" sizeWithCells="1">
                  <from>
                    <xdr:col>3</xdr:col>
                    <xdr:colOff>220980</xdr:colOff>
                    <xdr:row>9</xdr:row>
                    <xdr:rowOff>53340</xdr:rowOff>
                  </from>
                  <to>
                    <xdr:col>3</xdr:col>
                    <xdr:colOff>1181100</xdr:colOff>
                    <xdr:row>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7" name="Button 15">
              <controlPr defaultSize="0" print="0" autoFill="0" autoPict="0" macro="[0]!ExportarRCV_Optimizada">
                <anchor moveWithCells="1" sizeWithCells="1">
                  <from>
                    <xdr:col>3</xdr:col>
                    <xdr:colOff>205740</xdr:colOff>
                    <xdr:row>12</xdr:row>
                    <xdr:rowOff>7620</xdr:rowOff>
                  </from>
                  <to>
                    <xdr:col>3</xdr:col>
                    <xdr:colOff>1280160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8" name="Button 27">
              <controlPr defaultSize="0" print="0" autoFill="0" autoPict="0" macro="[0]!ProcesarNotasDeCredito">
                <anchor moveWithCells="1" sizeWithCells="1">
                  <from>
                    <xdr:col>3</xdr:col>
                    <xdr:colOff>266700</xdr:colOff>
                    <xdr:row>19</xdr:row>
                    <xdr:rowOff>137160</xdr:rowOff>
                  </from>
                  <to>
                    <xdr:col>3</xdr:col>
                    <xdr:colOff>1280160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9" name="Button 28">
              <controlPr defaultSize="0" print="0" autoFill="0" autoPict="0" macro="[0]!NC_LC">
                <anchor moveWithCells="1" sizeWithCells="1">
                  <from>
                    <xdr:col>3</xdr:col>
                    <xdr:colOff>289560</xdr:colOff>
                    <xdr:row>22</xdr:row>
                    <xdr:rowOff>121920</xdr:rowOff>
                  </from>
                  <to>
                    <xdr:col>3</xdr:col>
                    <xdr:colOff>1211580</xdr:colOff>
                    <xdr:row>25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E65ABD-9D21-4141-AF8A-E3044F17D742}">
          <x14:formula1>
            <xm:f>LC!$D$2:$D$100000</xm:f>
          </x14:formula1>
          <xm:sqref>A30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85B73-AE2D-4998-81C1-B35276FD4499}">
  <sheetPr codeName="Hoja12"/>
  <dimension ref="B1:G14"/>
  <sheetViews>
    <sheetView workbookViewId="0">
      <selection activeCell="G18" sqref="G18"/>
    </sheetView>
  </sheetViews>
  <sheetFormatPr baseColWidth="10" defaultColWidth="11.44140625" defaultRowHeight="14.4"/>
  <cols>
    <col min="3" max="3" width="19.109375" style="21" bestFit="1" customWidth="1"/>
    <col min="7" max="7" width="19.109375" style="21" bestFit="1" customWidth="1"/>
  </cols>
  <sheetData>
    <row r="1" spans="2:7">
      <c r="B1" s="162" t="s">
        <v>1083</v>
      </c>
      <c r="C1" s="164"/>
      <c r="F1" s="162" t="s">
        <v>1084</v>
      </c>
      <c r="G1" s="164"/>
    </row>
    <row r="2" spans="2:7" ht="15" thickBot="1">
      <c r="B2" s="6" t="s">
        <v>1085</v>
      </c>
      <c r="C2" s="22" t="s">
        <v>1086</v>
      </c>
      <c r="F2" s="6" t="s">
        <v>1085</v>
      </c>
      <c r="G2" s="22" t="s">
        <v>1086</v>
      </c>
    </row>
    <row r="3" spans="2:7">
      <c r="B3">
        <v>585</v>
      </c>
      <c r="C3" s="142" t="s">
        <v>1087</v>
      </c>
      <c r="F3">
        <v>511</v>
      </c>
      <c r="G3" s="142" t="s">
        <v>1087</v>
      </c>
    </row>
    <row r="4" spans="2:7">
      <c r="B4">
        <v>20</v>
      </c>
      <c r="C4" s="142" t="s">
        <v>1087</v>
      </c>
      <c r="F4">
        <v>564</v>
      </c>
      <c r="G4" s="142">
        <f>ABS(Armado!$L$4)</f>
        <v>1</v>
      </c>
    </row>
    <row r="5" spans="2:7">
      <c r="B5">
        <v>586</v>
      </c>
      <c r="C5" s="142" t="s">
        <v>1087</v>
      </c>
      <c r="F5">
        <v>514</v>
      </c>
      <c r="G5" s="142">
        <f>ABS(Armado!$P$4)</f>
        <v>0</v>
      </c>
    </row>
    <row r="6" spans="2:7">
      <c r="B6">
        <v>142</v>
      </c>
      <c r="C6" s="142" t="s">
        <v>1087</v>
      </c>
      <c r="F6">
        <v>584</v>
      </c>
      <c r="G6" s="142" t="s">
        <v>1087</v>
      </c>
    </row>
    <row r="7" spans="2:7">
      <c r="B7">
        <v>503</v>
      </c>
      <c r="C7" s="142">
        <f>ABS(Armado!$C$3)</f>
        <v>296</v>
      </c>
      <c r="F7">
        <v>521</v>
      </c>
      <c r="G7" s="142">
        <f>ABS(Armado!$N$4)</f>
        <v>0</v>
      </c>
    </row>
    <row r="8" spans="2:7">
      <c r="B8">
        <v>502</v>
      </c>
      <c r="C8" s="142">
        <f>ABS(Armado!$F$3)</f>
        <v>286157787</v>
      </c>
      <c r="F8">
        <v>519</v>
      </c>
      <c r="G8" s="142" t="s">
        <v>1087</v>
      </c>
    </row>
    <row r="9" spans="2:7">
      <c r="B9">
        <v>509</v>
      </c>
      <c r="C9" s="142">
        <f>ABS(Armado!$C$4)</f>
        <v>1</v>
      </c>
      <c r="F9">
        <v>562</v>
      </c>
      <c r="G9" s="142">
        <f>ABS(Armado!$M$8)</f>
        <v>0</v>
      </c>
    </row>
    <row r="10" spans="2:7">
      <c r="B10">
        <v>510</v>
      </c>
      <c r="C10" s="142">
        <f>ABS(Armado!$F$4)</f>
        <v>0</v>
      </c>
      <c r="F10">
        <v>527</v>
      </c>
      <c r="G10" s="142" t="s">
        <v>1087</v>
      </c>
    </row>
    <row r="11" spans="2:7">
      <c r="B11">
        <v>538</v>
      </c>
      <c r="C11" s="142">
        <f>ABS(Armado!$F$6)</f>
        <v>0</v>
      </c>
      <c r="F11">
        <v>520</v>
      </c>
      <c r="G11" s="142">
        <f>ABS(Armado!$O$3)</f>
        <v>9455033</v>
      </c>
    </row>
    <row r="12" spans="2:7">
      <c r="C12" s="142"/>
      <c r="F12">
        <v>528</v>
      </c>
      <c r="G12" s="142" t="s">
        <v>1087</v>
      </c>
    </row>
    <row r="13" spans="2:7">
      <c r="C13" s="142"/>
      <c r="F13">
        <v>537</v>
      </c>
      <c r="G13" s="142">
        <f>ABS(Armado!$O$8)</f>
        <v>0</v>
      </c>
    </row>
    <row r="14" spans="2:7">
      <c r="C14" s="142"/>
      <c r="G14" s="142"/>
    </row>
  </sheetData>
  <mergeCells count="2">
    <mergeCell ref="B1:C1"/>
    <mergeCell ref="F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pletarDatosF29">
                <anchor moveWithCells="1" sizeWithCells="1">
                  <from>
                    <xdr:col>9</xdr:col>
                    <xdr:colOff>441960</xdr:colOff>
                    <xdr:row>1</xdr:row>
                    <xdr:rowOff>60960</xdr:rowOff>
                  </from>
                  <to>
                    <xdr:col>11</xdr:col>
                    <xdr:colOff>510540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ED07-4CBD-4225-A5CD-04630FAC0AD5}">
  <sheetPr codeName="Hoja4"/>
  <dimension ref="A1:R32"/>
  <sheetViews>
    <sheetView zoomScale="65" zoomScaleNormal="55" workbookViewId="0">
      <selection activeCell="E6" sqref="E6"/>
    </sheetView>
  </sheetViews>
  <sheetFormatPr baseColWidth="10" defaultColWidth="11.44140625" defaultRowHeight="14.4"/>
  <cols>
    <col min="2" max="2" width="35.44140625" bestFit="1" customWidth="1"/>
    <col min="3" max="3" width="16" bestFit="1" customWidth="1"/>
    <col min="4" max="4" width="16" customWidth="1"/>
    <col min="5" max="5" width="16" style="21" customWidth="1"/>
    <col min="8" max="8" width="33.109375" bestFit="1" customWidth="1"/>
    <col min="9" max="9" width="20.88671875" bestFit="1" customWidth="1"/>
    <col min="10" max="10" width="16.44140625" bestFit="1" customWidth="1"/>
    <col min="11" max="11" width="12.109375" style="21" bestFit="1" customWidth="1"/>
    <col min="14" max="14" width="37.88671875" bestFit="1" customWidth="1"/>
    <col min="15" max="15" width="20.88671875" bestFit="1" customWidth="1"/>
    <col min="16" max="16" width="17.109375" bestFit="1" customWidth="1"/>
    <col min="17" max="17" width="14.44140625" style="21" customWidth="1"/>
  </cols>
  <sheetData>
    <row r="1" spans="1:18">
      <c r="A1" s="160" t="s">
        <v>1088</v>
      </c>
      <c r="B1" s="165"/>
      <c r="C1" s="165"/>
      <c r="D1" s="165"/>
      <c r="E1" s="161"/>
      <c r="G1" s="176" t="s">
        <v>1089</v>
      </c>
      <c r="H1" s="173"/>
      <c r="I1" s="173"/>
      <c r="J1" s="173"/>
      <c r="K1" s="173"/>
      <c r="M1" s="176" t="s">
        <v>1090</v>
      </c>
      <c r="N1" s="173"/>
      <c r="O1" s="173"/>
      <c r="P1" s="173"/>
      <c r="Q1" s="173"/>
    </row>
    <row r="2" spans="1:18" ht="15" thickBot="1">
      <c r="A2" s="6" t="s">
        <v>1085</v>
      </c>
      <c r="B2" s="7" t="s">
        <v>1091</v>
      </c>
      <c r="C2" s="7" t="s">
        <v>1092</v>
      </c>
      <c r="D2" s="7" t="s">
        <v>1093</v>
      </c>
      <c r="E2" s="22" t="s">
        <v>1094</v>
      </c>
      <c r="G2" s="6" t="s">
        <v>1085</v>
      </c>
      <c r="H2" s="7" t="s">
        <v>1091</v>
      </c>
      <c r="I2" s="7" t="s">
        <v>1095</v>
      </c>
      <c r="J2" s="7" t="s">
        <v>1096</v>
      </c>
      <c r="K2" s="22" t="s">
        <v>1094</v>
      </c>
      <c r="M2" s="6" t="s">
        <v>1085</v>
      </c>
      <c r="N2" s="7" t="s">
        <v>1091</v>
      </c>
      <c r="O2" s="175" t="s">
        <v>1097</v>
      </c>
      <c r="P2" s="175"/>
      <c r="Q2" s="22" t="s">
        <v>1094</v>
      </c>
    </row>
    <row r="3" spans="1:18">
      <c r="A3">
        <v>585</v>
      </c>
      <c r="B3" t="s">
        <v>1098</v>
      </c>
      <c r="C3" t="s">
        <v>1045</v>
      </c>
      <c r="D3" t="s">
        <v>1050</v>
      </c>
      <c r="E3" s="142">
        <f>+'Analisis F-29'!B35</f>
        <v>5</v>
      </c>
      <c r="G3">
        <v>511</v>
      </c>
      <c r="H3" t="s">
        <v>1099</v>
      </c>
      <c r="I3" t="s">
        <v>1100</v>
      </c>
      <c r="J3" t="s">
        <v>1101</v>
      </c>
      <c r="K3" s="122">
        <f>'Analisis F-29'!E41+'Analisis F-29'!E44</f>
        <v>20543393</v>
      </c>
      <c r="M3">
        <v>48</v>
      </c>
      <c r="N3" t="s">
        <v>1102</v>
      </c>
    </row>
    <row r="4" spans="1:18">
      <c r="A4">
        <v>20</v>
      </c>
      <c r="B4" t="s">
        <v>1103</v>
      </c>
      <c r="C4" t="s">
        <v>1045</v>
      </c>
      <c r="D4" t="s">
        <v>920</v>
      </c>
      <c r="E4" s="142">
        <f>+'Analisis F-29'!C35</f>
        <v>673716601</v>
      </c>
      <c r="G4">
        <v>564</v>
      </c>
      <c r="H4" t="s">
        <v>1104</v>
      </c>
      <c r="I4" t="s">
        <v>879</v>
      </c>
      <c r="J4" t="s">
        <v>1050</v>
      </c>
      <c r="K4" s="142">
        <f>+'Analisis F-29'!B42</f>
        <v>2</v>
      </c>
      <c r="M4">
        <v>49</v>
      </c>
      <c r="N4" t="s">
        <v>1105</v>
      </c>
    </row>
    <row r="5" spans="1:18">
      <c r="A5">
        <v>586</v>
      </c>
      <c r="B5" t="s">
        <v>1106</v>
      </c>
      <c r="C5" t="s">
        <v>880</v>
      </c>
      <c r="D5" t="s">
        <v>1050</v>
      </c>
      <c r="E5" s="142">
        <f>+'Analisis F-29'!B33</f>
        <v>1</v>
      </c>
      <c r="G5">
        <v>514</v>
      </c>
      <c r="H5" t="s">
        <v>1107</v>
      </c>
      <c r="I5" t="s">
        <v>879</v>
      </c>
      <c r="J5" t="s">
        <v>1108</v>
      </c>
      <c r="K5" s="142">
        <f>+'Analisis F-29'!F42</f>
        <v>441886</v>
      </c>
      <c r="M5">
        <v>151</v>
      </c>
      <c r="N5" t="s">
        <v>1109</v>
      </c>
    </row>
    <row r="6" spans="1:18">
      <c r="A6" s="5">
        <v>142</v>
      </c>
      <c r="B6" s="5" t="s">
        <v>1110</v>
      </c>
      <c r="C6" s="3" t="s">
        <v>880</v>
      </c>
      <c r="D6" s="5" t="s">
        <v>920</v>
      </c>
      <c r="E6" s="143">
        <f>+'Analisis F-29'!C33</f>
        <v>3055903</v>
      </c>
      <c r="G6">
        <v>584</v>
      </c>
      <c r="H6" t="s">
        <v>1111</v>
      </c>
      <c r="I6" t="s">
        <v>1112</v>
      </c>
      <c r="J6" t="s">
        <v>1112</v>
      </c>
      <c r="K6" s="142" t="s">
        <v>1113</v>
      </c>
      <c r="M6">
        <v>155</v>
      </c>
      <c r="N6" t="s">
        <v>1114</v>
      </c>
    </row>
    <row r="7" spans="1:18">
      <c r="A7">
        <v>503</v>
      </c>
      <c r="B7" t="s">
        <v>1115</v>
      </c>
      <c r="C7" s="3" t="s">
        <v>872</v>
      </c>
      <c r="D7" t="s">
        <v>1050</v>
      </c>
      <c r="E7" s="142">
        <f>+'Analisis F-29'!B32</f>
        <v>261</v>
      </c>
      <c r="G7" s="5">
        <v>521</v>
      </c>
      <c r="H7" s="5" t="s">
        <v>1116</v>
      </c>
      <c r="I7" s="5" t="s">
        <v>879</v>
      </c>
      <c r="J7" s="5" t="s">
        <v>921</v>
      </c>
      <c r="K7" s="143">
        <f>+'Analisis F-29'!D42</f>
        <v>2325716</v>
      </c>
      <c r="M7" s="177">
        <v>89</v>
      </c>
      <c r="N7" s="178" t="s">
        <v>1117</v>
      </c>
      <c r="O7" t="s">
        <v>1052</v>
      </c>
      <c r="P7" t="s">
        <v>922</v>
      </c>
      <c r="Q7" s="21">
        <f>+'Analisis F-29'!E37</f>
        <v>270787994</v>
      </c>
      <c r="R7" t="s">
        <v>1083</v>
      </c>
    </row>
    <row r="8" spans="1:18">
      <c r="A8">
        <v>502</v>
      </c>
      <c r="B8" t="s">
        <v>1118</v>
      </c>
      <c r="C8" s="3" t="s">
        <v>872</v>
      </c>
      <c r="D8" t="s">
        <v>922</v>
      </c>
      <c r="E8" s="142">
        <f>+'Analisis F-29'!E32</f>
        <v>288154107</v>
      </c>
      <c r="G8">
        <v>519</v>
      </c>
      <c r="H8" t="s">
        <v>1119</v>
      </c>
      <c r="I8" t="s">
        <v>1100</v>
      </c>
      <c r="J8" t="s">
        <v>1050</v>
      </c>
      <c r="K8" s="142">
        <f>+'Analisis F-29'!B41</f>
        <v>81</v>
      </c>
      <c r="M8" s="177"/>
      <c r="N8" s="178"/>
      <c r="O8" t="s">
        <v>1052</v>
      </c>
      <c r="P8" t="s">
        <v>1101</v>
      </c>
      <c r="Q8" s="21">
        <f>+'Analisis F-29'!E46</f>
        <v>20543393</v>
      </c>
      <c r="R8" t="s">
        <v>1084</v>
      </c>
    </row>
    <row r="9" spans="1:18">
      <c r="A9">
        <v>509</v>
      </c>
      <c r="B9" t="s">
        <v>1120</v>
      </c>
      <c r="C9" s="3" t="s">
        <v>881</v>
      </c>
      <c r="D9" t="s">
        <v>1050</v>
      </c>
      <c r="E9" s="142">
        <f>+'Analisis F-29'!B34</f>
        <v>5</v>
      </c>
      <c r="G9">
        <v>562</v>
      </c>
      <c r="H9" t="s">
        <v>1121</v>
      </c>
      <c r="I9" t="s">
        <v>1052</v>
      </c>
      <c r="J9" t="s">
        <v>920</v>
      </c>
      <c r="K9" s="142">
        <f>+'Analisis F-29'!C46</f>
        <v>16476459</v>
      </c>
      <c r="M9" s="177"/>
      <c r="N9" s="178"/>
      <c r="O9" t="s">
        <v>1122</v>
      </c>
      <c r="P9" t="s">
        <v>1123</v>
      </c>
      <c r="Q9" s="21">
        <f>+'Analisis F-29'!H38</f>
        <v>250244601</v>
      </c>
    </row>
    <row r="10" spans="1:18">
      <c r="A10">
        <v>510</v>
      </c>
      <c r="B10" t="s">
        <v>1124</v>
      </c>
      <c r="C10" s="3" t="s">
        <v>881</v>
      </c>
      <c r="D10" t="s">
        <v>922</v>
      </c>
      <c r="E10" s="142">
        <f>-'Analisis F-29'!E34</f>
        <v>17366113</v>
      </c>
      <c r="G10">
        <v>527</v>
      </c>
      <c r="H10" t="s">
        <v>1125</v>
      </c>
      <c r="I10" t="s">
        <v>1112</v>
      </c>
      <c r="J10" t="s">
        <v>1112</v>
      </c>
      <c r="K10" s="142" t="s">
        <v>1113</v>
      </c>
      <c r="M10">
        <v>595</v>
      </c>
      <c r="N10" t="s">
        <v>1126</v>
      </c>
      <c r="O10" t="s">
        <v>1127</v>
      </c>
      <c r="P10" t="s">
        <v>1128</v>
      </c>
      <c r="Q10" s="21">
        <f>+'Analisis F-29'!G20</f>
        <v>266307423</v>
      </c>
    </row>
    <row r="11" spans="1:18">
      <c r="A11">
        <v>538</v>
      </c>
      <c r="B11" t="s">
        <v>1129</v>
      </c>
      <c r="C11" t="s">
        <v>1052</v>
      </c>
      <c r="D11" t="s">
        <v>922</v>
      </c>
      <c r="E11" s="142">
        <f>+'Analisis F-29'!E37</f>
        <v>270787994</v>
      </c>
      <c r="G11">
        <v>520</v>
      </c>
      <c r="H11" t="s">
        <v>1130</v>
      </c>
      <c r="I11" t="s">
        <v>872</v>
      </c>
      <c r="J11" t="s">
        <v>1101</v>
      </c>
      <c r="K11" s="142">
        <f>+'Analisis F-29'!E41</f>
        <v>22068823</v>
      </c>
      <c r="M11">
        <v>547</v>
      </c>
      <c r="N11" t="s">
        <v>1131</v>
      </c>
      <c r="O11" t="s">
        <v>1127</v>
      </c>
      <c r="P11" t="s">
        <v>1132</v>
      </c>
      <c r="Q11" s="21">
        <f>+'Analisis F-29'!G20</f>
        <v>266307423</v>
      </c>
    </row>
    <row r="12" spans="1:18">
      <c r="E12" s="142"/>
      <c r="G12">
        <v>528</v>
      </c>
      <c r="H12" t="s">
        <v>1133</v>
      </c>
      <c r="I12" t="s">
        <v>881</v>
      </c>
      <c r="J12" t="s">
        <v>1101</v>
      </c>
      <c r="K12" s="21">
        <f>-'Analisis F-29'!E44</f>
        <v>1525430</v>
      </c>
      <c r="M12">
        <v>110</v>
      </c>
      <c r="N12" t="s">
        <v>1134</v>
      </c>
      <c r="O12" t="s">
        <v>1135</v>
      </c>
    </row>
    <row r="13" spans="1:18">
      <c r="E13" s="142"/>
      <c r="G13">
        <v>537</v>
      </c>
      <c r="H13" t="s">
        <v>1136</v>
      </c>
      <c r="I13" t="s">
        <v>1052</v>
      </c>
      <c r="J13" t="s">
        <v>1101</v>
      </c>
      <c r="K13" s="122">
        <f>+'Analisis F-29'!E46</f>
        <v>20543393</v>
      </c>
      <c r="M13">
        <v>111</v>
      </c>
      <c r="N13" t="s">
        <v>1137</v>
      </c>
      <c r="O13" t="s">
        <v>1135</v>
      </c>
    </row>
    <row r="14" spans="1:18">
      <c r="E14" s="142"/>
      <c r="M14">
        <v>708</v>
      </c>
      <c r="N14" t="s">
        <v>1138</v>
      </c>
      <c r="O14" t="s">
        <v>1139</v>
      </c>
    </row>
    <row r="15" spans="1:18">
      <c r="M15">
        <v>709</v>
      </c>
      <c r="N15" t="s">
        <v>1140</v>
      </c>
      <c r="O15" t="s">
        <v>1139</v>
      </c>
    </row>
    <row r="19" spans="2:17" s="144" customFormat="1">
      <c r="E19" s="145"/>
      <c r="K19" s="145"/>
      <c r="Q19" s="145"/>
    </row>
    <row r="20" spans="2:17" ht="15" thickBot="1"/>
    <row r="21" spans="2:17" ht="15" thickBot="1">
      <c r="B21" s="160" t="s">
        <v>1047</v>
      </c>
      <c r="C21" s="165"/>
      <c r="D21" s="165"/>
      <c r="E21" s="165"/>
      <c r="F21" s="165"/>
      <c r="G21" s="165"/>
      <c r="H21" s="161"/>
      <c r="K21" s="169" t="s">
        <v>1048</v>
      </c>
      <c r="L21" s="170"/>
      <c r="M21" s="170"/>
      <c r="N21" s="170"/>
      <c r="O21" s="170"/>
      <c r="P21" s="170"/>
      <c r="Q21" s="171"/>
    </row>
    <row r="22" spans="2:17" ht="15" thickBot="1">
      <c r="B22" s="6" t="s">
        <v>1049</v>
      </c>
      <c r="C22" s="7" t="s">
        <v>1050</v>
      </c>
      <c r="D22" s="7" t="s">
        <v>920</v>
      </c>
      <c r="E22" s="7" t="s">
        <v>921</v>
      </c>
      <c r="F22" s="7" t="s">
        <v>922</v>
      </c>
      <c r="G22" s="7" t="s">
        <v>1051</v>
      </c>
      <c r="H22" s="8" t="s">
        <v>923</v>
      </c>
      <c r="K22" s="27" t="s">
        <v>1049</v>
      </c>
      <c r="L22" s="28" t="s">
        <v>1050</v>
      </c>
      <c r="M22" s="28" t="s">
        <v>920</v>
      </c>
      <c r="N22" s="28" t="s">
        <v>921</v>
      </c>
      <c r="O22" s="28" t="s">
        <v>1101</v>
      </c>
      <c r="P22" s="28" t="s">
        <v>1108</v>
      </c>
      <c r="Q22" s="29" t="s">
        <v>923</v>
      </c>
    </row>
    <row r="23" spans="2:17">
      <c r="B23" s="3" t="s">
        <v>872</v>
      </c>
      <c r="C23" s="3">
        <f>COUNTIF(LV!$AR$2:$AR$1364,B23)</f>
        <v>296</v>
      </c>
      <c r="D23" s="3">
        <f>SUMIF(LV!$AR$2:$AR$1364,B23,LV!$K$2:$K$1364)</f>
        <v>1</v>
      </c>
      <c r="E23" s="3">
        <f>SUMIF(LV!$AR$2:$AR$1364,B23,LV!$L$2:$L$1364)</f>
        <v>1506093627</v>
      </c>
      <c r="F23" s="3">
        <f>SUMIF(LV!$AR$2:$AR$1364,B23,LV!$M$2:$M$1364)</f>
        <v>286157787</v>
      </c>
      <c r="G23" s="3"/>
      <c r="H23" s="3">
        <f>SUMIF(LV!$AR$2:$AR$1364,B23,LV!$N$2:$N$1364)</f>
        <v>1792251415</v>
      </c>
      <c r="K23" s="3" t="s">
        <v>872</v>
      </c>
      <c r="L23" s="3">
        <f>COUNTIF(LC!$AB$2:$AB$172,K23)</f>
        <v>18</v>
      </c>
      <c r="M23" s="3">
        <f>SUMIF(LC!$AB$2:$AB$172,K23,LC!$J$2:$J$172)</f>
        <v>0</v>
      </c>
      <c r="N23" s="3">
        <f>SUMIF(LC!$AB$2:$AB$172,K23,LC!$K$2:$K$172)</f>
        <v>49763335</v>
      </c>
      <c r="O23" s="3">
        <f>SUMIF(LC!$AB$2:$AB$172,K23,LC!$L$2:$L$172)</f>
        <v>9455033</v>
      </c>
      <c r="P23" s="3">
        <f>SUMIF(LC!$AB$2:$AB$172,K23,LC!$M$2:$M$172)</f>
        <v>0</v>
      </c>
      <c r="Q23" s="3">
        <f>SUMIF(LC!$AB$2:$AB$172,K23,LC!$O$2:$O$172)</f>
        <v>59218369</v>
      </c>
    </row>
    <row r="24" spans="2:17">
      <c r="B24" t="s">
        <v>880</v>
      </c>
      <c r="C24" s="3">
        <f>COUNTIF(LV!$AR$2:$AR$1364,B24)</f>
        <v>1</v>
      </c>
      <c r="D24" s="3">
        <f>SUMIF(LV!$AR$2:$AR$1364,B24,LV!$K$2:$K$1364)</f>
        <v>2970562</v>
      </c>
      <c r="E24" s="3">
        <f>SUMIF(LV!$AR$2:$AR$1364,B24,LV!$L$2:$L$1364)</f>
        <v>0</v>
      </c>
      <c r="F24" s="3">
        <f>SUMIF(LV!$AR$2:$AR$1364,B24,LV!$M$2:$M$1364)</f>
        <v>0</v>
      </c>
      <c r="G24" s="3"/>
      <c r="H24" s="3">
        <f>SUMIF(LV!$AR$2:$AR$1364,B24,LV!$N$2:$N$1364)</f>
        <v>2970562</v>
      </c>
      <c r="K24" t="s">
        <v>879</v>
      </c>
      <c r="L24" s="3">
        <f>COUNTIF(LC!$AB$2:$AB$172,K24)</f>
        <v>0</v>
      </c>
      <c r="M24" s="3">
        <f>SUMIF(LC!$AB$2:$AB$172,K24,LC!$J$2:$J$172)</f>
        <v>0</v>
      </c>
      <c r="N24" s="3">
        <f>SUMIF(LC!$AB$2:$AB$172,K24,LC!$K$2:$K$172)</f>
        <v>0</v>
      </c>
      <c r="O24" s="3">
        <f>SUMIF(LC!$AB$2:$AB$172,K24,LC!$L$2:$L$172)</f>
        <v>0</v>
      </c>
      <c r="P24" s="3">
        <f>SUMIF(LC!$AB$2:$AB$172,K24,LC!$M$2:$M$172)</f>
        <v>0</v>
      </c>
      <c r="Q24" s="3">
        <f>SUMIF(LC!$AB$2:$AB$172,K24,LC!$O$2:$O$172)</f>
        <v>0</v>
      </c>
    </row>
    <row r="25" spans="2:17">
      <c r="B25" s="3" t="s">
        <v>881</v>
      </c>
      <c r="C25" s="3">
        <f>COUNTIF(LV!$AR$2:$AR$1364,B25)</f>
        <v>17</v>
      </c>
      <c r="D25" s="3"/>
      <c r="E25" s="3"/>
      <c r="F25" s="3"/>
      <c r="G25" s="3"/>
      <c r="H25" s="3"/>
      <c r="K25" s="3" t="s">
        <v>880</v>
      </c>
      <c r="L25" s="3"/>
      <c r="M25" s="3"/>
      <c r="N25" s="3"/>
      <c r="O25" s="3"/>
      <c r="P25" s="3"/>
      <c r="Q25" s="3"/>
    </row>
    <row r="26" spans="2:17">
      <c r="B26" t="s">
        <v>1141</v>
      </c>
      <c r="C26" s="3">
        <f>COUNTIF(LV!$AR$2:$AR$1364,B26)</f>
        <v>0</v>
      </c>
      <c r="D26" s="3"/>
      <c r="E26" s="3"/>
      <c r="F26" s="3"/>
      <c r="G26" s="3"/>
      <c r="H26" s="3"/>
      <c r="K26" s="3"/>
      <c r="L26" s="3"/>
      <c r="M26" s="3"/>
      <c r="N26" s="3"/>
      <c r="O26" s="3"/>
      <c r="P26" s="3"/>
      <c r="Q26" s="3"/>
    </row>
    <row r="27" spans="2:17">
      <c r="B27" s="3"/>
      <c r="C27" s="3">
        <f>COUNTIF(LV!$AR$2:$AR$1364,B27)</f>
        <v>0</v>
      </c>
      <c r="D27" s="3"/>
      <c r="E27" s="3"/>
      <c r="F27" s="3"/>
      <c r="G27" s="3"/>
      <c r="H27" s="3"/>
      <c r="K27" s="3"/>
      <c r="L27" s="3"/>
      <c r="M27" s="3"/>
      <c r="N27" s="3"/>
      <c r="O27" s="3"/>
      <c r="P27" s="3"/>
      <c r="Q27" s="3"/>
    </row>
    <row r="28" spans="2:17">
      <c r="B28" s="3"/>
      <c r="C28" s="3"/>
      <c r="D28" s="3"/>
      <c r="E28" s="3"/>
      <c r="F28" s="3"/>
      <c r="G28" s="3"/>
      <c r="H28" s="3"/>
      <c r="K28" s="3" t="s">
        <v>881</v>
      </c>
      <c r="L28" s="3">
        <f>COUNTIF(LC!$AB$2:$AB$172,K28)</f>
        <v>0</v>
      </c>
      <c r="M28" s="3">
        <f>SUMIF(LC!$AB$2:$AB$172,K28,LC!$J$2:$J$172)</f>
        <v>0</v>
      </c>
      <c r="N28" s="3">
        <f>SUMIF(LC!$AB$2:$AB$172,K28,LC!$K$2:$K$172)</f>
        <v>0</v>
      </c>
      <c r="O28" s="3">
        <f>SUMIF(LC!$AB$2:$AB$172,K28,LC!$L$2:$L$172)</f>
        <v>0</v>
      </c>
      <c r="P28" s="3">
        <f>SUMIF(LC!$AB$2:$AB$172,K28,LC!$M$2:$M$172)</f>
        <v>0</v>
      </c>
      <c r="Q28" s="3">
        <f>SUMIF(LC!$AB$2:$AB$172,K28,LC!$O$2:$O$172)</f>
        <v>0</v>
      </c>
    </row>
    <row r="29" spans="2:17">
      <c r="B29" s="3" t="s">
        <v>1052</v>
      </c>
      <c r="C29" s="3">
        <f>SUM(C23:C24)</f>
        <v>297</v>
      </c>
      <c r="D29" s="3">
        <f>SUM(D23:D24)</f>
        <v>2970563</v>
      </c>
      <c r="E29" s="3">
        <f>SUM(E23:E24)</f>
        <v>1506093627</v>
      </c>
      <c r="F29" s="3">
        <f>SUM(F23:F24)</f>
        <v>286157787</v>
      </c>
      <c r="G29" s="3"/>
      <c r="H29" s="3">
        <f>SUM(H23:H24)</f>
        <v>1795221977</v>
      </c>
      <c r="K29" s="3" t="s">
        <v>1142</v>
      </c>
      <c r="L29" s="3">
        <f>COUNTIF(LC!$AB$2:$AB$172,K29)</f>
        <v>3</v>
      </c>
      <c r="M29" s="3">
        <f>SUMIF(LC!$AB$2:$AB$172,K29,LC!$J$2:$J$172)</f>
        <v>0</v>
      </c>
      <c r="N29" s="3">
        <f>SUMIF(LC!$AB$2:$AB$172,K29,LC!$K$2:$K$172)</f>
        <v>98619763</v>
      </c>
      <c r="O29" s="3">
        <f>SUMIF(LC!$AB$2:$AB$172,K29,LC!$L$2:$L$172)</f>
        <v>18737755</v>
      </c>
      <c r="P29" s="3">
        <f>SUMIF(LC!$AB$2:$AB$172,K29,LC!$M$2:$M$172)</f>
        <v>0</v>
      </c>
      <c r="Q29" s="3">
        <f>SUMIF(LC!$AB$2:$AB$172,K29,LC!$O$2:$O$172)</f>
        <v>117357518</v>
      </c>
    </row>
    <row r="30" spans="2:17">
      <c r="B30" s="106"/>
      <c r="C30" s="106"/>
      <c r="D30" s="106"/>
      <c r="E30" s="106"/>
      <c r="F30" s="106"/>
      <c r="G30" s="106"/>
      <c r="H30" s="106"/>
      <c r="K30" s="3"/>
      <c r="L30" s="3"/>
      <c r="M30" s="3"/>
      <c r="N30" s="3"/>
      <c r="O30" s="3"/>
      <c r="P30" s="3"/>
      <c r="Q30" s="3"/>
    </row>
    <row r="31" spans="2:17">
      <c r="B31" s="106"/>
      <c r="C31" s="106"/>
      <c r="D31" s="106"/>
      <c r="E31" s="106"/>
      <c r="F31" s="106"/>
      <c r="G31" s="106"/>
      <c r="H31" s="106"/>
      <c r="K31" s="3" t="s">
        <v>1052</v>
      </c>
      <c r="L31" s="3">
        <f t="shared" ref="L31:Q31" si="0">SUM(L23:L29)</f>
        <v>21</v>
      </c>
      <c r="M31" s="3">
        <f t="shared" si="0"/>
        <v>0</v>
      </c>
      <c r="N31" s="3">
        <f t="shared" si="0"/>
        <v>148383098</v>
      </c>
      <c r="O31" s="3">
        <f t="shared" si="0"/>
        <v>28192788</v>
      </c>
      <c r="P31" s="3">
        <f t="shared" si="0"/>
        <v>0</v>
      </c>
      <c r="Q31" s="3">
        <f t="shared" si="0"/>
        <v>176575887</v>
      </c>
    </row>
    <row r="32" spans="2:17">
      <c r="B32" s="106"/>
      <c r="C32" s="106"/>
      <c r="D32" s="106"/>
      <c r="E32" s="106"/>
      <c r="F32" s="106"/>
      <c r="G32" s="106"/>
      <c r="H32" s="106"/>
      <c r="K32" s="106"/>
      <c r="L32" s="106"/>
      <c r="M32" s="106"/>
      <c r="N32" s="106"/>
      <c r="O32" s="106"/>
      <c r="P32" s="106"/>
      <c r="Q32" s="106"/>
    </row>
  </sheetData>
  <mergeCells count="8">
    <mergeCell ref="B21:H21"/>
    <mergeCell ref="K21:Q21"/>
    <mergeCell ref="O2:P2"/>
    <mergeCell ref="M1:Q1"/>
    <mergeCell ref="M7:M9"/>
    <mergeCell ref="N7:N9"/>
    <mergeCell ref="A1:E1"/>
    <mergeCell ref="G1:K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F24D3-6601-4CC6-9D73-25CFE6476308}">
  <sheetPr codeName="Hoja9"/>
  <dimension ref="A1:Y46"/>
  <sheetViews>
    <sheetView zoomScaleNormal="100" workbookViewId="0">
      <selection activeCell="C3" sqref="C3"/>
    </sheetView>
  </sheetViews>
  <sheetFormatPr baseColWidth="10" defaultColWidth="11.44140625" defaultRowHeight="14.4"/>
  <cols>
    <col min="1" max="1" width="18.88671875" style="54" bestFit="1" customWidth="1"/>
    <col min="2" max="2" width="21" style="54" customWidth="1"/>
    <col min="3" max="3" width="17" style="54" customWidth="1"/>
    <col min="4" max="4" width="13.44140625" style="54" customWidth="1"/>
    <col min="5" max="5" width="39.88671875" style="54" customWidth="1"/>
    <col min="6" max="6" width="16" style="54" customWidth="1"/>
    <col min="7" max="7" width="15.109375" customWidth="1"/>
    <col min="11" max="11" width="12.88671875" customWidth="1"/>
    <col min="12" max="12" width="13.109375" bestFit="1" customWidth="1"/>
    <col min="13" max="13" width="12.5546875" customWidth="1"/>
    <col min="15" max="15" width="12.5546875" customWidth="1"/>
  </cols>
  <sheetData>
    <row r="1" spans="1:24" ht="15" thickBot="1">
      <c r="A1" s="179" t="s">
        <v>1143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</row>
    <row r="2" spans="1:24">
      <c r="A2" s="55" t="s">
        <v>1144</v>
      </c>
      <c r="B2" s="56" t="s">
        <v>1145</v>
      </c>
      <c r="C2" s="57">
        <v>8015664126</v>
      </c>
      <c r="E2" s="114" t="s">
        <v>1146</v>
      </c>
      <c r="I2" s="74" t="s">
        <v>1144</v>
      </c>
      <c r="J2" s="75" t="s">
        <v>1145</v>
      </c>
      <c r="K2" s="76">
        <v>8038863196</v>
      </c>
      <c r="M2" s="114" t="s">
        <v>1146</v>
      </c>
      <c r="S2" s="55" t="s">
        <v>1144</v>
      </c>
      <c r="T2" s="56" t="s">
        <v>1145</v>
      </c>
      <c r="U2" s="57">
        <v>7990612766</v>
      </c>
      <c r="W2" s="114" t="s">
        <v>1146</v>
      </c>
    </row>
    <row r="3" spans="1:24" ht="26.4">
      <c r="A3" s="55" t="s">
        <v>1147</v>
      </c>
      <c r="B3" s="56" t="s">
        <v>1148</v>
      </c>
      <c r="C3" s="58" t="s">
        <v>1149</v>
      </c>
      <c r="E3" s="115" t="s">
        <v>1150</v>
      </c>
      <c r="I3" s="74" t="s">
        <v>1147</v>
      </c>
      <c r="J3" s="75" t="s">
        <v>1148</v>
      </c>
      <c r="K3" s="77" t="s">
        <v>1149</v>
      </c>
      <c r="M3" s="115" t="s">
        <v>1150</v>
      </c>
      <c r="S3" s="55" t="s">
        <v>1147</v>
      </c>
      <c r="T3" s="56" t="s">
        <v>1148</v>
      </c>
      <c r="U3" s="58" t="s">
        <v>1151</v>
      </c>
      <c r="W3" s="115" t="s">
        <v>1150</v>
      </c>
    </row>
    <row r="4" spans="1:24" ht="15" thickBot="1">
      <c r="A4" s="59" t="s">
        <v>1152</v>
      </c>
      <c r="B4" s="60" t="s">
        <v>1153</v>
      </c>
      <c r="C4" s="61">
        <v>202409</v>
      </c>
      <c r="E4" s="116" t="s">
        <v>1154</v>
      </c>
      <c r="I4" s="78" t="s">
        <v>1152</v>
      </c>
      <c r="J4" s="79" t="s">
        <v>1153</v>
      </c>
      <c r="K4" s="80">
        <v>202410</v>
      </c>
      <c r="M4" s="116" t="s">
        <v>1154</v>
      </c>
      <c r="S4" s="59" t="s">
        <v>1152</v>
      </c>
      <c r="T4" s="60" t="s">
        <v>1153</v>
      </c>
      <c r="U4" s="61">
        <v>202408</v>
      </c>
      <c r="W4" s="116" t="s">
        <v>1154</v>
      </c>
    </row>
    <row r="5" spans="1:24">
      <c r="A5" s="41" t="s">
        <v>1155</v>
      </c>
      <c r="B5" s="42" t="s">
        <v>1156</v>
      </c>
      <c r="C5" s="42" t="s">
        <v>1157</v>
      </c>
      <c r="D5" s="43" t="s">
        <v>1155</v>
      </c>
      <c r="E5" s="113" t="s">
        <v>1156</v>
      </c>
      <c r="F5" s="44" t="s">
        <v>1157</v>
      </c>
      <c r="I5" s="81" t="s">
        <v>1155</v>
      </c>
      <c r="J5" s="82" t="s">
        <v>1156</v>
      </c>
      <c r="K5" s="82" t="s">
        <v>1157</v>
      </c>
      <c r="L5" s="83" t="s">
        <v>1155</v>
      </c>
      <c r="M5" s="82" t="s">
        <v>1156</v>
      </c>
      <c r="N5" s="84" t="s">
        <v>1157</v>
      </c>
      <c r="S5" s="41" t="s">
        <v>1155</v>
      </c>
      <c r="T5" s="42" t="s">
        <v>1156</v>
      </c>
      <c r="U5" s="42" t="s">
        <v>1157</v>
      </c>
      <c r="V5" s="43" t="s">
        <v>1155</v>
      </c>
      <c r="W5" s="42" t="s">
        <v>1156</v>
      </c>
      <c r="X5" s="44" t="s">
        <v>1157</v>
      </c>
    </row>
    <row r="6" spans="1:24" ht="23.4">
      <c r="A6" s="45">
        <v>585</v>
      </c>
      <c r="B6" s="46" t="s">
        <v>1158</v>
      </c>
      <c r="C6" s="109">
        <v>5</v>
      </c>
      <c r="D6" s="47">
        <v>20</v>
      </c>
      <c r="E6" s="46" t="s">
        <v>1159</v>
      </c>
      <c r="F6" s="107">
        <v>673716601</v>
      </c>
      <c r="I6" s="85">
        <v>585</v>
      </c>
      <c r="J6" s="86" t="s">
        <v>1158</v>
      </c>
      <c r="K6" s="109">
        <v>5</v>
      </c>
      <c r="L6" s="87">
        <v>20</v>
      </c>
      <c r="M6" s="86" t="s">
        <v>1159</v>
      </c>
      <c r="N6" s="107">
        <v>875164654</v>
      </c>
      <c r="S6" s="45">
        <v>503</v>
      </c>
      <c r="T6" s="46" t="s">
        <v>1160</v>
      </c>
      <c r="U6" s="136">
        <v>1384</v>
      </c>
      <c r="V6" s="48">
        <v>502</v>
      </c>
      <c r="W6" s="46" t="s">
        <v>1161</v>
      </c>
      <c r="X6" s="137">
        <v>175303961</v>
      </c>
    </row>
    <row r="7" spans="1:24" ht="23.4">
      <c r="A7" s="45">
        <v>586</v>
      </c>
      <c r="B7" s="46" t="s">
        <v>1162</v>
      </c>
      <c r="C7" s="109">
        <v>1</v>
      </c>
      <c r="D7" s="48">
        <v>142</v>
      </c>
      <c r="E7" s="46" t="s">
        <v>1163</v>
      </c>
      <c r="F7" s="107">
        <v>3055903</v>
      </c>
      <c r="I7" s="85">
        <v>586</v>
      </c>
      <c r="J7" s="86" t="s">
        <v>1162</v>
      </c>
      <c r="K7" s="109">
        <v>1</v>
      </c>
      <c r="L7" s="88">
        <v>142</v>
      </c>
      <c r="M7" s="86" t="s">
        <v>1163</v>
      </c>
      <c r="N7" s="107">
        <v>3028882</v>
      </c>
      <c r="S7" s="45">
        <v>110</v>
      </c>
      <c r="T7" s="46" t="s">
        <v>1164</v>
      </c>
      <c r="U7" s="138">
        <v>7</v>
      </c>
      <c r="V7" s="48">
        <v>111</v>
      </c>
      <c r="W7" s="46" t="s">
        <v>1165</v>
      </c>
      <c r="X7" s="137">
        <v>663349</v>
      </c>
    </row>
    <row r="8" spans="1:24" ht="31.2">
      <c r="A8" s="45">
        <v>503</v>
      </c>
      <c r="B8" s="46" t="s">
        <v>1160</v>
      </c>
      <c r="C8" s="109">
        <v>261</v>
      </c>
      <c r="D8" s="48">
        <v>502</v>
      </c>
      <c r="E8" s="46" t="s">
        <v>1161</v>
      </c>
      <c r="F8" s="107">
        <v>288154107</v>
      </c>
      <c r="I8" s="85">
        <v>503</v>
      </c>
      <c r="J8" s="86" t="s">
        <v>1160</v>
      </c>
      <c r="K8" s="109">
        <v>278</v>
      </c>
      <c r="L8" s="88">
        <v>502</v>
      </c>
      <c r="M8" s="86" t="s">
        <v>1161</v>
      </c>
      <c r="N8" s="107">
        <v>253670375</v>
      </c>
      <c r="S8" s="45">
        <v>509</v>
      </c>
      <c r="T8" s="46" t="s">
        <v>1166</v>
      </c>
      <c r="U8" s="138">
        <v>51</v>
      </c>
      <c r="V8" s="48">
        <v>510</v>
      </c>
      <c r="W8" s="46" t="s">
        <v>1167</v>
      </c>
      <c r="X8" s="137">
        <v>4583706</v>
      </c>
    </row>
    <row r="9" spans="1:24" ht="31.2">
      <c r="A9" s="45">
        <v>509</v>
      </c>
      <c r="B9" s="46" t="s">
        <v>1166</v>
      </c>
      <c r="C9" s="109">
        <v>5</v>
      </c>
      <c r="D9" s="48">
        <v>510</v>
      </c>
      <c r="E9" s="46" t="s">
        <v>1167</v>
      </c>
      <c r="F9" s="107">
        <v>17366113</v>
      </c>
      <c r="I9" s="85">
        <v>509</v>
      </c>
      <c r="J9" s="86" t="s">
        <v>1166</v>
      </c>
      <c r="K9" s="109">
        <v>13</v>
      </c>
      <c r="L9" s="88">
        <v>510</v>
      </c>
      <c r="M9" s="86" t="s">
        <v>1167</v>
      </c>
      <c r="N9" s="107">
        <v>20433949</v>
      </c>
      <c r="S9" s="45">
        <v>708</v>
      </c>
      <c r="T9" s="46" t="s">
        <v>1168</v>
      </c>
      <c r="U9" s="138">
        <v>1</v>
      </c>
      <c r="V9" s="48">
        <v>709</v>
      </c>
      <c r="W9" s="46" t="s">
        <v>1169</v>
      </c>
      <c r="X9" s="137">
        <v>59690</v>
      </c>
    </row>
    <row r="10" spans="1:24" ht="23.4">
      <c r="A10" s="45">
        <v>511</v>
      </c>
      <c r="B10" s="46" t="s">
        <v>1170</v>
      </c>
      <c r="C10" s="110">
        <v>20543393</v>
      </c>
      <c r="D10" s="48">
        <v>538</v>
      </c>
      <c r="E10" s="46" t="s">
        <v>1171</v>
      </c>
      <c r="F10" s="107">
        <v>270787994</v>
      </c>
      <c r="I10" s="85">
        <v>511</v>
      </c>
      <c r="J10" s="86" t="s">
        <v>1170</v>
      </c>
      <c r="K10" s="110">
        <v>16751779</v>
      </c>
      <c r="L10" s="88">
        <v>538</v>
      </c>
      <c r="M10" s="86" t="s">
        <v>1171</v>
      </c>
      <c r="N10" s="107">
        <v>233236426</v>
      </c>
      <c r="S10" s="45">
        <v>511</v>
      </c>
      <c r="T10" s="46" t="s">
        <v>1170</v>
      </c>
      <c r="U10" s="136">
        <v>52515810</v>
      </c>
      <c r="V10" s="48">
        <v>538</v>
      </c>
      <c r="W10" s="46" t="s">
        <v>1171</v>
      </c>
      <c r="X10" s="137">
        <v>171323914</v>
      </c>
    </row>
    <row r="11" spans="1:24" ht="23.4">
      <c r="A11" s="45">
        <v>564</v>
      </c>
      <c r="B11" s="46" t="s">
        <v>1172</v>
      </c>
      <c r="C11" s="109">
        <v>2</v>
      </c>
      <c r="D11" s="48">
        <v>514</v>
      </c>
      <c r="E11" s="46" t="s">
        <v>1173</v>
      </c>
      <c r="F11" s="107">
        <v>441886</v>
      </c>
      <c r="I11" s="85">
        <v>564</v>
      </c>
      <c r="J11" s="86" t="s">
        <v>1172</v>
      </c>
      <c r="K11" s="109">
        <v>2</v>
      </c>
      <c r="L11" s="88">
        <v>514</v>
      </c>
      <c r="M11" s="86" t="s">
        <v>1173</v>
      </c>
      <c r="N11" s="107">
        <v>440806</v>
      </c>
      <c r="S11" s="45">
        <v>584</v>
      </c>
      <c r="T11" s="46" t="s">
        <v>1174</v>
      </c>
      <c r="U11" s="138">
        <v>31</v>
      </c>
      <c r="V11" s="48">
        <v>562</v>
      </c>
      <c r="W11" s="46" t="s">
        <v>1175</v>
      </c>
      <c r="X11" s="137">
        <v>71607057</v>
      </c>
    </row>
    <row r="12" spans="1:24" ht="23.4">
      <c r="A12" s="131">
        <v>584</v>
      </c>
      <c r="B12" s="46" t="s">
        <v>1174</v>
      </c>
      <c r="C12" s="111">
        <v>29</v>
      </c>
      <c r="D12" s="48">
        <v>521</v>
      </c>
      <c r="E12" s="46" t="s">
        <v>1176</v>
      </c>
      <c r="F12" s="107">
        <v>2325716</v>
      </c>
      <c r="I12" s="85">
        <v>584</v>
      </c>
      <c r="J12" s="86" t="s">
        <v>1174</v>
      </c>
      <c r="K12" s="111">
        <v>22</v>
      </c>
      <c r="L12" s="88">
        <v>521</v>
      </c>
      <c r="M12" s="86" t="s">
        <v>1176</v>
      </c>
      <c r="N12" s="107">
        <v>2320034</v>
      </c>
      <c r="S12" s="45">
        <v>519</v>
      </c>
      <c r="T12" s="46" t="s">
        <v>1177</v>
      </c>
      <c r="U12" s="138">
        <v>137</v>
      </c>
      <c r="V12" s="48">
        <v>520</v>
      </c>
      <c r="W12" s="46" t="s">
        <v>1178</v>
      </c>
      <c r="X12" s="137">
        <v>52765497</v>
      </c>
    </row>
    <row r="13" spans="1:24" ht="23.4">
      <c r="A13" s="45">
        <v>519</v>
      </c>
      <c r="B13" s="46" t="s">
        <v>1177</v>
      </c>
      <c r="C13" s="109">
        <v>81</v>
      </c>
      <c r="D13" s="48">
        <v>562</v>
      </c>
      <c r="E13" s="46" t="s">
        <v>1175</v>
      </c>
      <c r="F13" s="107">
        <v>16476459</v>
      </c>
      <c r="I13" s="85">
        <v>519</v>
      </c>
      <c r="J13" s="86" t="s">
        <v>1177</v>
      </c>
      <c r="K13" s="129">
        <v>103</v>
      </c>
      <c r="L13" s="88">
        <v>562</v>
      </c>
      <c r="M13" s="86" t="s">
        <v>1175</v>
      </c>
      <c r="N13" s="107">
        <v>26729434</v>
      </c>
      <c r="S13" s="45">
        <v>527</v>
      </c>
      <c r="T13" s="46" t="s">
        <v>1179</v>
      </c>
      <c r="U13" s="138">
        <v>3</v>
      </c>
      <c r="V13" s="48">
        <v>528</v>
      </c>
      <c r="W13" s="46" t="s">
        <v>1180</v>
      </c>
      <c r="X13" s="137">
        <v>249687</v>
      </c>
    </row>
    <row r="14" spans="1:24" ht="23.4">
      <c r="A14" s="130">
        <v>527</v>
      </c>
      <c r="B14" s="46" t="s">
        <v>1179</v>
      </c>
      <c r="C14" s="111">
        <v>7</v>
      </c>
      <c r="D14" s="48">
        <v>520</v>
      </c>
      <c r="E14" s="46" t="s">
        <v>1178</v>
      </c>
      <c r="F14" s="107">
        <v>22068823</v>
      </c>
      <c r="I14" s="85">
        <v>527</v>
      </c>
      <c r="J14" s="86" t="s">
        <v>1179</v>
      </c>
      <c r="K14" s="111">
        <v>3</v>
      </c>
      <c r="L14" s="88">
        <v>520</v>
      </c>
      <c r="M14" s="86" t="s">
        <v>1178</v>
      </c>
      <c r="N14" s="107">
        <v>17771006</v>
      </c>
      <c r="S14" s="45">
        <v>534</v>
      </c>
      <c r="T14" s="46" t="s">
        <v>1181</v>
      </c>
      <c r="U14" s="138">
        <v>13</v>
      </c>
      <c r="V14" s="48">
        <v>535</v>
      </c>
      <c r="W14" s="46" t="s">
        <v>1182</v>
      </c>
      <c r="X14" s="137">
        <v>57595560</v>
      </c>
    </row>
    <row r="15" spans="1:24" ht="23.4">
      <c r="A15" s="49">
        <v>48</v>
      </c>
      <c r="B15" s="46" t="s">
        <v>1183</v>
      </c>
      <c r="C15" s="112">
        <v>14859697</v>
      </c>
      <c r="D15" s="48">
        <v>528</v>
      </c>
      <c r="E15" s="46" t="s">
        <v>1180</v>
      </c>
      <c r="F15" s="107">
        <v>1525430</v>
      </c>
      <c r="I15" s="89">
        <v>48</v>
      </c>
      <c r="J15" s="86" t="s">
        <v>1183</v>
      </c>
      <c r="K15" s="112">
        <v>17131949</v>
      </c>
      <c r="L15" s="88">
        <v>528</v>
      </c>
      <c r="M15" s="86" t="s">
        <v>1180</v>
      </c>
      <c r="N15" s="107">
        <v>1019227</v>
      </c>
      <c r="S15" s="49">
        <v>77</v>
      </c>
      <c r="T15" s="46" t="s">
        <v>1184</v>
      </c>
      <c r="U15" s="136">
        <v>1943905995</v>
      </c>
      <c r="V15" s="48">
        <v>504</v>
      </c>
      <c r="W15" s="46" t="s">
        <v>1185</v>
      </c>
      <c r="X15" s="137">
        <v>2005118539</v>
      </c>
    </row>
    <row r="16" spans="1:24" ht="23.4">
      <c r="A16" s="49">
        <v>49</v>
      </c>
      <c r="B16" s="46" t="s">
        <v>1186</v>
      </c>
      <c r="C16" s="112">
        <v>130403</v>
      </c>
      <c r="D16" s="117">
        <v>544</v>
      </c>
      <c r="E16" s="118" t="s">
        <v>1187</v>
      </c>
      <c r="F16" s="119">
        <v>0</v>
      </c>
      <c r="I16" s="89">
        <v>49</v>
      </c>
      <c r="J16" s="86" t="s">
        <v>1186</v>
      </c>
      <c r="K16" s="112">
        <v>125506</v>
      </c>
      <c r="L16" s="88">
        <v>544</v>
      </c>
      <c r="M16" s="86" t="s">
        <v>1187</v>
      </c>
      <c r="N16" s="119">
        <v>0</v>
      </c>
      <c r="S16" s="49">
        <v>48</v>
      </c>
      <c r="T16" s="46" t="s">
        <v>1183</v>
      </c>
      <c r="U16" s="136">
        <v>11535232</v>
      </c>
      <c r="V16" s="48">
        <v>544</v>
      </c>
      <c r="W16" s="46" t="s">
        <v>1187</v>
      </c>
      <c r="X16" s="139">
        <v>0</v>
      </c>
    </row>
    <row r="17" spans="1:25" ht="23.4">
      <c r="A17" s="45">
        <v>151</v>
      </c>
      <c r="B17" s="46" t="s">
        <v>1188</v>
      </c>
      <c r="C17" s="112">
        <v>1072722</v>
      </c>
      <c r="D17" s="117">
        <v>779</v>
      </c>
      <c r="E17" s="118" t="s">
        <v>1189</v>
      </c>
      <c r="F17" s="119">
        <v>0</v>
      </c>
      <c r="I17" s="85">
        <v>155</v>
      </c>
      <c r="J17" s="86" t="s">
        <v>1190</v>
      </c>
      <c r="K17" s="112">
        <v>6162</v>
      </c>
      <c r="L17" s="88">
        <v>779</v>
      </c>
      <c r="M17" s="86" t="s">
        <v>1189</v>
      </c>
      <c r="N17" s="119">
        <v>0</v>
      </c>
      <c r="S17" s="49">
        <v>49</v>
      </c>
      <c r="T17" s="46" t="s">
        <v>1186</v>
      </c>
      <c r="U17" s="136">
        <v>1419926</v>
      </c>
      <c r="V17" s="48">
        <v>779</v>
      </c>
      <c r="W17" s="46" t="s">
        <v>1189</v>
      </c>
      <c r="X17" s="139">
        <v>0</v>
      </c>
    </row>
    <row r="18" spans="1:25" ht="23.4">
      <c r="A18" s="120">
        <v>30</v>
      </c>
      <c r="B18" s="118" t="s">
        <v>1191</v>
      </c>
      <c r="C18" s="121">
        <v>2431248288</v>
      </c>
      <c r="D18" s="48">
        <v>537</v>
      </c>
      <c r="E18" s="46" t="s">
        <v>1192</v>
      </c>
      <c r="F18" s="107">
        <v>20543393</v>
      </c>
      <c r="I18" s="85">
        <v>151</v>
      </c>
      <c r="J18" s="86" t="s">
        <v>1188</v>
      </c>
      <c r="K18" s="112">
        <v>1371583</v>
      </c>
      <c r="L18" s="88">
        <v>537</v>
      </c>
      <c r="M18" s="86" t="s">
        <v>1192</v>
      </c>
      <c r="N18" s="107">
        <v>16751779</v>
      </c>
      <c r="S18" s="45">
        <v>155</v>
      </c>
      <c r="T18" s="46" t="s">
        <v>1190</v>
      </c>
      <c r="U18" s="136">
        <v>12348</v>
      </c>
      <c r="V18" s="48">
        <v>537</v>
      </c>
      <c r="W18" s="46" t="s">
        <v>1192</v>
      </c>
      <c r="X18" s="137">
        <v>2115229909</v>
      </c>
    </row>
    <row r="19" spans="1:25" ht="23.4">
      <c r="A19" s="50"/>
      <c r="B19" s="50"/>
      <c r="C19" s="51"/>
      <c r="D19" s="47">
        <v>89</v>
      </c>
      <c r="E19" s="46" t="s">
        <v>1193</v>
      </c>
      <c r="F19" s="107">
        <v>250244601</v>
      </c>
      <c r="I19" s="127">
        <v>30</v>
      </c>
      <c r="J19" s="128" t="s">
        <v>1191</v>
      </c>
      <c r="K19" s="126">
        <v>2431248288</v>
      </c>
      <c r="L19" s="87">
        <v>89</v>
      </c>
      <c r="M19" s="86" t="s">
        <v>1193</v>
      </c>
      <c r="N19" s="107">
        <v>216484647</v>
      </c>
      <c r="S19" s="45">
        <v>151</v>
      </c>
      <c r="T19" s="46" t="s">
        <v>1188</v>
      </c>
      <c r="U19" s="136">
        <v>749277</v>
      </c>
      <c r="V19" s="47">
        <v>89</v>
      </c>
      <c r="W19" s="46" t="s">
        <v>1193</v>
      </c>
      <c r="X19" s="139">
        <v>0</v>
      </c>
    </row>
    <row r="20" spans="1:25" ht="23.4">
      <c r="A20" s="52"/>
      <c r="B20" s="52"/>
      <c r="C20" s="53"/>
      <c r="D20" s="48">
        <v>595</v>
      </c>
      <c r="E20" s="46" t="s">
        <v>1194</v>
      </c>
      <c r="F20" s="107">
        <v>266307423</v>
      </c>
      <c r="G20" s="124">
        <f>+F19+C15+C16+C17</f>
        <v>266307423</v>
      </c>
      <c r="I20" s="90"/>
      <c r="J20" s="90"/>
      <c r="K20" s="91"/>
      <c r="L20" s="88">
        <v>595</v>
      </c>
      <c r="M20" s="86" t="s">
        <v>1194</v>
      </c>
      <c r="N20" s="107">
        <v>235119847</v>
      </c>
      <c r="O20" s="124">
        <f>+N19+K15+K16+K17+K18</f>
        <v>235119847</v>
      </c>
      <c r="S20" s="45">
        <v>563</v>
      </c>
      <c r="T20" s="46" t="s">
        <v>1195</v>
      </c>
      <c r="U20" s="136">
        <v>901704811</v>
      </c>
      <c r="V20" s="47">
        <v>62</v>
      </c>
      <c r="W20" s="46" t="s">
        <v>1196</v>
      </c>
      <c r="X20" s="137">
        <v>9017048</v>
      </c>
    </row>
    <row r="21" spans="1:25" ht="23.4">
      <c r="A21" s="52"/>
      <c r="B21" s="52"/>
      <c r="C21" s="53"/>
      <c r="D21" s="48">
        <v>547</v>
      </c>
      <c r="E21" s="46" t="s">
        <v>1197</v>
      </c>
      <c r="F21" s="107">
        <v>266307423</v>
      </c>
      <c r="I21" s="92"/>
      <c r="J21" s="92"/>
      <c r="K21" s="93"/>
      <c r="L21" s="88">
        <v>547</v>
      </c>
      <c r="M21" s="86" t="s">
        <v>1197</v>
      </c>
      <c r="N21" s="107">
        <v>235119847</v>
      </c>
      <c r="S21" s="45">
        <v>115</v>
      </c>
      <c r="T21" s="46" t="s">
        <v>1198</v>
      </c>
      <c r="U21" s="138">
        <v>1</v>
      </c>
      <c r="V21" s="48">
        <v>595</v>
      </c>
      <c r="W21" s="46" t="s">
        <v>1194</v>
      </c>
      <c r="X21" s="137">
        <v>22733831</v>
      </c>
    </row>
    <row r="22" spans="1:25" ht="40.799999999999997" hidden="1">
      <c r="A22" s="62" t="s">
        <v>1199</v>
      </c>
      <c r="B22" s="63">
        <v>91</v>
      </c>
      <c r="C22" s="64"/>
      <c r="D22" s="65"/>
      <c r="E22" s="66">
        <v>266307423</v>
      </c>
      <c r="F22" s="67" t="s">
        <v>1200</v>
      </c>
      <c r="I22" s="94" t="s">
        <v>1199</v>
      </c>
      <c r="J22" s="95">
        <v>91</v>
      </c>
      <c r="K22" s="96"/>
      <c r="L22" s="97"/>
      <c r="M22" s="98">
        <v>235119847</v>
      </c>
      <c r="N22" s="99" t="s">
        <v>1200</v>
      </c>
      <c r="S22" s="50"/>
      <c r="T22" s="50"/>
      <c r="U22" s="51"/>
      <c r="V22" s="48">
        <v>547</v>
      </c>
      <c r="W22" s="46" t="s">
        <v>1197</v>
      </c>
      <c r="X22" s="137">
        <v>22733831</v>
      </c>
    </row>
    <row r="23" spans="1:25" hidden="1">
      <c r="A23" s="68" t="s">
        <v>1201</v>
      </c>
      <c r="B23" s="69">
        <v>92</v>
      </c>
      <c r="C23" s="70"/>
      <c r="D23" s="71"/>
      <c r="E23" s="72"/>
      <c r="F23" s="73" t="s">
        <v>1200</v>
      </c>
      <c r="I23" s="100" t="s">
        <v>1201</v>
      </c>
      <c r="J23" s="101">
        <v>92</v>
      </c>
      <c r="K23" s="102"/>
      <c r="L23" s="103"/>
      <c r="M23" s="104"/>
      <c r="N23" s="105" t="s">
        <v>1200</v>
      </c>
    </row>
    <row r="24" spans="1:25" ht="20.399999999999999" hidden="1">
      <c r="A24" s="68" t="s">
        <v>1202</v>
      </c>
      <c r="B24" s="69">
        <v>93</v>
      </c>
      <c r="C24" s="70"/>
      <c r="D24" s="71"/>
      <c r="E24" s="72"/>
      <c r="F24" s="73" t="s">
        <v>1200</v>
      </c>
      <c r="I24" s="100" t="s">
        <v>1202</v>
      </c>
      <c r="J24" s="101">
        <v>93</v>
      </c>
      <c r="K24" s="102"/>
      <c r="L24" s="103"/>
      <c r="M24" s="104"/>
      <c r="N24" s="105" t="s">
        <v>1200</v>
      </c>
    </row>
    <row r="25" spans="1:25" hidden="1">
      <c r="A25" s="68" t="s">
        <v>1203</v>
      </c>
      <c r="B25" s="69">
        <v>795</v>
      </c>
      <c r="C25" s="70"/>
      <c r="D25" s="71"/>
      <c r="E25" s="72"/>
      <c r="F25" s="73" t="s">
        <v>1204</v>
      </c>
      <c r="I25" s="100" t="s">
        <v>1203</v>
      </c>
      <c r="J25" s="101">
        <v>795</v>
      </c>
      <c r="K25" s="102"/>
      <c r="L25" s="103"/>
      <c r="M25" s="104"/>
      <c r="N25" s="105" t="s">
        <v>1204</v>
      </c>
    </row>
    <row r="26" spans="1:25" ht="30.6" hidden="1">
      <c r="A26" s="68" t="s">
        <v>1205</v>
      </c>
      <c r="B26" s="69">
        <v>94</v>
      </c>
      <c r="C26" s="70"/>
      <c r="D26" s="71"/>
      <c r="E26" s="72"/>
      <c r="F26" s="73" t="s">
        <v>1206</v>
      </c>
      <c r="I26" s="100" t="s">
        <v>1205</v>
      </c>
      <c r="J26" s="101">
        <v>94</v>
      </c>
      <c r="K26" s="102"/>
      <c r="L26" s="103"/>
      <c r="M26" s="104"/>
      <c r="N26" s="105" t="s">
        <v>1206</v>
      </c>
    </row>
    <row r="27" spans="1:25" hidden="1">
      <c r="A27" s="50"/>
      <c r="B27" s="50"/>
      <c r="C27" s="50"/>
      <c r="D27" s="50"/>
      <c r="E27" s="50"/>
      <c r="F27" s="50"/>
      <c r="I27" s="90"/>
      <c r="J27" s="90"/>
      <c r="K27" s="90"/>
      <c r="L27" s="90"/>
      <c r="M27" s="90"/>
      <c r="N27" s="90"/>
    </row>
    <row r="28" spans="1:25" hidden="1">
      <c r="A28" s="180" t="s">
        <v>1207</v>
      </c>
      <c r="B28" s="180"/>
      <c r="C28" s="180"/>
      <c r="D28" s="180"/>
      <c r="E28" s="180"/>
      <c r="F28" s="180"/>
      <c r="I28" s="181" t="s">
        <v>1207</v>
      </c>
      <c r="J28" s="181"/>
      <c r="K28" s="181"/>
      <c r="L28" s="181"/>
      <c r="M28" s="181"/>
      <c r="N28" s="181"/>
    </row>
    <row r="29" spans="1:25" ht="15" thickBot="1"/>
    <row r="30" spans="1:25">
      <c r="A30" s="160" t="s">
        <v>1047</v>
      </c>
      <c r="B30" s="165"/>
      <c r="C30" s="165"/>
      <c r="D30" s="165"/>
      <c r="E30" s="165"/>
      <c r="F30" s="165"/>
      <c r="G30" s="161"/>
      <c r="I30" s="160" t="s">
        <v>1047</v>
      </c>
      <c r="J30" s="165"/>
      <c r="K30" s="165"/>
      <c r="L30" s="165"/>
      <c r="M30" s="165"/>
      <c r="N30" s="165"/>
      <c r="O30" s="161"/>
      <c r="P30" s="125"/>
      <c r="Q30" s="125"/>
      <c r="R30" s="125"/>
      <c r="S30" s="160" t="s">
        <v>1047</v>
      </c>
      <c r="T30" s="165"/>
      <c r="U30" s="165"/>
      <c r="V30" s="165"/>
      <c r="W30" s="165"/>
      <c r="X30" s="165"/>
      <c r="Y30" s="161"/>
    </row>
    <row r="31" spans="1:25" ht="15" thickBot="1">
      <c r="A31" s="6" t="s">
        <v>1049</v>
      </c>
      <c r="B31" s="7" t="s">
        <v>1050</v>
      </c>
      <c r="C31" s="7" t="s">
        <v>920</v>
      </c>
      <c r="D31" s="7" t="s">
        <v>921</v>
      </c>
      <c r="E31" s="7" t="s">
        <v>922</v>
      </c>
      <c r="F31" s="7" t="s">
        <v>1051</v>
      </c>
      <c r="G31" s="8" t="s">
        <v>923</v>
      </c>
      <c r="I31" s="6" t="s">
        <v>1049</v>
      </c>
      <c r="J31" s="7" t="s">
        <v>1050</v>
      </c>
      <c r="K31" s="7" t="s">
        <v>920</v>
      </c>
      <c r="L31" s="7" t="s">
        <v>921</v>
      </c>
      <c r="M31" s="7" t="s">
        <v>922</v>
      </c>
      <c r="N31" s="7" t="s">
        <v>1051</v>
      </c>
      <c r="O31" s="8" t="s">
        <v>923</v>
      </c>
      <c r="S31" s="6" t="s">
        <v>1049</v>
      </c>
      <c r="T31" s="7" t="s">
        <v>1050</v>
      </c>
      <c r="U31" s="7" t="s">
        <v>920</v>
      </c>
      <c r="V31" s="7" t="s">
        <v>921</v>
      </c>
      <c r="W31" s="7" t="s">
        <v>922</v>
      </c>
      <c r="X31" s="7" t="s">
        <v>1051</v>
      </c>
      <c r="Y31" s="8" t="s">
        <v>923</v>
      </c>
    </row>
    <row r="32" spans="1:25">
      <c r="A32" s="3" t="s">
        <v>872</v>
      </c>
      <c r="B32" s="108">
        <v>261</v>
      </c>
      <c r="C32" s="3">
        <v>0</v>
      </c>
      <c r="D32" s="3">
        <v>1516600510</v>
      </c>
      <c r="E32" s="108">
        <v>288154107</v>
      </c>
      <c r="F32" s="3"/>
      <c r="G32" s="3">
        <v>1804754617</v>
      </c>
      <c r="I32" s="3" t="s">
        <v>872</v>
      </c>
      <c r="J32" s="108">
        <v>278</v>
      </c>
      <c r="K32" s="3">
        <v>0</v>
      </c>
      <c r="L32" s="3">
        <v>1335107252</v>
      </c>
      <c r="M32" s="108">
        <v>253670375</v>
      </c>
      <c r="N32" s="3"/>
      <c r="O32" s="3">
        <v>1588777627</v>
      </c>
      <c r="P32" s="106"/>
      <c r="Q32" s="106"/>
      <c r="R32" s="106"/>
      <c r="S32" s="3" t="s">
        <v>872</v>
      </c>
      <c r="T32" s="3">
        <v>1384</v>
      </c>
      <c r="U32" s="3">
        <v>0</v>
      </c>
      <c r="V32" s="3">
        <v>922652200</v>
      </c>
      <c r="W32" s="3">
        <v>175303961</v>
      </c>
      <c r="X32" s="3"/>
      <c r="Y32" s="3">
        <v>1097956161</v>
      </c>
    </row>
    <row r="33" spans="1:25">
      <c r="A33" s="3" t="s">
        <v>880</v>
      </c>
      <c r="B33" s="108">
        <v>1</v>
      </c>
      <c r="C33" s="108">
        <v>3055903</v>
      </c>
      <c r="D33" s="3">
        <v>0</v>
      </c>
      <c r="E33" s="3">
        <v>0</v>
      </c>
      <c r="F33" s="3"/>
      <c r="G33" s="3">
        <v>3055903</v>
      </c>
      <c r="I33" s="3" t="s">
        <v>880</v>
      </c>
      <c r="J33" s="108">
        <v>1</v>
      </c>
      <c r="K33" s="108">
        <v>3028882</v>
      </c>
      <c r="L33" s="3">
        <v>0</v>
      </c>
      <c r="M33" s="3">
        <v>0</v>
      </c>
      <c r="N33" s="3"/>
      <c r="O33" s="3">
        <v>3028882</v>
      </c>
      <c r="P33" s="106"/>
      <c r="Q33" s="106"/>
      <c r="R33" s="106"/>
      <c r="S33" s="3" t="s">
        <v>881</v>
      </c>
      <c r="T33" s="3">
        <v>52</v>
      </c>
      <c r="U33" s="3">
        <v>0</v>
      </c>
      <c r="V33" s="3">
        <v>-24438854</v>
      </c>
      <c r="W33" s="3">
        <v>-4643396</v>
      </c>
      <c r="X33" s="3"/>
      <c r="Y33" s="3">
        <v>-29082250</v>
      </c>
    </row>
    <row r="34" spans="1:25">
      <c r="A34" s="3" t="s">
        <v>881</v>
      </c>
      <c r="B34" s="108">
        <v>5</v>
      </c>
      <c r="C34" s="3">
        <v>0</v>
      </c>
      <c r="D34" s="3">
        <v>-91400586</v>
      </c>
      <c r="E34" s="108">
        <v>-17366113</v>
      </c>
      <c r="F34" s="3"/>
      <c r="G34" s="3">
        <v>-108766699</v>
      </c>
      <c r="I34" s="3" t="s">
        <v>881</v>
      </c>
      <c r="J34" s="108">
        <v>13</v>
      </c>
      <c r="K34" s="3">
        <v>0</v>
      </c>
      <c r="L34" s="3">
        <v>-107547096</v>
      </c>
      <c r="M34" s="108">
        <v>-20433949</v>
      </c>
      <c r="N34" s="3"/>
      <c r="O34" s="3">
        <v>-127981045</v>
      </c>
      <c r="P34" s="106"/>
      <c r="Q34" s="106"/>
      <c r="R34" s="106"/>
      <c r="S34" s="3"/>
      <c r="T34" s="3"/>
      <c r="U34" s="3"/>
      <c r="V34" s="3"/>
      <c r="W34" s="3"/>
      <c r="X34" s="3"/>
      <c r="Y34" s="3"/>
    </row>
    <row r="35" spans="1:25">
      <c r="A35" s="3" t="s">
        <v>1045</v>
      </c>
      <c r="B35" s="108">
        <v>5</v>
      </c>
      <c r="C35" s="108">
        <v>673716601</v>
      </c>
      <c r="D35" s="3">
        <v>0</v>
      </c>
      <c r="E35" s="3">
        <v>0</v>
      </c>
      <c r="F35" s="3"/>
      <c r="G35" s="3">
        <v>673716601</v>
      </c>
      <c r="I35" s="3" t="s">
        <v>1045</v>
      </c>
      <c r="J35" s="108">
        <v>5</v>
      </c>
      <c r="K35" s="108">
        <v>875164654</v>
      </c>
      <c r="L35" s="3">
        <v>0</v>
      </c>
      <c r="M35" s="3">
        <v>0</v>
      </c>
      <c r="N35" s="3"/>
      <c r="O35" s="3">
        <v>875164654</v>
      </c>
      <c r="P35" s="106"/>
      <c r="Q35" s="106"/>
      <c r="R35" s="106"/>
      <c r="S35" s="3" t="s">
        <v>1052</v>
      </c>
      <c r="T35" s="3">
        <v>1436</v>
      </c>
      <c r="U35" s="3">
        <v>0</v>
      </c>
      <c r="V35" s="3">
        <v>898213346</v>
      </c>
      <c r="W35" s="3">
        <v>170660565</v>
      </c>
      <c r="X35" s="3"/>
      <c r="Y35" s="3">
        <v>1068873911</v>
      </c>
    </row>
    <row r="36" spans="1:25">
      <c r="A36" s="3"/>
      <c r="B36" s="3"/>
      <c r="C36" s="3"/>
      <c r="D36" s="3"/>
      <c r="E36" s="3"/>
      <c r="F36" s="3"/>
      <c r="G36" s="3"/>
      <c r="I36" s="3"/>
      <c r="J36" s="3"/>
      <c r="K36" s="3"/>
      <c r="L36" s="3"/>
      <c r="M36" s="3"/>
      <c r="N36" s="3"/>
      <c r="O36" s="3"/>
      <c r="P36" s="106"/>
      <c r="Q36" s="106"/>
      <c r="R36" s="106"/>
      <c r="S36" s="106"/>
      <c r="T36" s="106"/>
      <c r="U36" s="106"/>
      <c r="V36" s="106"/>
      <c r="W36" s="106"/>
      <c r="X36" s="106"/>
      <c r="Y36" s="106"/>
    </row>
    <row r="37" spans="1:25">
      <c r="A37" s="3" t="s">
        <v>1052</v>
      </c>
      <c r="B37" s="3">
        <v>272</v>
      </c>
      <c r="C37" s="3">
        <v>676772504</v>
      </c>
      <c r="D37" s="3">
        <v>1425199924</v>
      </c>
      <c r="E37" s="108">
        <v>270787994</v>
      </c>
      <c r="F37" s="3"/>
      <c r="G37" s="3">
        <v>2372760422</v>
      </c>
      <c r="I37" s="3" t="s">
        <v>1052</v>
      </c>
      <c r="J37" s="3">
        <v>297</v>
      </c>
      <c r="K37" s="3">
        <v>878193536</v>
      </c>
      <c r="L37" s="3">
        <v>1227560156</v>
      </c>
      <c r="M37" s="108">
        <v>233236426</v>
      </c>
      <c r="N37" s="3"/>
      <c r="O37" s="3">
        <v>2338990118</v>
      </c>
      <c r="P37" s="106"/>
      <c r="Q37" s="106"/>
      <c r="R37" s="106"/>
      <c r="S37" s="106"/>
      <c r="T37" s="106"/>
      <c r="U37" s="106"/>
      <c r="V37" s="106"/>
      <c r="W37" s="106"/>
      <c r="X37" s="106"/>
      <c r="Y37" s="106"/>
    </row>
    <row r="38" spans="1:25" ht="15" thickBot="1">
      <c r="H38" s="123">
        <f>+E37-E46</f>
        <v>250244601</v>
      </c>
      <c r="P38" s="123">
        <f>+M37-M46</f>
        <v>216484647</v>
      </c>
      <c r="Q38" s="123"/>
      <c r="R38" s="123"/>
      <c r="S38" s="123"/>
      <c r="T38" s="123"/>
      <c r="U38" s="123"/>
      <c r="V38" s="123"/>
    </row>
    <row r="39" spans="1:25" ht="15" thickBot="1">
      <c r="A39" s="169" t="s">
        <v>1048</v>
      </c>
      <c r="B39" s="170"/>
      <c r="C39" s="170"/>
      <c r="D39" s="170"/>
      <c r="E39" s="170"/>
      <c r="F39" s="170"/>
      <c r="G39" s="171"/>
      <c r="I39" s="169" t="s">
        <v>1048</v>
      </c>
      <c r="J39" s="170"/>
      <c r="K39" s="170"/>
      <c r="L39" s="170"/>
      <c r="M39" s="170"/>
      <c r="N39" s="170"/>
      <c r="O39" s="171"/>
      <c r="S39" s="169" t="s">
        <v>1048</v>
      </c>
      <c r="T39" s="170"/>
      <c r="U39" s="170"/>
      <c r="V39" s="170"/>
      <c r="W39" s="170"/>
      <c r="X39" s="170"/>
      <c r="Y39" s="171"/>
    </row>
    <row r="40" spans="1:25" ht="15" thickBot="1">
      <c r="A40" s="27" t="s">
        <v>1049</v>
      </c>
      <c r="B40" s="28" t="s">
        <v>1050</v>
      </c>
      <c r="C40" s="28" t="s">
        <v>920</v>
      </c>
      <c r="D40" s="28" t="s">
        <v>921</v>
      </c>
      <c r="E40" s="28" t="s">
        <v>1101</v>
      </c>
      <c r="F40" s="28" t="s">
        <v>1108</v>
      </c>
      <c r="G40" s="29" t="s">
        <v>923</v>
      </c>
      <c r="I40" s="27" t="s">
        <v>1049</v>
      </c>
      <c r="J40" s="28" t="s">
        <v>1050</v>
      </c>
      <c r="K40" s="28" t="s">
        <v>920</v>
      </c>
      <c r="L40" s="28" t="s">
        <v>921</v>
      </c>
      <c r="M40" s="28" t="s">
        <v>1101</v>
      </c>
      <c r="N40" s="28" t="s">
        <v>1108</v>
      </c>
      <c r="O40" s="29" t="s">
        <v>923</v>
      </c>
      <c r="S40" s="27" t="s">
        <v>1049</v>
      </c>
      <c r="T40" s="28" t="s">
        <v>1050</v>
      </c>
      <c r="U40" s="28" t="s">
        <v>920</v>
      </c>
      <c r="V40" s="28" t="s">
        <v>921</v>
      </c>
      <c r="W40" s="28" t="s">
        <v>1101</v>
      </c>
      <c r="X40" s="28" t="s">
        <v>1108</v>
      </c>
      <c r="Y40" s="29" t="s">
        <v>923</v>
      </c>
    </row>
    <row r="41" spans="1:25">
      <c r="A41" s="3" t="s">
        <v>872</v>
      </c>
      <c r="B41" s="108">
        <v>81</v>
      </c>
      <c r="C41" s="3">
        <v>42803</v>
      </c>
      <c r="D41" s="3">
        <v>116151692</v>
      </c>
      <c r="E41" s="108">
        <v>22068823</v>
      </c>
      <c r="F41" s="3">
        <v>0</v>
      </c>
      <c r="G41" s="3">
        <v>138263318</v>
      </c>
      <c r="I41" s="3" t="s">
        <v>872</v>
      </c>
      <c r="J41" s="3">
        <v>96</v>
      </c>
      <c r="K41" s="3">
        <v>612651</v>
      </c>
      <c r="L41" s="3">
        <v>93531630</v>
      </c>
      <c r="M41" s="3">
        <v>17771006</v>
      </c>
      <c r="N41" s="3">
        <v>0</v>
      </c>
      <c r="O41" s="3">
        <v>111915286</v>
      </c>
      <c r="S41" s="3" t="s">
        <v>872</v>
      </c>
      <c r="T41" s="3">
        <v>137</v>
      </c>
      <c r="U41" s="3">
        <v>23332806</v>
      </c>
      <c r="V41" s="3">
        <v>277713158</v>
      </c>
      <c r="W41" s="3">
        <v>52765497</v>
      </c>
      <c r="X41" s="3">
        <v>0</v>
      </c>
      <c r="Y41" s="3">
        <v>353943682</v>
      </c>
    </row>
    <row r="42" spans="1:25">
      <c r="A42" s="3" t="s">
        <v>879</v>
      </c>
      <c r="B42" s="108">
        <v>2</v>
      </c>
      <c r="C42" s="3">
        <v>168848</v>
      </c>
      <c r="D42" s="108">
        <v>2325716</v>
      </c>
      <c r="E42" s="3">
        <v>0</v>
      </c>
      <c r="F42" s="108">
        <v>441886</v>
      </c>
      <c r="G42" s="3">
        <v>2936450</v>
      </c>
      <c r="I42" s="3" t="s">
        <v>879</v>
      </c>
      <c r="J42" s="3">
        <v>2</v>
      </c>
      <c r="K42" s="3">
        <v>167906</v>
      </c>
      <c r="L42" s="3">
        <v>2320034</v>
      </c>
      <c r="M42" s="3">
        <v>0</v>
      </c>
      <c r="N42" s="3">
        <v>440806</v>
      </c>
      <c r="O42" s="3">
        <v>2928746</v>
      </c>
      <c r="S42" s="3" t="s">
        <v>880</v>
      </c>
      <c r="T42" s="3">
        <v>19</v>
      </c>
      <c r="U42" s="3">
        <v>48274251</v>
      </c>
      <c r="V42" s="3">
        <v>0</v>
      </c>
      <c r="W42" s="3">
        <v>0</v>
      </c>
      <c r="X42" s="3">
        <v>0</v>
      </c>
      <c r="Y42" s="3">
        <v>48274251</v>
      </c>
    </row>
    <row r="43" spans="1:25">
      <c r="A43" s="3" t="s">
        <v>880</v>
      </c>
      <c r="B43" s="3">
        <v>24</v>
      </c>
      <c r="C43" s="3">
        <v>39013603</v>
      </c>
      <c r="D43" s="3">
        <v>0</v>
      </c>
      <c r="E43" s="3">
        <v>0</v>
      </c>
      <c r="F43" s="3">
        <v>0</v>
      </c>
      <c r="G43" s="3">
        <v>39013603</v>
      </c>
      <c r="I43" s="3" t="s">
        <v>880</v>
      </c>
      <c r="J43" s="3">
        <v>25</v>
      </c>
      <c r="K43" s="3">
        <v>42167059</v>
      </c>
      <c r="L43" s="3">
        <v>0</v>
      </c>
      <c r="M43" s="3">
        <v>0</v>
      </c>
      <c r="N43" s="3">
        <v>0</v>
      </c>
      <c r="O43" s="3">
        <v>42167059</v>
      </c>
      <c r="S43" s="3" t="s">
        <v>881</v>
      </c>
      <c r="T43" s="3">
        <v>3</v>
      </c>
      <c r="U43" s="3">
        <v>0</v>
      </c>
      <c r="V43" s="3">
        <v>-1314143</v>
      </c>
      <c r="W43" s="3">
        <v>-249687</v>
      </c>
      <c r="X43" s="3">
        <v>0</v>
      </c>
      <c r="Y43" s="3">
        <v>-1563830</v>
      </c>
    </row>
    <row r="44" spans="1:25">
      <c r="A44" s="3" t="s">
        <v>881</v>
      </c>
      <c r="B44" s="3">
        <v>12</v>
      </c>
      <c r="C44" s="3">
        <v>-22748795</v>
      </c>
      <c r="D44" s="3">
        <v>-8028577</v>
      </c>
      <c r="E44" s="108">
        <v>-1525430</v>
      </c>
      <c r="F44" s="3">
        <v>0</v>
      </c>
      <c r="G44" s="3">
        <v>-32302802</v>
      </c>
      <c r="I44" s="3" t="s">
        <v>881</v>
      </c>
      <c r="J44" s="3">
        <v>7</v>
      </c>
      <c r="K44" s="3">
        <v>-16218182</v>
      </c>
      <c r="L44" s="3">
        <v>-5364357</v>
      </c>
      <c r="M44" s="3">
        <v>-1019227</v>
      </c>
      <c r="N44" s="3">
        <v>0</v>
      </c>
      <c r="O44" s="3">
        <v>-22601766</v>
      </c>
      <c r="S44" s="3" t="s">
        <v>1142</v>
      </c>
      <c r="T44" s="3">
        <v>13</v>
      </c>
      <c r="U44" s="3">
        <v>5730557</v>
      </c>
      <c r="V44" s="3">
        <v>303134534</v>
      </c>
      <c r="W44" s="3">
        <v>57595560</v>
      </c>
      <c r="X44" s="3">
        <v>0</v>
      </c>
      <c r="Y44" s="3">
        <v>366460652</v>
      </c>
    </row>
    <row r="45" spans="1:25">
      <c r="A45" s="3"/>
      <c r="B45" s="3"/>
      <c r="C45" s="3"/>
      <c r="D45" s="3"/>
      <c r="E45" s="3"/>
      <c r="F45" s="3"/>
      <c r="G45" s="3"/>
      <c r="I45" s="3"/>
      <c r="J45" s="3"/>
      <c r="K45" s="3"/>
      <c r="L45" s="3"/>
      <c r="M45" s="3"/>
      <c r="N45" s="3"/>
      <c r="O45" s="3"/>
      <c r="S45" s="3"/>
      <c r="T45" s="3"/>
      <c r="U45" s="3"/>
      <c r="V45" s="3"/>
      <c r="W45" s="3"/>
      <c r="X45" s="3"/>
      <c r="Y45" s="3"/>
    </row>
    <row r="46" spans="1:25">
      <c r="A46" s="3" t="s">
        <v>1052</v>
      </c>
      <c r="B46" s="3">
        <v>119</v>
      </c>
      <c r="C46" s="108">
        <v>16476459</v>
      </c>
      <c r="D46" s="3">
        <v>110448831</v>
      </c>
      <c r="E46" s="108">
        <v>20543393</v>
      </c>
      <c r="F46" s="3">
        <v>441886</v>
      </c>
      <c r="G46" s="3">
        <v>147910569</v>
      </c>
      <c r="I46" s="3" t="s">
        <v>1052</v>
      </c>
      <c r="J46" s="3">
        <v>130</v>
      </c>
      <c r="K46" s="3">
        <v>26729434</v>
      </c>
      <c r="L46" s="3">
        <v>90487307</v>
      </c>
      <c r="M46" s="3">
        <v>16751779</v>
      </c>
      <c r="N46" s="3">
        <v>440806</v>
      </c>
      <c r="O46" s="3">
        <v>134409325</v>
      </c>
      <c r="S46" s="3" t="s">
        <v>1052</v>
      </c>
      <c r="T46" s="3">
        <v>172</v>
      </c>
      <c r="U46" s="3">
        <v>77337614</v>
      </c>
      <c r="V46" s="3">
        <v>579533549</v>
      </c>
      <c r="W46" s="3">
        <v>110111370</v>
      </c>
      <c r="X46" s="3">
        <v>0</v>
      </c>
      <c r="Y46" s="3">
        <v>767114755</v>
      </c>
    </row>
  </sheetData>
  <mergeCells count="9">
    <mergeCell ref="S30:Y30"/>
    <mergeCell ref="S39:Y39"/>
    <mergeCell ref="A1:N1"/>
    <mergeCell ref="A28:F28"/>
    <mergeCell ref="I28:N28"/>
    <mergeCell ref="A39:G39"/>
    <mergeCell ref="A30:G30"/>
    <mergeCell ref="I30:O30"/>
    <mergeCell ref="I39:O3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Flow_SignoffStatus xmlns="eb091222-7bdf-4648-ac14-56df67859a6a" xsi:nil="true"/>
    <Primerresponsable xmlns="eb091222-7bdf-4648-ac14-56df67859a6a">
      <UserInfo>
        <DisplayName/>
        <AccountId xsi:nil="true"/>
        <AccountType/>
      </UserInfo>
    </Primerresponsable>
    <Imagen xmlns="eb091222-7bdf-4648-ac14-56df67859a6a" xsi:nil="true"/>
    <_ip_UnifiedCompliancePolicyProperties xmlns="http://schemas.microsoft.com/sharepoint/v3" xsi:nil="true"/>
    <Categoria xmlns="eb091222-7bdf-4648-ac14-56df67859a6a" xsi:nil="true"/>
    <TaxCatchAll xmlns="5aa2f8fb-f9e7-4046-baf3-643b2d01b046" xsi:nil="true"/>
    <lcf76f155ced4ddcb4097134ff3c332f xmlns="eb091222-7bdf-4648-ac14-56df67859a6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EC0164CB14CAB4DA17DB030CC2DBD41" ma:contentTypeVersion="26" ma:contentTypeDescription="Crear nuevo documento." ma:contentTypeScope="" ma:versionID="aeb86d90bffc5f254499f8b9f77e0084">
  <xsd:schema xmlns:xsd="http://www.w3.org/2001/XMLSchema" xmlns:xs="http://www.w3.org/2001/XMLSchema" xmlns:p="http://schemas.microsoft.com/office/2006/metadata/properties" xmlns:ns1="http://schemas.microsoft.com/sharepoint/v3" xmlns:ns2="eb091222-7bdf-4648-ac14-56df67859a6a" xmlns:ns3="5aa2f8fb-f9e7-4046-baf3-643b2d01b046" targetNamespace="http://schemas.microsoft.com/office/2006/metadata/properties" ma:root="true" ma:fieldsID="4138b45897e69572a240a5fceb8dca5e" ns1:_="" ns2:_="" ns3:_="">
    <xsd:import namespace="http://schemas.microsoft.com/sharepoint/v3"/>
    <xsd:import namespace="eb091222-7bdf-4648-ac14-56df67859a6a"/>
    <xsd:import namespace="5aa2f8fb-f9e7-4046-baf3-643b2d01b04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2:Imagen" minOccurs="0"/>
                <xsd:element ref="ns2:Primerresponsable" minOccurs="0"/>
                <xsd:element ref="ns2:Categoria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6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7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091222-7bdf-4648-ac14-56df67859a6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a8628a9a-fe43-4aa1-831f-7a8d34a1dc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Imagen" ma:index="23" nillable="true" ma:displayName="Imagen" ma:format="Thumbnail" ma:internalName="Imagen">
      <xsd:simpleType>
        <xsd:restriction base="dms:Unknown"/>
      </xsd:simpleType>
    </xsd:element>
    <xsd:element name="Primerresponsable" ma:index="24" nillable="true" ma:displayName="Primer responsable" ma:description="test" ma:format="Dropdown" ma:list="UserInfo" ma:SharePointGroup="0" ma:internalName="Primerresponsabl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ategoria" ma:index="25" nillable="true" ma:displayName="Categoria" ma:format="Dropdown" ma:internalName="Categoria">
      <xsd:simpleType>
        <xsd:restriction base="dms:Choice">
          <xsd:enumeration value="Servicio Legal"/>
          <xsd:enumeration value="Due dilingence"/>
          <xsd:enumeration value="Precios de transferencia"/>
          <xsd:enumeration value="Operacion renta y asesoria recurrente"/>
          <xsd:enumeration value="Servicios tributarios"/>
          <xsd:enumeration value="Imouesto al valor agregado"/>
        </xsd:restriction>
      </xsd:simpleType>
    </xsd:element>
    <xsd:element name="MediaLengthInSeconds" ma:index="2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a2f8fb-f9e7-4046-baf3-643b2d01b04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22911d59-da0a-475b-ad51-95e2b6f5d16c}" ma:internalName="TaxCatchAll" ma:showField="CatchAllData" ma:web="5aa2f8fb-f9e7-4046-baf3-643b2d01b04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C98AFE-1AE3-4BFC-BAFF-0BE483EB00A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eb091222-7bdf-4648-ac14-56df67859a6a"/>
    <ds:schemaRef ds:uri="5aa2f8fb-f9e7-4046-baf3-643b2d01b046"/>
  </ds:schemaRefs>
</ds:datastoreItem>
</file>

<file path=customXml/itemProps2.xml><?xml version="1.0" encoding="utf-8"?>
<ds:datastoreItem xmlns:ds="http://schemas.openxmlformats.org/officeDocument/2006/customXml" ds:itemID="{FA801382-7000-49E5-BA7A-69C74E7B7C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AC6872-B598-491B-92A8-1E1E16F686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091222-7bdf-4648-ac14-56df67859a6a"/>
    <ds:schemaRef ds:uri="5aa2f8fb-f9e7-4046-baf3-643b2d01b0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06f45df-088f-4365-900b-21d873817b2f}" enabled="1" method="Privileged" siteId="{ad9dc499-26eb-41de-90c1-2c7cfce752f9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Resumen</vt:lpstr>
      <vt:lpstr>LV Consolidado</vt:lpstr>
      <vt:lpstr>LC Consolidado</vt:lpstr>
      <vt:lpstr>Analisis NC</vt:lpstr>
      <vt:lpstr>LV</vt:lpstr>
      <vt:lpstr>LC</vt:lpstr>
      <vt:lpstr>Armado</vt:lpstr>
      <vt:lpstr>NC</vt:lpstr>
      <vt:lpstr>Panel control</vt:lpstr>
      <vt:lpstr>DATOS F-29</vt:lpstr>
      <vt:lpstr>BBDD f-29</vt:lpstr>
      <vt:lpstr>Analisis F-29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Nicolás Gómez</dc:creator>
  <cp:keywords/>
  <dc:description/>
  <cp:lastModifiedBy>José Diaz</cp:lastModifiedBy>
  <cp:revision/>
  <dcterms:created xsi:type="dcterms:W3CDTF">2025-01-09T14:31:43Z</dcterms:created>
  <dcterms:modified xsi:type="dcterms:W3CDTF">2025-08-20T15:42:34Z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0x0101006EC0164CB14CAB4DA17DB030CC2DBD41</vt:lpwstr>
  </property>
  <property fmtid="{D5CDD505-2E9C-101B-9397-08002B2CF9AE}" pid="3" name="MediaServiceImageTags">
    <vt:lpwstr/>
  </property>
</Properties>
</file>